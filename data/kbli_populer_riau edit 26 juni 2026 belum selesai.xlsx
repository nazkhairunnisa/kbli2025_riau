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Sheet1" sheetId="1" r:id="rId1"/>
    <sheet name="master" sheetId="2" r:id="rId2"/>
    <sheet name="rapikan_all" sheetId="8" r:id="rId3"/>
    <sheet name="rapikan" sheetId="5" r:id="rId4"/>
    <sheet name="daricanva" sheetId="3" r:id="rId5"/>
    <sheet name="data_versi1" sheetId="6" r:id="rId6"/>
    <sheet name="kata_kunci" sheetId="9" r:id="rId7"/>
  </sheets>
  <definedNames>
    <definedName name="_xlnm._FilterDatabase" localSheetId="1" hidden="1">master!$A$1:$E$1560</definedName>
    <definedName name="_xlnm._FilterDatabase" localSheetId="0" hidden="1">Sheet1!$A$1:$F$1560</definedName>
  </definedNames>
  <calcPr calcId="152511"/>
</workbook>
</file>

<file path=xl/calcChain.xml><?xml version="1.0" encoding="utf-8"?>
<calcChain xmlns="http://schemas.openxmlformats.org/spreadsheetml/2006/main">
  <c r="G648" i="8" l="1"/>
  <c r="G649" i="8"/>
  <c r="G650" i="8"/>
  <c r="G651" i="8"/>
  <c r="G653" i="8"/>
  <c r="K2" i="8" l="1"/>
  <c r="K3" i="8"/>
  <c r="K4" i="8"/>
  <c r="K5"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K99" i="8"/>
  <c r="K100" i="8"/>
  <c r="K101" i="8"/>
  <c r="K102" i="8"/>
  <c r="K103" i="8"/>
  <c r="K104" i="8"/>
  <c r="K105" i="8"/>
  <c r="K106" i="8"/>
  <c r="K107" i="8"/>
  <c r="K108" i="8"/>
  <c r="K109" i="8"/>
  <c r="K110" i="8"/>
  <c r="K111" i="8"/>
  <c r="K112" i="8"/>
  <c r="K113" i="8"/>
  <c r="K114" i="8"/>
  <c r="K115" i="8"/>
  <c r="K116" i="8"/>
  <c r="K117" i="8"/>
  <c r="K118" i="8"/>
  <c r="K119" i="8"/>
  <c r="K120" i="8"/>
  <c r="K121" i="8"/>
  <c r="K122" i="8"/>
  <c r="K123" i="8"/>
  <c r="K124" i="8"/>
  <c r="K125" i="8"/>
  <c r="K126" i="8"/>
  <c r="K127" i="8"/>
  <c r="K128" i="8"/>
  <c r="K129" i="8"/>
  <c r="K130" i="8"/>
  <c r="K131" i="8"/>
  <c r="K132" i="8"/>
  <c r="K133" i="8"/>
  <c r="K134" i="8"/>
  <c r="K135" i="8"/>
  <c r="K136" i="8"/>
  <c r="K137" i="8"/>
  <c r="K138" i="8"/>
  <c r="K139" i="8"/>
  <c r="K140" i="8"/>
  <c r="K141" i="8"/>
  <c r="K142" i="8"/>
  <c r="K143" i="8"/>
  <c r="K144" i="8"/>
  <c r="K145" i="8"/>
  <c r="K146" i="8"/>
  <c r="K147" i="8"/>
  <c r="K148" i="8"/>
  <c r="K149" i="8"/>
  <c r="K150" i="8"/>
  <c r="K151" i="8"/>
  <c r="K152" i="8"/>
  <c r="K153" i="8"/>
  <c r="K154" i="8"/>
  <c r="K155" i="8"/>
  <c r="K156" i="8"/>
  <c r="K157" i="8"/>
  <c r="K158" i="8"/>
  <c r="K159" i="8"/>
  <c r="K160" i="8"/>
  <c r="K161" i="8"/>
  <c r="K162" i="8"/>
  <c r="K163" i="8"/>
  <c r="K164" i="8"/>
  <c r="K165" i="8"/>
  <c r="K166" i="8"/>
  <c r="K167" i="8"/>
  <c r="K168" i="8"/>
  <c r="K169" i="8"/>
  <c r="K170" i="8"/>
  <c r="K171" i="8"/>
  <c r="K172" i="8"/>
  <c r="K173" i="8"/>
  <c r="K174" i="8"/>
  <c r="K175" i="8"/>
  <c r="K176" i="8"/>
  <c r="K177" i="8"/>
  <c r="K178" i="8"/>
  <c r="K179" i="8"/>
  <c r="K180" i="8"/>
  <c r="K181" i="8"/>
  <c r="K182" i="8"/>
  <c r="K183" i="8"/>
  <c r="K184" i="8"/>
  <c r="K185" i="8"/>
  <c r="K186" i="8"/>
  <c r="K187" i="8"/>
  <c r="K188" i="8"/>
  <c r="K189" i="8"/>
  <c r="K190" i="8"/>
  <c r="K191" i="8"/>
  <c r="K192" i="8"/>
  <c r="K193" i="8"/>
  <c r="K194" i="8"/>
  <c r="K195" i="8"/>
  <c r="K196" i="8"/>
  <c r="K197" i="8"/>
  <c r="K198" i="8"/>
  <c r="K199" i="8"/>
  <c r="K200" i="8"/>
  <c r="K201" i="8"/>
  <c r="K202" i="8"/>
  <c r="K203" i="8"/>
  <c r="K204" i="8"/>
  <c r="K205" i="8"/>
  <c r="K206" i="8"/>
  <c r="K207" i="8"/>
  <c r="K208" i="8"/>
  <c r="K209" i="8"/>
  <c r="K210" i="8"/>
  <c r="K211" i="8"/>
  <c r="K212" i="8"/>
  <c r="K213" i="8"/>
  <c r="K214" i="8"/>
  <c r="K215" i="8"/>
  <c r="K216" i="8"/>
  <c r="K217" i="8"/>
  <c r="K218" i="8"/>
  <c r="K219" i="8"/>
  <c r="K220" i="8"/>
  <c r="K221" i="8"/>
  <c r="K222" i="8"/>
  <c r="K223" i="8"/>
  <c r="K224" i="8"/>
  <c r="K225" i="8"/>
  <c r="K226" i="8"/>
  <c r="K227" i="8"/>
  <c r="K228" i="8"/>
  <c r="K229" i="8"/>
  <c r="K230" i="8"/>
  <c r="K231" i="8"/>
  <c r="K232" i="8"/>
  <c r="K233" i="8"/>
  <c r="K234" i="8"/>
  <c r="K235" i="8"/>
  <c r="K236" i="8"/>
  <c r="K237" i="8"/>
  <c r="K238" i="8"/>
  <c r="K239" i="8"/>
  <c r="K240" i="8"/>
  <c r="K241" i="8"/>
  <c r="K242" i="8"/>
  <c r="K243" i="8"/>
  <c r="K244" i="8"/>
  <c r="K245" i="8"/>
  <c r="K246" i="8"/>
  <c r="K247" i="8"/>
  <c r="K248" i="8"/>
  <c r="K249" i="8"/>
  <c r="K250" i="8"/>
  <c r="K251" i="8"/>
  <c r="K252" i="8"/>
  <c r="K253" i="8"/>
  <c r="K254" i="8"/>
  <c r="K255" i="8"/>
  <c r="K256" i="8"/>
  <c r="K257" i="8"/>
  <c r="K258" i="8"/>
  <c r="K259" i="8"/>
  <c r="K260" i="8"/>
  <c r="K261" i="8"/>
  <c r="K262" i="8"/>
  <c r="K263" i="8"/>
  <c r="K264" i="8"/>
  <c r="K265" i="8"/>
  <c r="K266" i="8"/>
  <c r="K267" i="8"/>
  <c r="K268" i="8"/>
  <c r="K269" i="8"/>
  <c r="K270" i="8"/>
  <c r="K271" i="8"/>
  <c r="K272" i="8"/>
  <c r="K273" i="8"/>
  <c r="K274" i="8"/>
  <c r="K275" i="8"/>
  <c r="K276" i="8"/>
  <c r="K277" i="8"/>
  <c r="K278" i="8"/>
  <c r="K279" i="8"/>
  <c r="K280" i="8"/>
  <c r="K281" i="8"/>
  <c r="K282" i="8"/>
  <c r="K283" i="8"/>
  <c r="K284" i="8"/>
  <c r="K285" i="8"/>
  <c r="K286" i="8"/>
  <c r="K287" i="8"/>
  <c r="K288" i="8"/>
  <c r="K289" i="8"/>
  <c r="K290" i="8"/>
  <c r="K291" i="8"/>
  <c r="K292" i="8"/>
  <c r="K293" i="8"/>
  <c r="K294" i="8"/>
  <c r="K295" i="8"/>
  <c r="K296" i="8"/>
  <c r="K297" i="8"/>
  <c r="K298" i="8"/>
  <c r="K299" i="8"/>
  <c r="K300" i="8"/>
  <c r="K301" i="8"/>
  <c r="K302" i="8"/>
  <c r="K303" i="8"/>
  <c r="K304" i="8"/>
  <c r="K305" i="8"/>
  <c r="K306" i="8"/>
  <c r="K307" i="8"/>
  <c r="K308" i="8"/>
  <c r="K309" i="8"/>
  <c r="K310" i="8"/>
  <c r="K311" i="8"/>
  <c r="K312" i="8"/>
  <c r="K313" i="8"/>
  <c r="K314" i="8"/>
  <c r="K315" i="8"/>
  <c r="K316" i="8"/>
  <c r="K317" i="8"/>
  <c r="K318" i="8"/>
  <c r="K319" i="8"/>
  <c r="K320" i="8"/>
  <c r="K321" i="8"/>
  <c r="K322" i="8"/>
  <c r="K323" i="8"/>
  <c r="K324" i="8"/>
  <c r="K325" i="8"/>
  <c r="K326" i="8"/>
  <c r="K327" i="8"/>
  <c r="K328" i="8"/>
  <c r="K329" i="8"/>
  <c r="K330" i="8"/>
  <c r="K331" i="8"/>
  <c r="K332" i="8"/>
  <c r="K333" i="8"/>
  <c r="K334" i="8"/>
  <c r="K335" i="8"/>
  <c r="K336" i="8"/>
  <c r="K337" i="8"/>
  <c r="K338" i="8"/>
  <c r="K339" i="8"/>
  <c r="K340" i="8"/>
  <c r="K341" i="8"/>
  <c r="K342" i="8"/>
  <c r="K343" i="8"/>
  <c r="K344" i="8"/>
  <c r="K345" i="8"/>
  <c r="K346" i="8"/>
  <c r="K347" i="8"/>
  <c r="K348" i="8"/>
  <c r="K349" i="8"/>
  <c r="K350" i="8"/>
  <c r="K351" i="8"/>
  <c r="K352" i="8"/>
  <c r="K353" i="8"/>
  <c r="K354" i="8"/>
  <c r="K355" i="8"/>
  <c r="K356" i="8"/>
  <c r="K357" i="8"/>
  <c r="K358" i="8"/>
  <c r="K359" i="8"/>
  <c r="K360" i="8"/>
  <c r="K361" i="8"/>
  <c r="K362" i="8"/>
  <c r="K363" i="8"/>
  <c r="K364" i="8"/>
  <c r="K365" i="8"/>
  <c r="K366" i="8"/>
  <c r="K367" i="8"/>
  <c r="K368" i="8"/>
  <c r="K369" i="8"/>
  <c r="K370" i="8"/>
  <c r="K371" i="8"/>
  <c r="K372" i="8"/>
  <c r="K373" i="8"/>
  <c r="K374" i="8"/>
  <c r="K375" i="8"/>
  <c r="K376" i="8"/>
  <c r="K377" i="8"/>
  <c r="K378" i="8"/>
  <c r="K379" i="8"/>
  <c r="K380" i="8"/>
  <c r="K381" i="8"/>
  <c r="K382" i="8"/>
  <c r="K383" i="8"/>
  <c r="K384" i="8"/>
  <c r="K385" i="8"/>
  <c r="K386" i="8"/>
  <c r="K387" i="8"/>
  <c r="K388" i="8"/>
  <c r="K389" i="8"/>
  <c r="K390" i="8"/>
  <c r="K391" i="8"/>
  <c r="K392" i="8"/>
  <c r="K393" i="8"/>
  <c r="K394" i="8"/>
  <c r="K395" i="8"/>
  <c r="K396" i="8"/>
  <c r="K397" i="8"/>
  <c r="K398" i="8"/>
  <c r="K399" i="8"/>
  <c r="K400" i="8"/>
  <c r="K401" i="8"/>
  <c r="K402" i="8"/>
  <c r="K403" i="8"/>
  <c r="K404" i="8"/>
  <c r="K405" i="8"/>
  <c r="K406" i="8"/>
  <c r="K407" i="8"/>
  <c r="K408" i="8"/>
  <c r="K409" i="8"/>
  <c r="K410" i="8"/>
  <c r="K411" i="8"/>
  <c r="K412" i="8"/>
  <c r="K413" i="8"/>
  <c r="K414" i="8"/>
  <c r="K415" i="8"/>
  <c r="K416" i="8"/>
  <c r="K417" i="8"/>
  <c r="K418" i="8"/>
  <c r="K419" i="8"/>
  <c r="K420" i="8"/>
  <c r="K421" i="8"/>
  <c r="K422" i="8"/>
  <c r="K423" i="8"/>
  <c r="K424" i="8"/>
  <c r="K425" i="8"/>
  <c r="K426" i="8"/>
  <c r="K427" i="8"/>
  <c r="K428" i="8"/>
  <c r="K429" i="8"/>
  <c r="K430" i="8"/>
  <c r="K431" i="8"/>
  <c r="K432" i="8"/>
  <c r="K433" i="8"/>
  <c r="K434" i="8"/>
  <c r="K435" i="8"/>
  <c r="K436" i="8"/>
  <c r="K437" i="8"/>
  <c r="K438" i="8"/>
  <c r="K439" i="8"/>
  <c r="K440" i="8"/>
  <c r="K441" i="8"/>
  <c r="K442" i="8"/>
  <c r="K443" i="8"/>
  <c r="K444" i="8"/>
  <c r="K445" i="8"/>
  <c r="K446" i="8"/>
  <c r="K447" i="8"/>
  <c r="K448" i="8"/>
  <c r="K449" i="8"/>
  <c r="K450" i="8"/>
  <c r="K451" i="8"/>
  <c r="K452" i="8"/>
  <c r="K453" i="8"/>
  <c r="K454" i="8"/>
  <c r="K455" i="8"/>
  <c r="K456" i="8"/>
  <c r="K457" i="8"/>
  <c r="K458" i="8"/>
  <c r="K459" i="8"/>
  <c r="K460" i="8"/>
  <c r="K461" i="8"/>
  <c r="K462" i="8"/>
  <c r="K463" i="8"/>
  <c r="K464" i="8"/>
  <c r="K465" i="8"/>
  <c r="K466" i="8"/>
  <c r="K467" i="8"/>
  <c r="K468" i="8"/>
  <c r="K469" i="8"/>
  <c r="K470" i="8"/>
  <c r="K471" i="8"/>
  <c r="K472" i="8"/>
  <c r="K473" i="8"/>
  <c r="K474" i="8"/>
  <c r="K475" i="8"/>
  <c r="K476" i="8"/>
  <c r="K477" i="8"/>
  <c r="K478" i="8"/>
  <c r="K479" i="8"/>
  <c r="K480" i="8"/>
  <c r="K481" i="8"/>
  <c r="K482" i="8"/>
  <c r="K483" i="8"/>
  <c r="K484" i="8"/>
  <c r="K485" i="8"/>
  <c r="K486" i="8"/>
  <c r="K487" i="8"/>
  <c r="K488" i="8"/>
  <c r="K489" i="8"/>
  <c r="K490" i="8"/>
  <c r="K491" i="8"/>
  <c r="K492" i="8"/>
  <c r="K493" i="8"/>
  <c r="K494" i="8"/>
  <c r="K495" i="8"/>
  <c r="K496" i="8"/>
  <c r="K497" i="8"/>
  <c r="K498" i="8"/>
  <c r="K499" i="8"/>
  <c r="K500" i="8"/>
  <c r="K501" i="8"/>
  <c r="K502" i="8"/>
  <c r="K503" i="8"/>
  <c r="K504" i="8"/>
  <c r="K505" i="8"/>
  <c r="K506" i="8"/>
  <c r="K507" i="8"/>
  <c r="K508" i="8"/>
  <c r="K509" i="8"/>
  <c r="K510" i="8"/>
  <c r="K511" i="8"/>
  <c r="K512" i="8"/>
  <c r="K513" i="8"/>
  <c r="K514" i="8"/>
  <c r="K515" i="8"/>
  <c r="K516" i="8"/>
  <c r="K517" i="8"/>
  <c r="K518" i="8"/>
  <c r="K519" i="8"/>
  <c r="K520" i="8"/>
  <c r="K521" i="8"/>
  <c r="K522" i="8"/>
  <c r="K523" i="8"/>
  <c r="K524" i="8"/>
  <c r="K525" i="8"/>
  <c r="K526" i="8"/>
  <c r="K527" i="8"/>
  <c r="K528" i="8"/>
  <c r="K529" i="8"/>
  <c r="K530" i="8"/>
  <c r="K531" i="8"/>
  <c r="K532" i="8"/>
  <c r="K533" i="8"/>
  <c r="K534" i="8"/>
  <c r="K535" i="8"/>
  <c r="K536" i="8"/>
  <c r="K537" i="8"/>
  <c r="K538" i="8"/>
  <c r="K539" i="8"/>
  <c r="K540" i="8"/>
  <c r="K541" i="8"/>
  <c r="K542" i="8"/>
  <c r="K543" i="8"/>
  <c r="K544" i="8"/>
  <c r="K545" i="8"/>
  <c r="K546" i="8"/>
  <c r="K547" i="8"/>
  <c r="K548" i="8"/>
  <c r="K549" i="8"/>
  <c r="K550" i="8"/>
  <c r="K551" i="8"/>
  <c r="K552" i="8"/>
  <c r="K553" i="8"/>
  <c r="K554" i="8"/>
  <c r="K555" i="8"/>
  <c r="K556" i="8"/>
  <c r="K557" i="8"/>
  <c r="K558" i="8"/>
  <c r="K559" i="8"/>
  <c r="K560" i="8"/>
  <c r="K561" i="8"/>
  <c r="K562" i="8"/>
  <c r="K563" i="8"/>
  <c r="K564" i="8"/>
  <c r="K565" i="8"/>
  <c r="K566" i="8"/>
  <c r="K567" i="8"/>
  <c r="K568" i="8"/>
  <c r="K569" i="8"/>
  <c r="K570" i="8"/>
  <c r="K571" i="8"/>
  <c r="K572" i="8"/>
  <c r="K573" i="8"/>
  <c r="K574" i="8"/>
  <c r="K575" i="8"/>
  <c r="K576" i="8"/>
  <c r="K577" i="8"/>
  <c r="K578" i="8"/>
  <c r="K579" i="8"/>
  <c r="K580" i="8"/>
  <c r="K581" i="8"/>
  <c r="K582" i="8"/>
  <c r="K583" i="8"/>
  <c r="K584" i="8"/>
  <c r="K585" i="8"/>
  <c r="K586" i="8"/>
  <c r="K587" i="8"/>
  <c r="K588" i="8"/>
  <c r="K589" i="8"/>
  <c r="K590" i="8"/>
  <c r="K591" i="8"/>
  <c r="K592" i="8"/>
  <c r="K593" i="8"/>
  <c r="K594" i="8"/>
  <c r="K595" i="8"/>
  <c r="K596" i="8"/>
  <c r="K597" i="8"/>
  <c r="K598" i="8"/>
  <c r="K599" i="8"/>
  <c r="K600" i="8"/>
  <c r="K601" i="8"/>
  <c r="K602" i="8"/>
  <c r="K603" i="8"/>
  <c r="K604" i="8"/>
  <c r="K605" i="8"/>
  <c r="K606" i="8"/>
  <c r="K607" i="8"/>
  <c r="K608" i="8"/>
  <c r="K609" i="8"/>
  <c r="K610" i="8"/>
  <c r="K611" i="8"/>
  <c r="K612" i="8"/>
  <c r="K613" i="8"/>
  <c r="K614" i="8"/>
  <c r="K615" i="8"/>
  <c r="K616" i="8"/>
  <c r="K617" i="8"/>
  <c r="K618" i="8"/>
  <c r="K619" i="8"/>
  <c r="K620" i="8"/>
  <c r="K621" i="8"/>
  <c r="K622" i="8"/>
  <c r="K623" i="8"/>
  <c r="K624" i="8"/>
  <c r="K625" i="8"/>
  <c r="K626" i="8"/>
  <c r="K627" i="8"/>
  <c r="K628" i="8"/>
  <c r="K629" i="8"/>
  <c r="K630" i="8"/>
  <c r="K631" i="8"/>
  <c r="K632" i="8"/>
  <c r="K633" i="8"/>
  <c r="K634" i="8"/>
  <c r="K635" i="8"/>
  <c r="K636" i="8"/>
  <c r="K637" i="8"/>
  <c r="K638" i="8"/>
  <c r="K639" i="8"/>
  <c r="K640" i="8"/>
  <c r="K641" i="8"/>
  <c r="K642" i="8"/>
  <c r="K643" i="8"/>
  <c r="K644" i="8"/>
  <c r="K645" i="8"/>
  <c r="K646" i="8"/>
  <c r="K647" i="8"/>
  <c r="K648" i="8"/>
  <c r="K649" i="8"/>
  <c r="K650" i="8"/>
  <c r="K651" i="8"/>
  <c r="K652" i="8"/>
  <c r="K653" i="8"/>
  <c r="K654" i="8"/>
  <c r="K655" i="8"/>
  <c r="K656" i="8"/>
  <c r="K657" i="8"/>
  <c r="K658" i="8"/>
  <c r="K659" i="8"/>
  <c r="K660" i="8"/>
  <c r="K661" i="8"/>
  <c r="K662" i="8"/>
  <c r="K663" i="8"/>
  <c r="K664" i="8"/>
  <c r="K665" i="8"/>
  <c r="K666" i="8"/>
  <c r="K667" i="8"/>
  <c r="K668" i="8"/>
  <c r="K669" i="8"/>
  <c r="K670" i="8"/>
  <c r="K671" i="8"/>
  <c r="K672" i="8"/>
  <c r="K673" i="8"/>
  <c r="K674" i="8"/>
  <c r="K675" i="8"/>
  <c r="K676" i="8"/>
  <c r="K677" i="8"/>
  <c r="K678" i="8"/>
  <c r="K679" i="8"/>
  <c r="K680" i="8"/>
  <c r="K681" i="8"/>
  <c r="K682" i="8"/>
  <c r="K683" i="8"/>
  <c r="K684" i="8"/>
  <c r="K685" i="8"/>
  <c r="K686" i="8"/>
  <c r="K687" i="8"/>
  <c r="K688" i="8"/>
  <c r="K689" i="8"/>
  <c r="K690" i="8"/>
  <c r="K691" i="8"/>
  <c r="K692" i="8"/>
  <c r="K693" i="8"/>
  <c r="K694" i="8"/>
  <c r="K695" i="8"/>
  <c r="K696" i="8"/>
  <c r="K697" i="8"/>
  <c r="K698" i="8"/>
  <c r="K699" i="8"/>
  <c r="K700" i="8"/>
  <c r="K701" i="8"/>
  <c r="K702" i="8"/>
  <c r="K703" i="8"/>
  <c r="K704" i="8"/>
  <c r="K705" i="8"/>
  <c r="K706" i="8"/>
  <c r="K707" i="8"/>
  <c r="K708" i="8"/>
  <c r="K709" i="8"/>
  <c r="K710" i="8"/>
  <c r="K711" i="8"/>
  <c r="K712" i="8"/>
  <c r="K713" i="8"/>
  <c r="K714" i="8"/>
  <c r="K715" i="8"/>
  <c r="K716" i="8"/>
  <c r="K717" i="8"/>
  <c r="K718" i="8"/>
  <c r="K719" i="8"/>
  <c r="K720" i="8"/>
  <c r="K721" i="8"/>
  <c r="K722" i="8"/>
  <c r="K723" i="8"/>
  <c r="K724" i="8"/>
  <c r="K725" i="8"/>
  <c r="K726" i="8"/>
  <c r="K727" i="8"/>
  <c r="K728" i="8"/>
  <c r="K729" i="8"/>
  <c r="K730" i="8"/>
  <c r="K731" i="8"/>
  <c r="K732" i="8"/>
  <c r="K733" i="8"/>
  <c r="K734" i="8"/>
  <c r="K735" i="8"/>
  <c r="K736" i="8"/>
  <c r="K737" i="8"/>
  <c r="K738" i="8"/>
  <c r="K739" i="8"/>
  <c r="K740" i="8"/>
  <c r="K741" i="8"/>
  <c r="K742" i="8"/>
  <c r="K743" i="8"/>
  <c r="K744" i="8"/>
  <c r="K745" i="8"/>
  <c r="K746" i="8"/>
  <c r="K747" i="8"/>
  <c r="K748" i="8"/>
  <c r="K749" i="8"/>
  <c r="K750" i="8"/>
  <c r="K751" i="8"/>
  <c r="K752" i="8"/>
  <c r="K753" i="8"/>
  <c r="K754" i="8"/>
  <c r="K755" i="8"/>
  <c r="K756" i="8"/>
  <c r="K757" i="8"/>
  <c r="K758" i="8"/>
  <c r="K759" i="8"/>
  <c r="K760" i="8"/>
  <c r="K761" i="8"/>
  <c r="K762" i="8"/>
  <c r="K763" i="8"/>
  <c r="K764" i="8"/>
  <c r="K765" i="8"/>
  <c r="K766" i="8"/>
  <c r="K767" i="8"/>
  <c r="K768" i="8"/>
  <c r="K769" i="8"/>
  <c r="K770" i="8"/>
  <c r="K771" i="8"/>
  <c r="K772" i="8"/>
  <c r="K773" i="8"/>
  <c r="K774" i="8"/>
  <c r="K775" i="8"/>
  <c r="K776" i="8"/>
  <c r="K777" i="8"/>
  <c r="K778" i="8"/>
  <c r="K779" i="8"/>
  <c r="K780" i="8"/>
  <c r="K781" i="8"/>
  <c r="K782" i="8"/>
  <c r="K783" i="8"/>
  <c r="K784" i="8"/>
  <c r="K785" i="8"/>
  <c r="K786" i="8"/>
  <c r="K787" i="8"/>
  <c r="K788" i="8"/>
  <c r="K789" i="8"/>
  <c r="K790" i="8"/>
  <c r="K791" i="8"/>
  <c r="K792" i="8"/>
  <c r="K793" i="8"/>
  <c r="K794" i="8"/>
  <c r="K795" i="8"/>
  <c r="K796" i="8"/>
  <c r="K797" i="8"/>
  <c r="K798" i="8"/>
  <c r="K799" i="8"/>
  <c r="K800" i="8"/>
  <c r="K801" i="8"/>
  <c r="K802" i="8"/>
  <c r="K803" i="8"/>
  <c r="K804" i="8"/>
  <c r="K805" i="8"/>
  <c r="K806" i="8"/>
  <c r="K807" i="8"/>
  <c r="K808" i="8"/>
  <c r="K809" i="8"/>
  <c r="K810" i="8"/>
  <c r="K811" i="8"/>
  <c r="K812" i="8"/>
  <c r="K813" i="8"/>
  <c r="K814" i="8"/>
  <c r="K815" i="8"/>
  <c r="K816" i="8"/>
  <c r="K817" i="8"/>
  <c r="K818" i="8"/>
  <c r="K819" i="8"/>
  <c r="K820" i="8"/>
  <c r="K821" i="8"/>
  <c r="K822" i="8"/>
  <c r="K823" i="8"/>
  <c r="K824" i="8"/>
  <c r="K825" i="8"/>
  <c r="K826" i="8"/>
  <c r="K827" i="8"/>
  <c r="K828" i="8"/>
  <c r="K829" i="8"/>
  <c r="K830" i="8"/>
  <c r="K831" i="8"/>
  <c r="K832" i="8"/>
  <c r="K833" i="8"/>
  <c r="K834" i="8"/>
  <c r="K835" i="8"/>
  <c r="K836" i="8"/>
  <c r="K837" i="8"/>
  <c r="K838" i="8"/>
  <c r="K839" i="8"/>
  <c r="K840" i="8"/>
  <c r="K841" i="8"/>
  <c r="K842" i="8"/>
  <c r="K843" i="8"/>
  <c r="K844" i="8"/>
  <c r="K845" i="8"/>
  <c r="K846" i="8"/>
  <c r="K847" i="8"/>
  <c r="K848" i="8"/>
  <c r="K849" i="8"/>
  <c r="K850" i="8"/>
  <c r="K851" i="8"/>
  <c r="K852" i="8"/>
  <c r="K853" i="8"/>
  <c r="K854" i="8"/>
  <c r="K855" i="8"/>
  <c r="K856" i="8"/>
  <c r="K857" i="8"/>
  <c r="K858" i="8"/>
  <c r="K859" i="8"/>
  <c r="K860" i="8"/>
  <c r="K861" i="8"/>
  <c r="K862" i="8"/>
  <c r="K863" i="8"/>
  <c r="K864" i="8"/>
  <c r="K865" i="8"/>
  <c r="K866" i="8"/>
  <c r="K867" i="8"/>
  <c r="K868" i="8"/>
  <c r="K869" i="8"/>
  <c r="K870" i="8"/>
  <c r="K871" i="8"/>
  <c r="K872" i="8"/>
  <c r="K873" i="8"/>
  <c r="K874" i="8"/>
  <c r="K875" i="8"/>
  <c r="K876" i="8"/>
  <c r="K877" i="8"/>
  <c r="K878" i="8"/>
  <c r="K879" i="8"/>
  <c r="K880" i="8"/>
  <c r="K881" i="8"/>
  <c r="K882" i="8"/>
  <c r="K883" i="8"/>
  <c r="K884" i="8"/>
  <c r="K885" i="8"/>
  <c r="K886" i="8"/>
  <c r="K887" i="8"/>
  <c r="K888" i="8"/>
  <c r="K889" i="8"/>
  <c r="K890" i="8"/>
  <c r="K891" i="8"/>
  <c r="K892" i="8"/>
  <c r="K893" i="8"/>
  <c r="K894" i="8"/>
  <c r="K895" i="8"/>
  <c r="K896" i="8"/>
  <c r="K897" i="8"/>
  <c r="K898" i="8"/>
  <c r="K899" i="8"/>
  <c r="K900" i="8"/>
  <c r="K901" i="8"/>
  <c r="K902" i="8"/>
  <c r="K903" i="8"/>
  <c r="K904" i="8"/>
  <c r="K905" i="8"/>
  <c r="K906" i="8"/>
  <c r="K907" i="8"/>
  <c r="K908" i="8"/>
  <c r="K909" i="8"/>
  <c r="K910" i="8"/>
  <c r="K911" i="8"/>
  <c r="K912" i="8"/>
  <c r="K913" i="8"/>
  <c r="K914" i="8"/>
  <c r="K915" i="8"/>
  <c r="K916" i="8"/>
  <c r="K917" i="8"/>
  <c r="K918" i="8"/>
  <c r="K919" i="8"/>
  <c r="K920" i="8"/>
  <c r="K921" i="8"/>
  <c r="K922" i="8"/>
  <c r="K923" i="8"/>
  <c r="K924" i="8"/>
  <c r="K925" i="8"/>
  <c r="K926" i="8"/>
  <c r="K927" i="8"/>
  <c r="K928" i="8"/>
  <c r="K929" i="8"/>
  <c r="K930" i="8"/>
  <c r="K931" i="8"/>
  <c r="K932" i="8"/>
  <c r="K933" i="8"/>
  <c r="K934" i="8"/>
  <c r="K935" i="8"/>
  <c r="K936" i="8"/>
  <c r="K937" i="8"/>
  <c r="K938" i="8"/>
  <c r="K939" i="8"/>
  <c r="K940" i="8"/>
  <c r="K941" i="8"/>
  <c r="K942" i="8"/>
  <c r="K943" i="8"/>
  <c r="K944" i="8"/>
  <c r="K945" i="8"/>
  <c r="K946" i="8"/>
  <c r="K947" i="8"/>
  <c r="K948" i="8"/>
  <c r="K949" i="8"/>
  <c r="K950" i="8"/>
  <c r="K951" i="8"/>
  <c r="K952" i="8"/>
  <c r="K953" i="8"/>
  <c r="K954" i="8"/>
  <c r="K955" i="8"/>
  <c r="K956" i="8"/>
  <c r="K957" i="8"/>
  <c r="K958" i="8"/>
  <c r="K959" i="8"/>
  <c r="K960" i="8"/>
  <c r="K961" i="8"/>
  <c r="K962" i="8"/>
  <c r="K963" i="8"/>
  <c r="K964" i="8"/>
  <c r="K965" i="8"/>
  <c r="K966" i="8"/>
  <c r="K967" i="8"/>
  <c r="K968" i="8"/>
  <c r="K969" i="8"/>
  <c r="K970" i="8"/>
  <c r="K971" i="8"/>
  <c r="K972" i="8"/>
  <c r="K973" i="8"/>
  <c r="K974" i="8"/>
  <c r="K975" i="8"/>
  <c r="K976" i="8"/>
  <c r="K977" i="8"/>
  <c r="K978" i="8"/>
  <c r="K979" i="8"/>
  <c r="K980" i="8"/>
  <c r="K981" i="8"/>
  <c r="K982" i="8"/>
  <c r="K983" i="8"/>
  <c r="K984" i="8"/>
  <c r="K985" i="8"/>
  <c r="K986" i="8"/>
  <c r="K987" i="8"/>
  <c r="K988" i="8"/>
  <c r="K989" i="8"/>
  <c r="K990" i="8"/>
  <c r="K991" i="8"/>
  <c r="K992" i="8"/>
  <c r="K993" i="8"/>
  <c r="K994" i="8"/>
  <c r="K995" i="8"/>
  <c r="K996" i="8"/>
  <c r="K997" i="8"/>
  <c r="K998" i="8"/>
  <c r="K999" i="8"/>
  <c r="K1000" i="8"/>
  <c r="K1001" i="8"/>
  <c r="K1002" i="8"/>
  <c r="K1003" i="8"/>
  <c r="K1004" i="8"/>
  <c r="K1005" i="8"/>
  <c r="K1006" i="8"/>
  <c r="K1007" i="8"/>
  <c r="K1008" i="8"/>
  <c r="K1009" i="8"/>
  <c r="K1010" i="8"/>
  <c r="K1011" i="8"/>
  <c r="K1012" i="8"/>
  <c r="K1013" i="8"/>
  <c r="K1014" i="8"/>
  <c r="K1015" i="8"/>
  <c r="K1016" i="8"/>
  <c r="K1017" i="8"/>
  <c r="K1018" i="8"/>
  <c r="K1019" i="8"/>
  <c r="K1020" i="8"/>
  <c r="K1021" i="8"/>
  <c r="K1022" i="8"/>
  <c r="K1023" i="8"/>
  <c r="K1024" i="8"/>
  <c r="K1025" i="8"/>
  <c r="K1026" i="8"/>
  <c r="K1027" i="8"/>
  <c r="K1028" i="8"/>
  <c r="K1029" i="8"/>
  <c r="K1030" i="8"/>
  <c r="K1031" i="8"/>
  <c r="K1032" i="8"/>
  <c r="K1033" i="8"/>
  <c r="K1034" i="8"/>
  <c r="K1035" i="8"/>
  <c r="K1036" i="8"/>
  <c r="K1037" i="8"/>
  <c r="K1038" i="8"/>
  <c r="K1039" i="8"/>
  <c r="K1040" i="8"/>
  <c r="K1041" i="8"/>
  <c r="K1042" i="8"/>
  <c r="K1043" i="8"/>
  <c r="K1044" i="8"/>
  <c r="K1045" i="8"/>
  <c r="K1046" i="8"/>
  <c r="K1047" i="8"/>
  <c r="K1048" i="8"/>
  <c r="K1049" i="8"/>
  <c r="K1050" i="8"/>
  <c r="K1051" i="8"/>
  <c r="K1052" i="8"/>
  <c r="K1053" i="8"/>
  <c r="K1054" i="8"/>
  <c r="K1055" i="8"/>
  <c r="K1056" i="8"/>
  <c r="K1057" i="8"/>
  <c r="K1058" i="8"/>
  <c r="K1059" i="8"/>
  <c r="K1060" i="8"/>
  <c r="K1061" i="8"/>
  <c r="K1062" i="8"/>
  <c r="K1063" i="8"/>
  <c r="K1064" i="8"/>
  <c r="K1065" i="8"/>
  <c r="K1066" i="8"/>
  <c r="K1067" i="8"/>
  <c r="K1068" i="8"/>
  <c r="K1069" i="8"/>
  <c r="K1070" i="8"/>
  <c r="K1071" i="8"/>
  <c r="K1072" i="8"/>
  <c r="K1073" i="8"/>
  <c r="K1074" i="8"/>
  <c r="K1075" i="8"/>
  <c r="K1076" i="8"/>
  <c r="K1077" i="8"/>
  <c r="K1078" i="8"/>
  <c r="K1079" i="8"/>
  <c r="K1080" i="8"/>
  <c r="K1081" i="8"/>
  <c r="K1082" i="8"/>
  <c r="K1083" i="8"/>
  <c r="K1084" i="8"/>
  <c r="K1085" i="8"/>
  <c r="K1086" i="8"/>
  <c r="K1087" i="8"/>
  <c r="K1088" i="8"/>
  <c r="K1089" i="8"/>
  <c r="K1090" i="8"/>
  <c r="K1091" i="8"/>
  <c r="K1092" i="8"/>
  <c r="K1093" i="8"/>
  <c r="K1094" i="8"/>
  <c r="K1095" i="8"/>
  <c r="K1096" i="8"/>
  <c r="K1097" i="8"/>
  <c r="K1098" i="8"/>
  <c r="K1099" i="8"/>
  <c r="K1100" i="8"/>
  <c r="K1101" i="8"/>
  <c r="K1102" i="8"/>
  <c r="K1103" i="8"/>
  <c r="K1104" i="8"/>
  <c r="K1105" i="8"/>
  <c r="K1106" i="8"/>
  <c r="K1107" i="8"/>
  <c r="K1108" i="8"/>
  <c r="K1109" i="8"/>
  <c r="K1110" i="8"/>
  <c r="K1111" i="8"/>
  <c r="K1112" i="8"/>
  <c r="K1113" i="8"/>
  <c r="K1114" i="8"/>
  <c r="K1115" i="8"/>
  <c r="K1116" i="8"/>
  <c r="K1117" i="8"/>
  <c r="K1118" i="8"/>
  <c r="K1119" i="8"/>
  <c r="K1120" i="8"/>
  <c r="K1121" i="8"/>
  <c r="K1122" i="8"/>
  <c r="K1123" i="8"/>
  <c r="K1124" i="8"/>
  <c r="K1125" i="8"/>
  <c r="K1126" i="8"/>
  <c r="K1127" i="8"/>
  <c r="K1128" i="8"/>
  <c r="K1129" i="8"/>
  <c r="K1130" i="8"/>
  <c r="K1131" i="8"/>
  <c r="K1132" i="8"/>
  <c r="K1133" i="8"/>
  <c r="K1134" i="8"/>
  <c r="K1135" i="8"/>
  <c r="K1136" i="8"/>
  <c r="K1137" i="8"/>
  <c r="K1138" i="8"/>
  <c r="K1139" i="8"/>
  <c r="K1140" i="8"/>
  <c r="K1141" i="8"/>
  <c r="K1142" i="8"/>
  <c r="K1143" i="8"/>
  <c r="K1144" i="8"/>
  <c r="K1145" i="8"/>
  <c r="K1146" i="8"/>
  <c r="K1147" i="8"/>
  <c r="K1148" i="8"/>
  <c r="K1149" i="8"/>
  <c r="K1150" i="8"/>
  <c r="K1151" i="8"/>
  <c r="K1152" i="8"/>
  <c r="K1153" i="8"/>
  <c r="K1154" i="8"/>
  <c r="K1155" i="8"/>
  <c r="K1156" i="8"/>
  <c r="K1157" i="8"/>
  <c r="K1158" i="8"/>
  <c r="K1159" i="8"/>
  <c r="K1160" i="8"/>
  <c r="K1161" i="8"/>
  <c r="K1162" i="8"/>
  <c r="K1163" i="8"/>
  <c r="K1164" i="8"/>
  <c r="K1165" i="8"/>
  <c r="K1166" i="8"/>
  <c r="K1167" i="8"/>
  <c r="K1168" i="8"/>
  <c r="K1169" i="8"/>
  <c r="K1170" i="8"/>
  <c r="K1171" i="8"/>
  <c r="K1172" i="8"/>
  <c r="K1173" i="8"/>
  <c r="K1174" i="8"/>
  <c r="K1175" i="8"/>
  <c r="K1176" i="8"/>
  <c r="K1177" i="8"/>
  <c r="K1178" i="8"/>
  <c r="K1179" i="8"/>
  <c r="K1180" i="8"/>
  <c r="K1181" i="8"/>
  <c r="K1182" i="8"/>
  <c r="K1183" i="8"/>
  <c r="K1184" i="8"/>
  <c r="K1185" i="8"/>
  <c r="K1186" i="8"/>
  <c r="K1187" i="8"/>
  <c r="K1188" i="8"/>
  <c r="K1189" i="8"/>
  <c r="K1190" i="8"/>
  <c r="K1191" i="8"/>
  <c r="K1192" i="8"/>
  <c r="K1193" i="8"/>
  <c r="K1194" i="8"/>
  <c r="K1195" i="8"/>
  <c r="K1196" i="8"/>
  <c r="K1197" i="8"/>
  <c r="K1198" i="8"/>
  <c r="K1199" i="8"/>
  <c r="K1200" i="8"/>
  <c r="K1201" i="8"/>
  <c r="K1202" i="8"/>
  <c r="K1203" i="8"/>
  <c r="K1204" i="8"/>
  <c r="K1205" i="8"/>
  <c r="K1206" i="8"/>
  <c r="K1207" i="8"/>
  <c r="K1208" i="8"/>
  <c r="K1209" i="8"/>
  <c r="K1210" i="8"/>
  <c r="K1211" i="8"/>
  <c r="K1212" i="8"/>
  <c r="K1213" i="8"/>
  <c r="K1214" i="8"/>
  <c r="K1215" i="8"/>
  <c r="K1216" i="8"/>
  <c r="K1217" i="8"/>
  <c r="K1218" i="8"/>
  <c r="K1219" i="8"/>
  <c r="K1220" i="8"/>
  <c r="K1221" i="8"/>
  <c r="K1222" i="8"/>
  <c r="K1223" i="8"/>
  <c r="K1224" i="8"/>
  <c r="K1225" i="8"/>
  <c r="K1226" i="8"/>
  <c r="K1227" i="8"/>
  <c r="K1228" i="8"/>
  <c r="K1229" i="8"/>
  <c r="K1230" i="8"/>
  <c r="K1231" i="8"/>
  <c r="K1232" i="8"/>
  <c r="K1233" i="8"/>
  <c r="K1234" i="8"/>
  <c r="K1235" i="8"/>
  <c r="K1236" i="8"/>
  <c r="K1237" i="8"/>
  <c r="K1238" i="8"/>
  <c r="K1239" i="8"/>
  <c r="K1240" i="8"/>
  <c r="K1241" i="8"/>
  <c r="K1242" i="8"/>
  <c r="K1243" i="8"/>
  <c r="K1244" i="8"/>
  <c r="K1245" i="8"/>
  <c r="K1246" i="8"/>
  <c r="K1247" i="8"/>
  <c r="K1248" i="8"/>
  <c r="K1249" i="8"/>
  <c r="K1250" i="8"/>
  <c r="K1251" i="8"/>
  <c r="K1252" i="8"/>
  <c r="K1253" i="8"/>
  <c r="K1254" i="8"/>
  <c r="K1255" i="8"/>
  <c r="K1256" i="8"/>
  <c r="K1257" i="8"/>
  <c r="K1258" i="8"/>
  <c r="K1259" i="8"/>
  <c r="K1260" i="8"/>
  <c r="K1261" i="8"/>
  <c r="K1262" i="8"/>
  <c r="K1263" i="8"/>
  <c r="K1264" i="8"/>
  <c r="K1265" i="8"/>
  <c r="K1266" i="8"/>
  <c r="K1267" i="8"/>
  <c r="K1268" i="8"/>
  <c r="K1269" i="8"/>
  <c r="K1270" i="8"/>
  <c r="K1271" i="8"/>
  <c r="K1272" i="8"/>
  <c r="K1273" i="8"/>
  <c r="K1274" i="8"/>
  <c r="K1275" i="8"/>
  <c r="K1276" i="8"/>
  <c r="K1277" i="8"/>
  <c r="K1278" i="8"/>
  <c r="K1279" i="8"/>
  <c r="K1280" i="8"/>
  <c r="K1281" i="8"/>
  <c r="K1282" i="8"/>
  <c r="K1283" i="8"/>
  <c r="K1284" i="8"/>
  <c r="K1285" i="8"/>
  <c r="K1286" i="8"/>
  <c r="K1287" i="8"/>
  <c r="K1288" i="8"/>
  <c r="K1289" i="8"/>
  <c r="K1290" i="8"/>
  <c r="K1291" i="8"/>
  <c r="K1292" i="8"/>
  <c r="K1293" i="8"/>
  <c r="K1294" i="8"/>
  <c r="K1295" i="8"/>
  <c r="K1296" i="8"/>
  <c r="K1297" i="8"/>
  <c r="K1298" i="8"/>
  <c r="K1299" i="8"/>
  <c r="K1300" i="8"/>
  <c r="K1301" i="8"/>
  <c r="K1302" i="8"/>
  <c r="K1303" i="8"/>
  <c r="K1304" i="8"/>
  <c r="K1305" i="8"/>
  <c r="K1306" i="8"/>
  <c r="K1307" i="8"/>
  <c r="K1308" i="8"/>
  <c r="K1309" i="8"/>
  <c r="K1310" i="8"/>
  <c r="K1311" i="8"/>
  <c r="K1312" i="8"/>
  <c r="K1313" i="8"/>
  <c r="K1314" i="8"/>
  <c r="K1315" i="8"/>
  <c r="K1316" i="8"/>
  <c r="K1317" i="8"/>
  <c r="K1318" i="8"/>
  <c r="K1319" i="8"/>
  <c r="K1320" i="8"/>
  <c r="K1321" i="8"/>
  <c r="K1322" i="8"/>
  <c r="K1323" i="8"/>
  <c r="K1324" i="8"/>
  <c r="K1325" i="8"/>
  <c r="K1326" i="8"/>
  <c r="K1327" i="8"/>
  <c r="K1328" i="8"/>
  <c r="K1329" i="8"/>
  <c r="K1330" i="8"/>
  <c r="K1331" i="8"/>
  <c r="K1332" i="8"/>
  <c r="K1333" i="8"/>
  <c r="K1334" i="8"/>
  <c r="K1335" i="8"/>
  <c r="K1336" i="8"/>
  <c r="K1337" i="8"/>
  <c r="K1338" i="8"/>
  <c r="K1339" i="8"/>
  <c r="K1340" i="8"/>
  <c r="K1341" i="8"/>
  <c r="K1342" i="8"/>
  <c r="K1343" i="8"/>
  <c r="K1344" i="8"/>
  <c r="K1345" i="8"/>
  <c r="K1346" i="8"/>
  <c r="K1347" i="8"/>
  <c r="K1348" i="8"/>
  <c r="K1349" i="8"/>
  <c r="K1350" i="8"/>
  <c r="K1351" i="8"/>
  <c r="K1352" i="8"/>
  <c r="K1353" i="8"/>
  <c r="K1354" i="8"/>
  <c r="K1355" i="8"/>
  <c r="K1356" i="8"/>
  <c r="K1357" i="8"/>
  <c r="K1358" i="8"/>
  <c r="K1359" i="8"/>
  <c r="K1360" i="8"/>
  <c r="K1361" i="8"/>
  <c r="K1362" i="8"/>
  <c r="K1363" i="8"/>
  <c r="K1364" i="8"/>
  <c r="K1365" i="8"/>
  <c r="K1366" i="8"/>
  <c r="K1367" i="8"/>
  <c r="K1368" i="8"/>
  <c r="K1369" i="8"/>
  <c r="K1370" i="8"/>
  <c r="K1371" i="8"/>
  <c r="K1372" i="8"/>
  <c r="K1373" i="8"/>
  <c r="K1374" i="8"/>
  <c r="K1375" i="8"/>
  <c r="K1376" i="8"/>
  <c r="K1377" i="8"/>
  <c r="K1378" i="8"/>
  <c r="K1379" i="8"/>
  <c r="K1380" i="8"/>
  <c r="K1381" i="8"/>
  <c r="K1382" i="8"/>
  <c r="K1383" i="8"/>
  <c r="K1384" i="8"/>
  <c r="K1385" i="8"/>
  <c r="K1386" i="8"/>
  <c r="K1387" i="8"/>
  <c r="K1388" i="8"/>
  <c r="K1389" i="8"/>
  <c r="K1390" i="8"/>
  <c r="K1391" i="8"/>
  <c r="K1392" i="8"/>
  <c r="K1393" i="8"/>
  <c r="K1394" i="8"/>
  <c r="K1395" i="8"/>
  <c r="K1396" i="8"/>
  <c r="K1397" i="8"/>
  <c r="K1398" i="8"/>
  <c r="K1399" i="8"/>
  <c r="K1400" i="8"/>
  <c r="K1401" i="8"/>
  <c r="K1402" i="8"/>
  <c r="K1403" i="8"/>
  <c r="K1404" i="8"/>
  <c r="K1405" i="8"/>
  <c r="K1406" i="8"/>
  <c r="K1407" i="8"/>
  <c r="K1408" i="8"/>
  <c r="K1409" i="8"/>
  <c r="K1410" i="8"/>
  <c r="K1411" i="8"/>
  <c r="K1412" i="8"/>
  <c r="K1413" i="8"/>
  <c r="K1414" i="8"/>
  <c r="K1415" i="8"/>
  <c r="K1416" i="8"/>
  <c r="K1417" i="8"/>
  <c r="K1418" i="8"/>
  <c r="K1419" i="8"/>
  <c r="K1420" i="8"/>
  <c r="K1421" i="8"/>
  <c r="K1422" i="8"/>
  <c r="K1423" i="8"/>
  <c r="K1424" i="8"/>
  <c r="K1425" i="8"/>
  <c r="K1426" i="8"/>
  <c r="K1427" i="8"/>
  <c r="K1428" i="8"/>
  <c r="K1429" i="8"/>
  <c r="K1430" i="8"/>
  <c r="K1431" i="8"/>
  <c r="K1432" i="8"/>
  <c r="K1433" i="8"/>
  <c r="K1434" i="8"/>
  <c r="K1435" i="8"/>
  <c r="K1436" i="8"/>
  <c r="K1437" i="8"/>
  <c r="K1438" i="8"/>
  <c r="K1439" i="8"/>
  <c r="K1440" i="8"/>
  <c r="K1441" i="8"/>
  <c r="K1442" i="8"/>
  <c r="K1443" i="8"/>
  <c r="K1444" i="8"/>
  <c r="K1445" i="8"/>
  <c r="K1446" i="8"/>
  <c r="K1447" i="8"/>
  <c r="K1448" i="8"/>
  <c r="K1449" i="8"/>
  <c r="K1450" i="8"/>
  <c r="K1451" i="8"/>
  <c r="K1452" i="8"/>
  <c r="K1453" i="8"/>
  <c r="K1454" i="8"/>
  <c r="K1455" i="8"/>
  <c r="K1456" i="8"/>
  <c r="K1457" i="8"/>
  <c r="K1458" i="8"/>
  <c r="K1459" i="8"/>
  <c r="K1460" i="8"/>
  <c r="K1461" i="8"/>
  <c r="K1462" i="8"/>
  <c r="K1463" i="8"/>
  <c r="K1464" i="8"/>
  <c r="K1465" i="8"/>
  <c r="K1466" i="8"/>
  <c r="K1467" i="8"/>
  <c r="K1468" i="8"/>
  <c r="K1469" i="8"/>
  <c r="K1470" i="8"/>
  <c r="K1471" i="8"/>
  <c r="K1472" i="8"/>
  <c r="K1473" i="8"/>
  <c r="K1474" i="8"/>
  <c r="K1475" i="8"/>
  <c r="K1476" i="8"/>
  <c r="K1477" i="8"/>
  <c r="K1478" i="8"/>
  <c r="K1479" i="8"/>
  <c r="K1480" i="8"/>
  <c r="K1481" i="8"/>
  <c r="K1482" i="8"/>
  <c r="K1483" i="8"/>
  <c r="K1484" i="8"/>
  <c r="K1485" i="8"/>
  <c r="K1486" i="8"/>
  <c r="K1487" i="8"/>
  <c r="K1488" i="8"/>
  <c r="K1489" i="8"/>
  <c r="K1490" i="8"/>
  <c r="K1491" i="8"/>
  <c r="K1492" i="8"/>
  <c r="K1493" i="8"/>
  <c r="K1494" i="8"/>
  <c r="K1495" i="8"/>
  <c r="K1496" i="8"/>
  <c r="K1497" i="8"/>
  <c r="K1498" i="8"/>
  <c r="K1499" i="8"/>
  <c r="K1500" i="8"/>
  <c r="K1501" i="8"/>
  <c r="K1502" i="8"/>
  <c r="K1503" i="8"/>
  <c r="K1504" i="8"/>
  <c r="K1505" i="8"/>
  <c r="K1506" i="8"/>
  <c r="K1507" i="8"/>
  <c r="K1508" i="8"/>
  <c r="K1509" i="8"/>
  <c r="K1510" i="8"/>
  <c r="K1511" i="8"/>
  <c r="K1512" i="8"/>
  <c r="K1513" i="8"/>
  <c r="K1514" i="8"/>
  <c r="K1515" i="8"/>
  <c r="K1516" i="8"/>
  <c r="K1517" i="8"/>
  <c r="K1518" i="8"/>
  <c r="K1519" i="8"/>
  <c r="K1520" i="8"/>
  <c r="K1521" i="8"/>
  <c r="K1522" i="8"/>
  <c r="K1523" i="8"/>
  <c r="K1524" i="8"/>
  <c r="K1525" i="8"/>
  <c r="K1526" i="8"/>
  <c r="K1527" i="8"/>
  <c r="K1528" i="8"/>
  <c r="K1529" i="8"/>
  <c r="K1530" i="8"/>
  <c r="K1531" i="8"/>
  <c r="K1532" i="8"/>
  <c r="K1533" i="8"/>
  <c r="K1534" i="8"/>
  <c r="K1535" i="8"/>
  <c r="K1536" i="8"/>
  <c r="K1537" i="8"/>
  <c r="K1538" i="8"/>
  <c r="K1539" i="8"/>
  <c r="K1540" i="8"/>
  <c r="K1541" i="8"/>
  <c r="K1542" i="8"/>
  <c r="K1543" i="8"/>
  <c r="K1544" i="8"/>
  <c r="K1545" i="8"/>
  <c r="K1546" i="8"/>
  <c r="K1547" i="8"/>
  <c r="K1548" i="8"/>
  <c r="K1549" i="8"/>
  <c r="K1550" i="8"/>
  <c r="K1551" i="8"/>
  <c r="K1552" i="8"/>
  <c r="K1553" i="8"/>
  <c r="K1554" i="8"/>
  <c r="K1555" i="8"/>
  <c r="K1556" i="8"/>
  <c r="K1557" i="8"/>
  <c r="K1558" i="8"/>
  <c r="K1559" i="8"/>
  <c r="K1560" i="8"/>
  <c r="J2" i="8"/>
  <c r="J3" i="8"/>
  <c r="J4" i="8"/>
  <c r="J5"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J73" i="8"/>
  <c r="J74" i="8"/>
  <c r="J75" i="8"/>
  <c r="J76" i="8"/>
  <c r="J77" i="8"/>
  <c r="J78" i="8"/>
  <c r="J79" i="8"/>
  <c r="J80" i="8"/>
  <c r="J81" i="8"/>
  <c r="J82" i="8"/>
  <c r="J83" i="8"/>
  <c r="J84" i="8"/>
  <c r="J85" i="8"/>
  <c r="J86" i="8"/>
  <c r="J87" i="8"/>
  <c r="J88" i="8"/>
  <c r="J89" i="8"/>
  <c r="J90" i="8"/>
  <c r="J91" i="8"/>
  <c r="J92" i="8"/>
  <c r="J93" i="8"/>
  <c r="J94" i="8"/>
  <c r="J95" i="8"/>
  <c r="J96" i="8"/>
  <c r="J97" i="8"/>
  <c r="J98" i="8"/>
  <c r="J99" i="8"/>
  <c r="J100" i="8"/>
  <c r="J101" i="8"/>
  <c r="J102" i="8"/>
  <c r="J103" i="8"/>
  <c r="J104" i="8"/>
  <c r="J105" i="8"/>
  <c r="J106" i="8"/>
  <c r="J107" i="8"/>
  <c r="J108" i="8"/>
  <c r="J109" i="8"/>
  <c r="J110" i="8"/>
  <c r="J111" i="8"/>
  <c r="J112" i="8"/>
  <c r="J113" i="8"/>
  <c r="J114" i="8"/>
  <c r="J115" i="8"/>
  <c r="J116" i="8"/>
  <c r="J117" i="8"/>
  <c r="J118" i="8"/>
  <c r="J119" i="8"/>
  <c r="J120" i="8"/>
  <c r="J121" i="8"/>
  <c r="J122" i="8"/>
  <c r="J123" i="8"/>
  <c r="J124" i="8"/>
  <c r="J125" i="8"/>
  <c r="J126" i="8"/>
  <c r="J127" i="8"/>
  <c r="J128" i="8"/>
  <c r="J129" i="8"/>
  <c r="J130" i="8"/>
  <c r="J131" i="8"/>
  <c r="J132" i="8"/>
  <c r="J133" i="8"/>
  <c r="J134" i="8"/>
  <c r="J135" i="8"/>
  <c r="J136" i="8"/>
  <c r="J137" i="8"/>
  <c r="J138" i="8"/>
  <c r="J139" i="8"/>
  <c r="J140" i="8"/>
  <c r="J141" i="8"/>
  <c r="J142" i="8"/>
  <c r="J143" i="8"/>
  <c r="J144" i="8"/>
  <c r="J145" i="8"/>
  <c r="J146" i="8"/>
  <c r="J147" i="8"/>
  <c r="J148" i="8"/>
  <c r="J149" i="8"/>
  <c r="J150" i="8"/>
  <c r="J151" i="8"/>
  <c r="J152" i="8"/>
  <c r="J153" i="8"/>
  <c r="J154" i="8"/>
  <c r="J155" i="8"/>
  <c r="J156" i="8"/>
  <c r="J157" i="8"/>
  <c r="J158" i="8"/>
  <c r="J159" i="8"/>
  <c r="J160" i="8"/>
  <c r="J161" i="8"/>
  <c r="J162" i="8"/>
  <c r="J163" i="8"/>
  <c r="J164" i="8"/>
  <c r="J165" i="8"/>
  <c r="J166" i="8"/>
  <c r="J167" i="8"/>
  <c r="J168" i="8"/>
  <c r="J169" i="8"/>
  <c r="J170" i="8"/>
  <c r="J171" i="8"/>
  <c r="J172" i="8"/>
  <c r="J173" i="8"/>
  <c r="J174" i="8"/>
  <c r="J175" i="8"/>
  <c r="J176" i="8"/>
  <c r="J177" i="8"/>
  <c r="J178" i="8"/>
  <c r="J179" i="8"/>
  <c r="J180" i="8"/>
  <c r="J181" i="8"/>
  <c r="J182" i="8"/>
  <c r="J183" i="8"/>
  <c r="J184" i="8"/>
  <c r="J185" i="8"/>
  <c r="J186" i="8"/>
  <c r="J187" i="8"/>
  <c r="J188" i="8"/>
  <c r="J189" i="8"/>
  <c r="J190" i="8"/>
  <c r="J191" i="8"/>
  <c r="J192" i="8"/>
  <c r="J193" i="8"/>
  <c r="J194" i="8"/>
  <c r="J195" i="8"/>
  <c r="J196" i="8"/>
  <c r="J197" i="8"/>
  <c r="J198" i="8"/>
  <c r="J199" i="8"/>
  <c r="J200" i="8"/>
  <c r="J201" i="8"/>
  <c r="J202" i="8"/>
  <c r="J203" i="8"/>
  <c r="J204" i="8"/>
  <c r="J205" i="8"/>
  <c r="J206" i="8"/>
  <c r="J207" i="8"/>
  <c r="J208" i="8"/>
  <c r="J209" i="8"/>
  <c r="J210" i="8"/>
  <c r="J211" i="8"/>
  <c r="J212" i="8"/>
  <c r="J213" i="8"/>
  <c r="J214" i="8"/>
  <c r="J215" i="8"/>
  <c r="J216" i="8"/>
  <c r="J217" i="8"/>
  <c r="J218" i="8"/>
  <c r="J219" i="8"/>
  <c r="J220" i="8"/>
  <c r="J221" i="8"/>
  <c r="J222" i="8"/>
  <c r="J223" i="8"/>
  <c r="J224" i="8"/>
  <c r="J225" i="8"/>
  <c r="J226" i="8"/>
  <c r="J227" i="8"/>
  <c r="J228" i="8"/>
  <c r="J229" i="8"/>
  <c r="J230" i="8"/>
  <c r="J231" i="8"/>
  <c r="J232" i="8"/>
  <c r="J233" i="8"/>
  <c r="J234" i="8"/>
  <c r="J235" i="8"/>
  <c r="J236" i="8"/>
  <c r="J237" i="8"/>
  <c r="J238" i="8"/>
  <c r="J239" i="8"/>
  <c r="J240" i="8"/>
  <c r="J241" i="8"/>
  <c r="J242" i="8"/>
  <c r="J243" i="8"/>
  <c r="J244" i="8"/>
  <c r="J245" i="8"/>
  <c r="J246" i="8"/>
  <c r="J247" i="8"/>
  <c r="J248" i="8"/>
  <c r="J249" i="8"/>
  <c r="J250" i="8"/>
  <c r="J251" i="8"/>
  <c r="J252" i="8"/>
  <c r="J253" i="8"/>
  <c r="J254" i="8"/>
  <c r="J255" i="8"/>
  <c r="J256" i="8"/>
  <c r="J257" i="8"/>
  <c r="J258" i="8"/>
  <c r="J259" i="8"/>
  <c r="J260" i="8"/>
  <c r="J261" i="8"/>
  <c r="J262" i="8"/>
  <c r="J263" i="8"/>
  <c r="J264" i="8"/>
  <c r="J265" i="8"/>
  <c r="J266" i="8"/>
  <c r="J267" i="8"/>
  <c r="J268" i="8"/>
  <c r="J269" i="8"/>
  <c r="J270" i="8"/>
  <c r="J271" i="8"/>
  <c r="J272" i="8"/>
  <c r="J273" i="8"/>
  <c r="J274" i="8"/>
  <c r="J275" i="8"/>
  <c r="J276" i="8"/>
  <c r="J277" i="8"/>
  <c r="J278" i="8"/>
  <c r="J279" i="8"/>
  <c r="J280" i="8"/>
  <c r="J281" i="8"/>
  <c r="J282" i="8"/>
  <c r="J283" i="8"/>
  <c r="J284" i="8"/>
  <c r="J285" i="8"/>
  <c r="J286" i="8"/>
  <c r="J287" i="8"/>
  <c r="J288" i="8"/>
  <c r="J289" i="8"/>
  <c r="J290" i="8"/>
  <c r="J291" i="8"/>
  <c r="J292" i="8"/>
  <c r="J293" i="8"/>
  <c r="J294" i="8"/>
  <c r="J295" i="8"/>
  <c r="J296" i="8"/>
  <c r="J297" i="8"/>
  <c r="J298" i="8"/>
  <c r="J299" i="8"/>
  <c r="J300" i="8"/>
  <c r="J301" i="8"/>
  <c r="J302" i="8"/>
  <c r="J303" i="8"/>
  <c r="J304" i="8"/>
  <c r="J305" i="8"/>
  <c r="J306" i="8"/>
  <c r="J307" i="8"/>
  <c r="J308" i="8"/>
  <c r="J309" i="8"/>
  <c r="J310" i="8"/>
  <c r="J311" i="8"/>
  <c r="J312" i="8"/>
  <c r="J313" i="8"/>
  <c r="J314" i="8"/>
  <c r="J315" i="8"/>
  <c r="J316" i="8"/>
  <c r="J317" i="8"/>
  <c r="J318" i="8"/>
  <c r="J319" i="8"/>
  <c r="J320" i="8"/>
  <c r="J321" i="8"/>
  <c r="J322" i="8"/>
  <c r="J323" i="8"/>
  <c r="J324" i="8"/>
  <c r="J325" i="8"/>
  <c r="J326" i="8"/>
  <c r="J327" i="8"/>
  <c r="J328" i="8"/>
  <c r="J329" i="8"/>
  <c r="J330" i="8"/>
  <c r="J331" i="8"/>
  <c r="J332" i="8"/>
  <c r="J333" i="8"/>
  <c r="J334" i="8"/>
  <c r="J335" i="8"/>
  <c r="J336" i="8"/>
  <c r="J337" i="8"/>
  <c r="J338" i="8"/>
  <c r="J339" i="8"/>
  <c r="J340" i="8"/>
  <c r="J341" i="8"/>
  <c r="J342" i="8"/>
  <c r="J343" i="8"/>
  <c r="J344" i="8"/>
  <c r="J345" i="8"/>
  <c r="J346" i="8"/>
  <c r="J347" i="8"/>
  <c r="J348" i="8"/>
  <c r="J349" i="8"/>
  <c r="J350" i="8"/>
  <c r="J351" i="8"/>
  <c r="J352" i="8"/>
  <c r="J353" i="8"/>
  <c r="J354" i="8"/>
  <c r="J355" i="8"/>
  <c r="J356" i="8"/>
  <c r="J357" i="8"/>
  <c r="J358" i="8"/>
  <c r="J359" i="8"/>
  <c r="J360" i="8"/>
  <c r="J361" i="8"/>
  <c r="J362" i="8"/>
  <c r="J363" i="8"/>
  <c r="J364" i="8"/>
  <c r="J365" i="8"/>
  <c r="J366" i="8"/>
  <c r="J367" i="8"/>
  <c r="J368" i="8"/>
  <c r="J369" i="8"/>
  <c r="J370" i="8"/>
  <c r="J371" i="8"/>
  <c r="J372" i="8"/>
  <c r="J373" i="8"/>
  <c r="J374" i="8"/>
  <c r="J375" i="8"/>
  <c r="J376" i="8"/>
  <c r="J377" i="8"/>
  <c r="J378" i="8"/>
  <c r="J379" i="8"/>
  <c r="J380" i="8"/>
  <c r="J381" i="8"/>
  <c r="J382" i="8"/>
  <c r="J383" i="8"/>
  <c r="J384" i="8"/>
  <c r="J385" i="8"/>
  <c r="J386" i="8"/>
  <c r="J387" i="8"/>
  <c r="J388" i="8"/>
  <c r="J389" i="8"/>
  <c r="J390" i="8"/>
  <c r="J391" i="8"/>
  <c r="J392" i="8"/>
  <c r="J393" i="8"/>
  <c r="J394" i="8"/>
  <c r="J395" i="8"/>
  <c r="J396" i="8"/>
  <c r="J397" i="8"/>
  <c r="J398" i="8"/>
  <c r="J399" i="8"/>
  <c r="J400" i="8"/>
  <c r="J401" i="8"/>
  <c r="J402" i="8"/>
  <c r="J403" i="8"/>
  <c r="J404" i="8"/>
  <c r="J405" i="8"/>
  <c r="J406" i="8"/>
  <c r="J407" i="8"/>
  <c r="J408" i="8"/>
  <c r="J409" i="8"/>
  <c r="J410" i="8"/>
  <c r="J411" i="8"/>
  <c r="J412" i="8"/>
  <c r="J413" i="8"/>
  <c r="J414" i="8"/>
  <c r="J415" i="8"/>
  <c r="J416" i="8"/>
  <c r="J417" i="8"/>
  <c r="J418" i="8"/>
  <c r="J419" i="8"/>
  <c r="J420" i="8"/>
  <c r="J421" i="8"/>
  <c r="J422" i="8"/>
  <c r="J423" i="8"/>
  <c r="J424" i="8"/>
  <c r="J425" i="8"/>
  <c r="J426" i="8"/>
  <c r="J427" i="8"/>
  <c r="J428" i="8"/>
  <c r="J429" i="8"/>
  <c r="J430" i="8"/>
  <c r="J431" i="8"/>
  <c r="J432" i="8"/>
  <c r="J433" i="8"/>
  <c r="J434" i="8"/>
  <c r="J435" i="8"/>
  <c r="J436" i="8"/>
  <c r="J437" i="8"/>
  <c r="J438" i="8"/>
  <c r="J439" i="8"/>
  <c r="J440" i="8"/>
  <c r="J441" i="8"/>
  <c r="J442" i="8"/>
  <c r="J443" i="8"/>
  <c r="J444" i="8"/>
  <c r="J445" i="8"/>
  <c r="J446" i="8"/>
  <c r="J447" i="8"/>
  <c r="J448" i="8"/>
  <c r="J449" i="8"/>
  <c r="J450" i="8"/>
  <c r="J451" i="8"/>
  <c r="J452" i="8"/>
  <c r="J453" i="8"/>
  <c r="J454" i="8"/>
  <c r="J455" i="8"/>
  <c r="J456" i="8"/>
  <c r="J457" i="8"/>
  <c r="J458" i="8"/>
  <c r="J459" i="8"/>
  <c r="J460" i="8"/>
  <c r="J461" i="8"/>
  <c r="J462" i="8"/>
  <c r="J463" i="8"/>
  <c r="J464" i="8"/>
  <c r="J465" i="8"/>
  <c r="J466" i="8"/>
  <c r="J467" i="8"/>
  <c r="J468" i="8"/>
  <c r="J469" i="8"/>
  <c r="J470" i="8"/>
  <c r="J471" i="8"/>
  <c r="J472" i="8"/>
  <c r="J473" i="8"/>
  <c r="J474" i="8"/>
  <c r="J475" i="8"/>
  <c r="J476" i="8"/>
  <c r="J477" i="8"/>
  <c r="J478" i="8"/>
  <c r="J479" i="8"/>
  <c r="J480" i="8"/>
  <c r="J481" i="8"/>
  <c r="J482" i="8"/>
  <c r="J483" i="8"/>
  <c r="J484" i="8"/>
  <c r="J485" i="8"/>
  <c r="J486" i="8"/>
  <c r="J487" i="8"/>
  <c r="J488" i="8"/>
  <c r="J489" i="8"/>
  <c r="J490" i="8"/>
  <c r="J491" i="8"/>
  <c r="J492" i="8"/>
  <c r="J493" i="8"/>
  <c r="J494" i="8"/>
  <c r="J495" i="8"/>
  <c r="J496" i="8"/>
  <c r="J497" i="8"/>
  <c r="J498" i="8"/>
  <c r="J499" i="8"/>
  <c r="J500" i="8"/>
  <c r="J501" i="8"/>
  <c r="J502" i="8"/>
  <c r="J503" i="8"/>
  <c r="J504" i="8"/>
  <c r="J505" i="8"/>
  <c r="J506" i="8"/>
  <c r="J507" i="8"/>
  <c r="J508" i="8"/>
  <c r="J509" i="8"/>
  <c r="J510" i="8"/>
  <c r="J511" i="8"/>
  <c r="J512" i="8"/>
  <c r="J513" i="8"/>
  <c r="J514" i="8"/>
  <c r="J515" i="8"/>
  <c r="J516" i="8"/>
  <c r="J517" i="8"/>
  <c r="J518" i="8"/>
  <c r="J519" i="8"/>
  <c r="J520" i="8"/>
  <c r="J521" i="8"/>
  <c r="J522" i="8"/>
  <c r="J523" i="8"/>
  <c r="J524" i="8"/>
  <c r="J525" i="8"/>
  <c r="J526" i="8"/>
  <c r="J527" i="8"/>
  <c r="J528" i="8"/>
  <c r="J529" i="8"/>
  <c r="J530" i="8"/>
  <c r="J531" i="8"/>
  <c r="J532" i="8"/>
  <c r="J533" i="8"/>
  <c r="J534" i="8"/>
  <c r="J535" i="8"/>
  <c r="J536" i="8"/>
  <c r="J537" i="8"/>
  <c r="J538" i="8"/>
  <c r="J539" i="8"/>
  <c r="J540" i="8"/>
  <c r="J541" i="8"/>
  <c r="J542" i="8"/>
  <c r="J543" i="8"/>
  <c r="J544" i="8"/>
  <c r="J545" i="8"/>
  <c r="J546" i="8"/>
  <c r="J547" i="8"/>
  <c r="J548" i="8"/>
  <c r="J549" i="8"/>
  <c r="J550" i="8"/>
  <c r="J551" i="8"/>
  <c r="J552" i="8"/>
  <c r="J553" i="8"/>
  <c r="J554" i="8"/>
  <c r="J555" i="8"/>
  <c r="J556" i="8"/>
  <c r="J557" i="8"/>
  <c r="J558" i="8"/>
  <c r="J559" i="8"/>
  <c r="J560" i="8"/>
  <c r="J561" i="8"/>
  <c r="J562" i="8"/>
  <c r="J563" i="8"/>
  <c r="J564" i="8"/>
  <c r="J565" i="8"/>
  <c r="J566" i="8"/>
  <c r="J567" i="8"/>
  <c r="J568" i="8"/>
  <c r="J569" i="8"/>
  <c r="J570" i="8"/>
  <c r="J571" i="8"/>
  <c r="J572" i="8"/>
  <c r="J573" i="8"/>
  <c r="J574" i="8"/>
  <c r="J575" i="8"/>
  <c r="J576" i="8"/>
  <c r="J577" i="8"/>
  <c r="J578" i="8"/>
  <c r="J579" i="8"/>
  <c r="J580" i="8"/>
  <c r="J581" i="8"/>
  <c r="J582" i="8"/>
  <c r="J583" i="8"/>
  <c r="J584" i="8"/>
  <c r="J585" i="8"/>
  <c r="J586" i="8"/>
  <c r="J587" i="8"/>
  <c r="J588" i="8"/>
  <c r="J589" i="8"/>
  <c r="J590" i="8"/>
  <c r="J591" i="8"/>
  <c r="J592" i="8"/>
  <c r="J593" i="8"/>
  <c r="J594" i="8"/>
  <c r="J595" i="8"/>
  <c r="J596" i="8"/>
  <c r="J597" i="8"/>
  <c r="J598" i="8"/>
  <c r="J599" i="8"/>
  <c r="J600" i="8"/>
  <c r="J601" i="8"/>
  <c r="J602" i="8"/>
  <c r="J603" i="8"/>
  <c r="J604" i="8"/>
  <c r="J605" i="8"/>
  <c r="J606" i="8"/>
  <c r="J607" i="8"/>
  <c r="J608" i="8"/>
  <c r="J609" i="8"/>
  <c r="J610" i="8"/>
  <c r="J611" i="8"/>
  <c r="J612" i="8"/>
  <c r="J613" i="8"/>
  <c r="J614" i="8"/>
  <c r="J615" i="8"/>
  <c r="J616" i="8"/>
  <c r="J617" i="8"/>
  <c r="J618" i="8"/>
  <c r="J619" i="8"/>
  <c r="J620" i="8"/>
  <c r="J621" i="8"/>
  <c r="J622" i="8"/>
  <c r="J623" i="8"/>
  <c r="J624" i="8"/>
  <c r="J625" i="8"/>
  <c r="J626" i="8"/>
  <c r="J627" i="8"/>
  <c r="J628" i="8"/>
  <c r="J629" i="8"/>
  <c r="J630" i="8"/>
  <c r="J631" i="8"/>
  <c r="J632" i="8"/>
  <c r="J633" i="8"/>
  <c r="J634" i="8"/>
  <c r="J635" i="8"/>
  <c r="J636" i="8"/>
  <c r="J637" i="8"/>
  <c r="J638" i="8"/>
  <c r="J639" i="8"/>
  <c r="J640" i="8"/>
  <c r="J641" i="8"/>
  <c r="J642" i="8"/>
  <c r="J643" i="8"/>
  <c r="J644" i="8"/>
  <c r="J645" i="8"/>
  <c r="J646" i="8"/>
  <c r="J647" i="8"/>
  <c r="J648" i="8"/>
  <c r="J649" i="8"/>
  <c r="J650" i="8"/>
  <c r="J651" i="8"/>
  <c r="J652" i="8"/>
  <c r="J653" i="8"/>
  <c r="J654" i="8"/>
  <c r="J655" i="8"/>
  <c r="J656" i="8"/>
  <c r="J657" i="8"/>
  <c r="J658" i="8"/>
  <c r="J659" i="8"/>
  <c r="J660" i="8"/>
  <c r="J661" i="8"/>
  <c r="J662" i="8"/>
  <c r="J663" i="8"/>
  <c r="J664" i="8"/>
  <c r="J665" i="8"/>
  <c r="J666" i="8"/>
  <c r="J667" i="8"/>
  <c r="J668" i="8"/>
  <c r="J669" i="8"/>
  <c r="J670" i="8"/>
  <c r="J671" i="8"/>
  <c r="J672" i="8"/>
  <c r="J673" i="8"/>
  <c r="J674" i="8"/>
  <c r="J675" i="8"/>
  <c r="J676" i="8"/>
  <c r="J677" i="8"/>
  <c r="J678" i="8"/>
  <c r="J679" i="8"/>
  <c r="J680" i="8"/>
  <c r="J681" i="8"/>
  <c r="J682" i="8"/>
  <c r="J683" i="8"/>
  <c r="J684" i="8"/>
  <c r="J685" i="8"/>
  <c r="J686" i="8"/>
  <c r="J687" i="8"/>
  <c r="J688" i="8"/>
  <c r="J689" i="8"/>
  <c r="J690" i="8"/>
  <c r="J691" i="8"/>
  <c r="J692" i="8"/>
  <c r="J693" i="8"/>
  <c r="J694" i="8"/>
  <c r="J695" i="8"/>
  <c r="J696" i="8"/>
  <c r="J697" i="8"/>
  <c r="J698" i="8"/>
  <c r="J699" i="8"/>
  <c r="J700" i="8"/>
  <c r="J701" i="8"/>
  <c r="J702" i="8"/>
  <c r="J703" i="8"/>
  <c r="J704" i="8"/>
  <c r="J705" i="8"/>
  <c r="J706" i="8"/>
  <c r="J707" i="8"/>
  <c r="J708" i="8"/>
  <c r="J709" i="8"/>
  <c r="J710" i="8"/>
  <c r="J711" i="8"/>
  <c r="J712" i="8"/>
  <c r="J713" i="8"/>
  <c r="J714" i="8"/>
  <c r="J715" i="8"/>
  <c r="J716" i="8"/>
  <c r="J717" i="8"/>
  <c r="J718" i="8"/>
  <c r="J719" i="8"/>
  <c r="J720" i="8"/>
  <c r="J721" i="8"/>
  <c r="J722" i="8"/>
  <c r="J723" i="8"/>
  <c r="J724" i="8"/>
  <c r="J725" i="8"/>
  <c r="J726" i="8"/>
  <c r="J727" i="8"/>
  <c r="J728" i="8"/>
  <c r="J729" i="8"/>
  <c r="J730" i="8"/>
  <c r="J731" i="8"/>
  <c r="J732" i="8"/>
  <c r="J733" i="8"/>
  <c r="J734" i="8"/>
  <c r="J735" i="8"/>
  <c r="J736" i="8"/>
  <c r="J737" i="8"/>
  <c r="J738" i="8"/>
  <c r="J739" i="8"/>
  <c r="J740" i="8"/>
  <c r="J741" i="8"/>
  <c r="J742" i="8"/>
  <c r="J743" i="8"/>
  <c r="J744" i="8"/>
  <c r="J745" i="8"/>
  <c r="J746" i="8"/>
  <c r="J747" i="8"/>
  <c r="J748" i="8"/>
  <c r="J749" i="8"/>
  <c r="J750" i="8"/>
  <c r="J751" i="8"/>
  <c r="J752" i="8"/>
  <c r="J753" i="8"/>
  <c r="J754" i="8"/>
  <c r="J755" i="8"/>
  <c r="J756" i="8"/>
  <c r="J757" i="8"/>
  <c r="J758" i="8"/>
  <c r="J759" i="8"/>
  <c r="J760" i="8"/>
  <c r="J761" i="8"/>
  <c r="J762" i="8"/>
  <c r="J763" i="8"/>
  <c r="J764" i="8"/>
  <c r="J765" i="8"/>
  <c r="J766" i="8"/>
  <c r="J767" i="8"/>
  <c r="J768" i="8"/>
  <c r="J769" i="8"/>
  <c r="J770" i="8"/>
  <c r="J771" i="8"/>
  <c r="J772" i="8"/>
  <c r="J773" i="8"/>
  <c r="J774" i="8"/>
  <c r="J775" i="8"/>
  <c r="J776" i="8"/>
  <c r="J777" i="8"/>
  <c r="J778" i="8"/>
  <c r="J779" i="8"/>
  <c r="J780" i="8"/>
  <c r="J781" i="8"/>
  <c r="J782" i="8"/>
  <c r="J783" i="8"/>
  <c r="J784" i="8"/>
  <c r="J785" i="8"/>
  <c r="J786" i="8"/>
  <c r="J787" i="8"/>
  <c r="J788" i="8"/>
  <c r="J789" i="8"/>
  <c r="J790" i="8"/>
  <c r="J791" i="8"/>
  <c r="J792" i="8"/>
  <c r="J793" i="8"/>
  <c r="J794" i="8"/>
  <c r="J795" i="8"/>
  <c r="J796" i="8"/>
  <c r="J797" i="8"/>
  <c r="J798" i="8"/>
  <c r="J799" i="8"/>
  <c r="J800" i="8"/>
  <c r="J801" i="8"/>
  <c r="J802" i="8"/>
  <c r="J803" i="8"/>
  <c r="J804" i="8"/>
  <c r="J805" i="8"/>
  <c r="J806" i="8"/>
  <c r="J807" i="8"/>
  <c r="J808" i="8"/>
  <c r="J809" i="8"/>
  <c r="J810" i="8"/>
  <c r="J811" i="8"/>
  <c r="J812" i="8"/>
  <c r="J813" i="8"/>
  <c r="J814" i="8"/>
  <c r="J815" i="8"/>
  <c r="J816" i="8"/>
  <c r="J817" i="8"/>
  <c r="J818" i="8"/>
  <c r="J819" i="8"/>
  <c r="J820" i="8"/>
  <c r="J821" i="8"/>
  <c r="J822" i="8"/>
  <c r="J823" i="8"/>
  <c r="J824" i="8"/>
  <c r="J825" i="8"/>
  <c r="J826" i="8"/>
  <c r="J827" i="8"/>
  <c r="J828" i="8"/>
  <c r="J829" i="8"/>
  <c r="J830" i="8"/>
  <c r="J831" i="8"/>
  <c r="J832" i="8"/>
  <c r="J833" i="8"/>
  <c r="J834" i="8"/>
  <c r="J835" i="8"/>
  <c r="J836" i="8"/>
  <c r="J837" i="8"/>
  <c r="J838" i="8"/>
  <c r="J839" i="8"/>
  <c r="J840" i="8"/>
  <c r="J841" i="8"/>
  <c r="J842" i="8"/>
  <c r="J843" i="8"/>
  <c r="J844" i="8"/>
  <c r="J845" i="8"/>
  <c r="J846" i="8"/>
  <c r="J847" i="8"/>
  <c r="J848" i="8"/>
  <c r="J849" i="8"/>
  <c r="J850" i="8"/>
  <c r="J851" i="8"/>
  <c r="J852" i="8"/>
  <c r="J853" i="8"/>
  <c r="J854" i="8"/>
  <c r="J855" i="8"/>
  <c r="J856" i="8"/>
  <c r="J857" i="8"/>
  <c r="J858" i="8"/>
  <c r="J859" i="8"/>
  <c r="J860" i="8"/>
  <c r="J861" i="8"/>
  <c r="J862" i="8"/>
  <c r="J863" i="8"/>
  <c r="J864" i="8"/>
  <c r="J865" i="8"/>
  <c r="J866" i="8"/>
  <c r="J867" i="8"/>
  <c r="J868" i="8"/>
  <c r="J869" i="8"/>
  <c r="J870" i="8"/>
  <c r="J871" i="8"/>
  <c r="J872" i="8"/>
  <c r="J873" i="8"/>
  <c r="J874" i="8"/>
  <c r="J875" i="8"/>
  <c r="J876" i="8"/>
  <c r="J877" i="8"/>
  <c r="J878" i="8"/>
  <c r="J879" i="8"/>
  <c r="J880" i="8"/>
  <c r="J881" i="8"/>
  <c r="J882" i="8"/>
  <c r="J883" i="8"/>
  <c r="J884" i="8"/>
  <c r="J885" i="8"/>
  <c r="J886" i="8"/>
  <c r="J887" i="8"/>
  <c r="J888" i="8"/>
  <c r="J889" i="8"/>
  <c r="J890" i="8"/>
  <c r="J891" i="8"/>
  <c r="J892" i="8"/>
  <c r="J893" i="8"/>
  <c r="J894" i="8"/>
  <c r="J895" i="8"/>
  <c r="J896" i="8"/>
  <c r="J897" i="8"/>
  <c r="J898" i="8"/>
  <c r="J899" i="8"/>
  <c r="J900" i="8"/>
  <c r="J901" i="8"/>
  <c r="J902" i="8"/>
  <c r="J903" i="8"/>
  <c r="J904" i="8"/>
  <c r="J905" i="8"/>
  <c r="J906" i="8"/>
  <c r="J907" i="8"/>
  <c r="J908" i="8"/>
  <c r="J909" i="8"/>
  <c r="J910" i="8"/>
  <c r="J911" i="8"/>
  <c r="J912" i="8"/>
  <c r="J913" i="8"/>
  <c r="J914" i="8"/>
  <c r="J915" i="8"/>
  <c r="J916" i="8"/>
  <c r="J917" i="8"/>
  <c r="J918" i="8"/>
  <c r="J919" i="8"/>
  <c r="J920" i="8"/>
  <c r="J921" i="8"/>
  <c r="J922" i="8"/>
  <c r="J923" i="8"/>
  <c r="J924" i="8"/>
  <c r="J925" i="8"/>
  <c r="J926" i="8"/>
  <c r="J927" i="8"/>
  <c r="J928" i="8"/>
  <c r="J929" i="8"/>
  <c r="J930" i="8"/>
  <c r="J931" i="8"/>
  <c r="J932" i="8"/>
  <c r="J933" i="8"/>
  <c r="J934" i="8"/>
  <c r="J935" i="8"/>
  <c r="J936" i="8"/>
  <c r="J937" i="8"/>
  <c r="J938" i="8"/>
  <c r="J939" i="8"/>
  <c r="J940" i="8"/>
  <c r="J941" i="8"/>
  <c r="J942" i="8"/>
  <c r="J943" i="8"/>
  <c r="J944" i="8"/>
  <c r="J945" i="8"/>
  <c r="J946" i="8"/>
  <c r="J947" i="8"/>
  <c r="J948" i="8"/>
  <c r="J949" i="8"/>
  <c r="J950" i="8"/>
  <c r="J951" i="8"/>
  <c r="J952" i="8"/>
  <c r="J953" i="8"/>
  <c r="J954" i="8"/>
  <c r="J955" i="8"/>
  <c r="J956" i="8"/>
  <c r="J957" i="8"/>
  <c r="J958" i="8"/>
  <c r="J959" i="8"/>
  <c r="J960" i="8"/>
  <c r="J961" i="8"/>
  <c r="J962" i="8"/>
  <c r="J963" i="8"/>
  <c r="J964" i="8"/>
  <c r="J965" i="8"/>
  <c r="J966" i="8"/>
  <c r="J967" i="8"/>
  <c r="J968" i="8"/>
  <c r="J969" i="8"/>
  <c r="J970" i="8"/>
  <c r="J971" i="8"/>
  <c r="J972" i="8"/>
  <c r="J973" i="8"/>
  <c r="J974" i="8"/>
  <c r="J975" i="8"/>
  <c r="J976" i="8"/>
  <c r="J977" i="8"/>
  <c r="J978" i="8"/>
  <c r="J979" i="8"/>
  <c r="J980" i="8"/>
  <c r="J981" i="8"/>
  <c r="J982" i="8"/>
  <c r="J983" i="8"/>
  <c r="J984" i="8"/>
  <c r="J985" i="8"/>
  <c r="J986" i="8"/>
  <c r="J987" i="8"/>
  <c r="J988" i="8"/>
  <c r="J989" i="8"/>
  <c r="J990" i="8"/>
  <c r="J991" i="8"/>
  <c r="J992" i="8"/>
  <c r="J993" i="8"/>
  <c r="J994" i="8"/>
  <c r="J995" i="8"/>
  <c r="J996" i="8"/>
  <c r="J997" i="8"/>
  <c r="J998" i="8"/>
  <c r="J999" i="8"/>
  <c r="J1000" i="8"/>
  <c r="J1001" i="8"/>
  <c r="J1002" i="8"/>
  <c r="J1003" i="8"/>
  <c r="J1004" i="8"/>
  <c r="J1005" i="8"/>
  <c r="J1006" i="8"/>
  <c r="J1007" i="8"/>
  <c r="J1008" i="8"/>
  <c r="J1009" i="8"/>
  <c r="J1010" i="8"/>
  <c r="J1011" i="8"/>
  <c r="J1012" i="8"/>
  <c r="J1013" i="8"/>
  <c r="J1014" i="8"/>
  <c r="J1015" i="8"/>
  <c r="J1016" i="8"/>
  <c r="J1017" i="8"/>
  <c r="J1018" i="8"/>
  <c r="J1019" i="8"/>
  <c r="J1020" i="8"/>
  <c r="J1021" i="8"/>
  <c r="J1022" i="8"/>
  <c r="J1023" i="8"/>
  <c r="J1024" i="8"/>
  <c r="J1025" i="8"/>
  <c r="J1026" i="8"/>
  <c r="J1027" i="8"/>
  <c r="J1028" i="8"/>
  <c r="J1029" i="8"/>
  <c r="J1030" i="8"/>
  <c r="J1031" i="8"/>
  <c r="J1032" i="8"/>
  <c r="J1033" i="8"/>
  <c r="J1034" i="8"/>
  <c r="J1035" i="8"/>
  <c r="J1036" i="8"/>
  <c r="J1037" i="8"/>
  <c r="J1038" i="8"/>
  <c r="J1039" i="8"/>
  <c r="J1040" i="8"/>
  <c r="J1041" i="8"/>
  <c r="J1042" i="8"/>
  <c r="J1043" i="8"/>
  <c r="J1044" i="8"/>
  <c r="J1045" i="8"/>
  <c r="J1046" i="8"/>
  <c r="J1047" i="8"/>
  <c r="J1048" i="8"/>
  <c r="J1049" i="8"/>
  <c r="J1050" i="8"/>
  <c r="J1051" i="8"/>
  <c r="J1052" i="8"/>
  <c r="J1053" i="8"/>
  <c r="J1054" i="8"/>
  <c r="J1055" i="8"/>
  <c r="J1056" i="8"/>
  <c r="J1057" i="8"/>
  <c r="J1058" i="8"/>
  <c r="J1059" i="8"/>
  <c r="J1060" i="8"/>
  <c r="J1061" i="8"/>
  <c r="J1062" i="8"/>
  <c r="J1063" i="8"/>
  <c r="J1064" i="8"/>
  <c r="J1065" i="8"/>
  <c r="J1066" i="8"/>
  <c r="J1067" i="8"/>
  <c r="J1068" i="8"/>
  <c r="J1069" i="8"/>
  <c r="J1070" i="8"/>
  <c r="J1071" i="8"/>
  <c r="J1072" i="8"/>
  <c r="J1073" i="8"/>
  <c r="J1074" i="8"/>
  <c r="J1075" i="8"/>
  <c r="J1076" i="8"/>
  <c r="J1077" i="8"/>
  <c r="J1078" i="8"/>
  <c r="J1079" i="8"/>
  <c r="J1080" i="8"/>
  <c r="J1081" i="8"/>
  <c r="J1082" i="8"/>
  <c r="J1083" i="8"/>
  <c r="J1084" i="8"/>
  <c r="J1085" i="8"/>
  <c r="J1086" i="8"/>
  <c r="J1087" i="8"/>
  <c r="J1088" i="8"/>
  <c r="J1089" i="8"/>
  <c r="J1090" i="8"/>
  <c r="J1091" i="8"/>
  <c r="J1092" i="8"/>
  <c r="J1093" i="8"/>
  <c r="J1094" i="8"/>
  <c r="J1095" i="8"/>
  <c r="J1096" i="8"/>
  <c r="J1097" i="8"/>
  <c r="J1098" i="8"/>
  <c r="J1099" i="8"/>
  <c r="J1100" i="8"/>
  <c r="J1101" i="8"/>
  <c r="J1102" i="8"/>
  <c r="J1103" i="8"/>
  <c r="J1104" i="8"/>
  <c r="J1105" i="8"/>
  <c r="J1106" i="8"/>
  <c r="J1107" i="8"/>
  <c r="J1108" i="8"/>
  <c r="J1109" i="8"/>
  <c r="J1110" i="8"/>
  <c r="J1111" i="8"/>
  <c r="J1112" i="8"/>
  <c r="J1113" i="8"/>
  <c r="J1114" i="8"/>
  <c r="J1115" i="8"/>
  <c r="J1116" i="8"/>
  <c r="J1117" i="8"/>
  <c r="J1118" i="8"/>
  <c r="J1119" i="8"/>
  <c r="J1120" i="8"/>
  <c r="J1121" i="8"/>
  <c r="J1122" i="8"/>
  <c r="J1123" i="8"/>
  <c r="J1124" i="8"/>
  <c r="J1125" i="8"/>
  <c r="J1126" i="8"/>
  <c r="J1127" i="8"/>
  <c r="J1128" i="8"/>
  <c r="J1129" i="8"/>
  <c r="J1130" i="8"/>
  <c r="J1131" i="8"/>
  <c r="J1132" i="8"/>
  <c r="J1133" i="8"/>
  <c r="J1134" i="8"/>
  <c r="J1135" i="8"/>
  <c r="J1136" i="8"/>
  <c r="J1137" i="8"/>
  <c r="J1138" i="8"/>
  <c r="J1139" i="8"/>
  <c r="J1140" i="8"/>
  <c r="J1141" i="8"/>
  <c r="J1142" i="8"/>
  <c r="J1143" i="8"/>
  <c r="J1144" i="8"/>
  <c r="J1145" i="8"/>
  <c r="J1146" i="8"/>
  <c r="J1147" i="8"/>
  <c r="J1148" i="8"/>
  <c r="J1149" i="8"/>
  <c r="J1150" i="8"/>
  <c r="J1151" i="8"/>
  <c r="J1152" i="8"/>
  <c r="J1153" i="8"/>
  <c r="J1154" i="8"/>
  <c r="J1155" i="8"/>
  <c r="J1156" i="8"/>
  <c r="J1157" i="8"/>
  <c r="J1158" i="8"/>
  <c r="J1159" i="8"/>
  <c r="J1160" i="8"/>
  <c r="J1161" i="8"/>
  <c r="J1162" i="8"/>
  <c r="J1163" i="8"/>
  <c r="J1164" i="8"/>
  <c r="J1165" i="8"/>
  <c r="J1166" i="8"/>
  <c r="J1167" i="8"/>
  <c r="J1168" i="8"/>
  <c r="J1169" i="8"/>
  <c r="J1170" i="8"/>
  <c r="J1171" i="8"/>
  <c r="J1172" i="8"/>
  <c r="J1173" i="8"/>
  <c r="J1174" i="8"/>
  <c r="J1175" i="8"/>
  <c r="J1176" i="8"/>
  <c r="J1177" i="8"/>
  <c r="J1178" i="8"/>
  <c r="J1179" i="8"/>
  <c r="J1180" i="8"/>
  <c r="J1181" i="8"/>
  <c r="J1182" i="8"/>
  <c r="J1183" i="8"/>
  <c r="J1184" i="8"/>
  <c r="J1185" i="8"/>
  <c r="J1186" i="8"/>
  <c r="J1187" i="8"/>
  <c r="J1188" i="8"/>
  <c r="J1189" i="8"/>
  <c r="J1190" i="8"/>
  <c r="J1191" i="8"/>
  <c r="J1192" i="8"/>
  <c r="J1193" i="8"/>
  <c r="J1194" i="8"/>
  <c r="J1195" i="8"/>
  <c r="J1196" i="8"/>
  <c r="J1197" i="8"/>
  <c r="J1198" i="8"/>
  <c r="J1199" i="8"/>
  <c r="J1200" i="8"/>
  <c r="J1201" i="8"/>
  <c r="J1202" i="8"/>
  <c r="J1203" i="8"/>
  <c r="J1204" i="8"/>
  <c r="J1205" i="8"/>
  <c r="J1206" i="8"/>
  <c r="J1207" i="8"/>
  <c r="J1208" i="8"/>
  <c r="J1209" i="8"/>
  <c r="J1210" i="8"/>
  <c r="J1211" i="8"/>
  <c r="J1212" i="8"/>
  <c r="J1213" i="8"/>
  <c r="J1214" i="8"/>
  <c r="J1215" i="8"/>
  <c r="J1216" i="8"/>
  <c r="J1217" i="8"/>
  <c r="J1218" i="8"/>
  <c r="J1219" i="8"/>
  <c r="J1220" i="8"/>
  <c r="J1221" i="8"/>
  <c r="J1222" i="8"/>
  <c r="J1223" i="8"/>
  <c r="J1224" i="8"/>
  <c r="J1225" i="8"/>
  <c r="J1226" i="8"/>
  <c r="J1227" i="8"/>
  <c r="J1228" i="8"/>
  <c r="J1229" i="8"/>
  <c r="J1230" i="8"/>
  <c r="J1231" i="8"/>
  <c r="J1232" i="8"/>
  <c r="J1233" i="8"/>
  <c r="J1234" i="8"/>
  <c r="J1235" i="8"/>
  <c r="J1236" i="8"/>
  <c r="J1237" i="8"/>
  <c r="J1238" i="8"/>
  <c r="J1239" i="8"/>
  <c r="J1240" i="8"/>
  <c r="J1241" i="8"/>
  <c r="J1242" i="8"/>
  <c r="J1243" i="8"/>
  <c r="J1244" i="8"/>
  <c r="J1245" i="8"/>
  <c r="J1246" i="8"/>
  <c r="J1247" i="8"/>
  <c r="J1248" i="8"/>
  <c r="J1249" i="8"/>
  <c r="J1250" i="8"/>
  <c r="J1251" i="8"/>
  <c r="J1252" i="8"/>
  <c r="J1253" i="8"/>
  <c r="J1254" i="8"/>
  <c r="J1255" i="8"/>
  <c r="J1256" i="8"/>
  <c r="J1257" i="8"/>
  <c r="J1258" i="8"/>
  <c r="J1259" i="8"/>
  <c r="J1260" i="8"/>
  <c r="J1261" i="8"/>
  <c r="J1262" i="8"/>
  <c r="J1263" i="8"/>
  <c r="J1264" i="8"/>
  <c r="J1265" i="8"/>
  <c r="J1266" i="8"/>
  <c r="J1267" i="8"/>
  <c r="J1268" i="8"/>
  <c r="J1269" i="8"/>
  <c r="J1270" i="8"/>
  <c r="J1271" i="8"/>
  <c r="J1272" i="8"/>
  <c r="J1273" i="8"/>
  <c r="J1274" i="8"/>
  <c r="J1275" i="8"/>
  <c r="J1276" i="8"/>
  <c r="J1277" i="8"/>
  <c r="J1278" i="8"/>
  <c r="J1279" i="8"/>
  <c r="J1280" i="8"/>
  <c r="J1281" i="8"/>
  <c r="J1282" i="8"/>
  <c r="J1283" i="8"/>
  <c r="J1284" i="8"/>
  <c r="J1285" i="8"/>
  <c r="J1286" i="8"/>
  <c r="J1287" i="8"/>
  <c r="J1288" i="8"/>
  <c r="J1289" i="8"/>
  <c r="J1290" i="8"/>
  <c r="J1291" i="8"/>
  <c r="J1292" i="8"/>
  <c r="J1293" i="8"/>
  <c r="J1294" i="8"/>
  <c r="J1295" i="8"/>
  <c r="J1296" i="8"/>
  <c r="J1297" i="8"/>
  <c r="J1298" i="8"/>
  <c r="J1299" i="8"/>
  <c r="J1300" i="8"/>
  <c r="J1301" i="8"/>
  <c r="J1302" i="8"/>
  <c r="J1303" i="8"/>
  <c r="J1304" i="8"/>
  <c r="J1305" i="8"/>
  <c r="J1306" i="8"/>
  <c r="J1307" i="8"/>
  <c r="J1308" i="8"/>
  <c r="J1309" i="8"/>
  <c r="J1310" i="8"/>
  <c r="J1311" i="8"/>
  <c r="J1312" i="8"/>
  <c r="J1313" i="8"/>
  <c r="J1314" i="8"/>
  <c r="J1315" i="8"/>
  <c r="J1316" i="8"/>
  <c r="J1317" i="8"/>
  <c r="J1318" i="8"/>
  <c r="J1319" i="8"/>
  <c r="J1320" i="8"/>
  <c r="J1321" i="8"/>
  <c r="J1322" i="8"/>
  <c r="J1323" i="8"/>
  <c r="J1324" i="8"/>
  <c r="J1325" i="8"/>
  <c r="J1326" i="8"/>
  <c r="J1327" i="8"/>
  <c r="J1328" i="8"/>
  <c r="J1329" i="8"/>
  <c r="J1330" i="8"/>
  <c r="J1331" i="8"/>
  <c r="J1332" i="8"/>
  <c r="J1333" i="8"/>
  <c r="J1334" i="8"/>
  <c r="J1335" i="8"/>
  <c r="J1336" i="8"/>
  <c r="J1337" i="8"/>
  <c r="J1338" i="8"/>
  <c r="J1339" i="8"/>
  <c r="J1340" i="8"/>
  <c r="J1341" i="8"/>
  <c r="J1342" i="8"/>
  <c r="J1343" i="8"/>
  <c r="J1344" i="8"/>
  <c r="J1345" i="8"/>
  <c r="J1346" i="8"/>
  <c r="J1347" i="8"/>
  <c r="J1348" i="8"/>
  <c r="J1349" i="8"/>
  <c r="J1350" i="8"/>
  <c r="J1351" i="8"/>
  <c r="J1352" i="8"/>
  <c r="J1353" i="8"/>
  <c r="J1354" i="8"/>
  <c r="J1355" i="8"/>
  <c r="J1356" i="8"/>
  <c r="J1357" i="8"/>
  <c r="J1358" i="8"/>
  <c r="J1359" i="8"/>
  <c r="J1360" i="8"/>
  <c r="J1361" i="8"/>
  <c r="J1362" i="8"/>
  <c r="J1363" i="8"/>
  <c r="J1364" i="8"/>
  <c r="J1365" i="8"/>
  <c r="J1366" i="8"/>
  <c r="J1367" i="8"/>
  <c r="J1368" i="8"/>
  <c r="J1369" i="8"/>
  <c r="J1370" i="8"/>
  <c r="J1371" i="8"/>
  <c r="J1372" i="8"/>
  <c r="J1373" i="8"/>
  <c r="J1374" i="8"/>
  <c r="J1375" i="8"/>
  <c r="J1376" i="8"/>
  <c r="J1377" i="8"/>
  <c r="J1378" i="8"/>
  <c r="J1379" i="8"/>
  <c r="J1380" i="8"/>
  <c r="J1381" i="8"/>
  <c r="J1382" i="8"/>
  <c r="J1383" i="8"/>
  <c r="J1384" i="8"/>
  <c r="J1385" i="8"/>
  <c r="J1386" i="8"/>
  <c r="J1387" i="8"/>
  <c r="J1388" i="8"/>
  <c r="J1389" i="8"/>
  <c r="J1390" i="8"/>
  <c r="J1391" i="8"/>
  <c r="J1392" i="8"/>
  <c r="J1393" i="8"/>
  <c r="J1394" i="8"/>
  <c r="J1395" i="8"/>
  <c r="J1396" i="8"/>
  <c r="J1397" i="8"/>
  <c r="J1398" i="8"/>
  <c r="J1399" i="8"/>
  <c r="J1400" i="8"/>
  <c r="J1401" i="8"/>
  <c r="J1402" i="8"/>
  <c r="J1403" i="8"/>
  <c r="J1404" i="8"/>
  <c r="J1405" i="8"/>
  <c r="J1406" i="8"/>
  <c r="J1407" i="8"/>
  <c r="J1408" i="8"/>
  <c r="J1409" i="8"/>
  <c r="J1410" i="8"/>
  <c r="J1411" i="8"/>
  <c r="J1412" i="8"/>
  <c r="J1413" i="8"/>
  <c r="J1414" i="8"/>
  <c r="J1415" i="8"/>
  <c r="J1416" i="8"/>
  <c r="J1417" i="8"/>
  <c r="J1418" i="8"/>
  <c r="J1419" i="8"/>
  <c r="J1420" i="8"/>
  <c r="J1421" i="8"/>
  <c r="J1422" i="8"/>
  <c r="J1423" i="8"/>
  <c r="J1424" i="8"/>
  <c r="J1425" i="8"/>
  <c r="J1426" i="8"/>
  <c r="J1427" i="8"/>
  <c r="J1428" i="8"/>
  <c r="J1429" i="8"/>
  <c r="J1430" i="8"/>
  <c r="J1431" i="8"/>
  <c r="J1432" i="8"/>
  <c r="J1433" i="8"/>
  <c r="J1434" i="8"/>
  <c r="J1435" i="8"/>
  <c r="J1436" i="8"/>
  <c r="J1437" i="8"/>
  <c r="J1438" i="8"/>
  <c r="J1439" i="8"/>
  <c r="J1440" i="8"/>
  <c r="J1441" i="8"/>
  <c r="J1442" i="8"/>
  <c r="J1443" i="8"/>
  <c r="J1444" i="8"/>
  <c r="J1445" i="8"/>
  <c r="J1446" i="8"/>
  <c r="J1447" i="8"/>
  <c r="J1448" i="8"/>
  <c r="J1449" i="8"/>
  <c r="J1450" i="8"/>
  <c r="J1451" i="8"/>
  <c r="J1452" i="8"/>
  <c r="J1453" i="8"/>
  <c r="J1454" i="8"/>
  <c r="J1455" i="8"/>
  <c r="J1456" i="8"/>
  <c r="J1457" i="8"/>
  <c r="J1458" i="8"/>
  <c r="J1459" i="8"/>
  <c r="J1460" i="8"/>
  <c r="J1461" i="8"/>
  <c r="J1462" i="8"/>
  <c r="J1463" i="8"/>
  <c r="J1464" i="8"/>
  <c r="J1465" i="8"/>
  <c r="J1466" i="8"/>
  <c r="J1467" i="8"/>
  <c r="J1468" i="8"/>
  <c r="J1469" i="8"/>
  <c r="J1470" i="8"/>
  <c r="J1471" i="8"/>
  <c r="J1472" i="8"/>
  <c r="J1473" i="8"/>
  <c r="J1474" i="8"/>
  <c r="J1475" i="8"/>
  <c r="J1476" i="8"/>
  <c r="J1477" i="8"/>
  <c r="J1478" i="8"/>
  <c r="J1479" i="8"/>
  <c r="J1480" i="8"/>
  <c r="J1481" i="8"/>
  <c r="J1482" i="8"/>
  <c r="J1483" i="8"/>
  <c r="J1484" i="8"/>
  <c r="J1485" i="8"/>
  <c r="J1486" i="8"/>
  <c r="J1487" i="8"/>
  <c r="J1488" i="8"/>
  <c r="J1489" i="8"/>
  <c r="J1490" i="8"/>
  <c r="J1491" i="8"/>
  <c r="J1492" i="8"/>
  <c r="J1493" i="8"/>
  <c r="J1494" i="8"/>
  <c r="J1495" i="8"/>
  <c r="J1496" i="8"/>
  <c r="J1497" i="8"/>
  <c r="J1498" i="8"/>
  <c r="J1499" i="8"/>
  <c r="J1500" i="8"/>
  <c r="J1501" i="8"/>
  <c r="J1502" i="8"/>
  <c r="J1503" i="8"/>
  <c r="J1504" i="8"/>
  <c r="J1505" i="8"/>
  <c r="J1506" i="8"/>
  <c r="J1507" i="8"/>
  <c r="J1508" i="8"/>
  <c r="J1509" i="8"/>
  <c r="J1510" i="8"/>
  <c r="J1511" i="8"/>
  <c r="J1512" i="8"/>
  <c r="J1513" i="8"/>
  <c r="J1514" i="8"/>
  <c r="J1515" i="8"/>
  <c r="J1516" i="8"/>
  <c r="J1517" i="8"/>
  <c r="J1518" i="8"/>
  <c r="J1519" i="8"/>
  <c r="J1520" i="8"/>
  <c r="J1521" i="8"/>
  <c r="J1522" i="8"/>
  <c r="J1523" i="8"/>
  <c r="J1524" i="8"/>
  <c r="J1525" i="8"/>
  <c r="J1526" i="8"/>
  <c r="J1527" i="8"/>
  <c r="J1528" i="8"/>
  <c r="J1529" i="8"/>
  <c r="J1530" i="8"/>
  <c r="J1531" i="8"/>
  <c r="J1532" i="8"/>
  <c r="J1533" i="8"/>
  <c r="J1534" i="8"/>
  <c r="J1535" i="8"/>
  <c r="J1536" i="8"/>
  <c r="J1537" i="8"/>
  <c r="J1538" i="8"/>
  <c r="J1539" i="8"/>
  <c r="J1540" i="8"/>
  <c r="J1541" i="8"/>
  <c r="J1542" i="8"/>
  <c r="J1543" i="8"/>
  <c r="J1544" i="8"/>
  <c r="J1545" i="8"/>
  <c r="J1546" i="8"/>
  <c r="J1547" i="8"/>
  <c r="J1548" i="8"/>
  <c r="J1549" i="8"/>
  <c r="J1550" i="8"/>
  <c r="J1551" i="8"/>
  <c r="J1552" i="8"/>
  <c r="J1553" i="8"/>
  <c r="J1554" i="8"/>
  <c r="J1555" i="8"/>
  <c r="J1556" i="8"/>
  <c r="J1557" i="8"/>
  <c r="J1558" i="8"/>
  <c r="J1559" i="8"/>
  <c r="J1560" i="8"/>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I99" i="8"/>
  <c r="I100" i="8"/>
  <c r="I101" i="8"/>
  <c r="I102" i="8"/>
  <c r="I103" i="8"/>
  <c r="I104" i="8"/>
  <c r="I105" i="8"/>
  <c r="I106" i="8"/>
  <c r="I107" i="8"/>
  <c r="I108" i="8"/>
  <c r="I109" i="8"/>
  <c r="I110" i="8"/>
  <c r="I111" i="8"/>
  <c r="I112" i="8"/>
  <c r="I113" i="8"/>
  <c r="I114" i="8"/>
  <c r="I115" i="8"/>
  <c r="I116" i="8"/>
  <c r="I117" i="8"/>
  <c r="I118" i="8"/>
  <c r="I119" i="8"/>
  <c r="I120" i="8"/>
  <c r="I121" i="8"/>
  <c r="I122" i="8"/>
  <c r="I123" i="8"/>
  <c r="I124" i="8"/>
  <c r="I125" i="8"/>
  <c r="I126" i="8"/>
  <c r="I127" i="8"/>
  <c r="I128" i="8"/>
  <c r="I129" i="8"/>
  <c r="I130" i="8"/>
  <c r="I131" i="8"/>
  <c r="I132" i="8"/>
  <c r="I133" i="8"/>
  <c r="I134" i="8"/>
  <c r="I135" i="8"/>
  <c r="I136" i="8"/>
  <c r="I137" i="8"/>
  <c r="I138" i="8"/>
  <c r="I139" i="8"/>
  <c r="I140" i="8"/>
  <c r="I141" i="8"/>
  <c r="I142" i="8"/>
  <c r="I143" i="8"/>
  <c r="I144" i="8"/>
  <c r="I145" i="8"/>
  <c r="I146" i="8"/>
  <c r="I147" i="8"/>
  <c r="I148" i="8"/>
  <c r="I149" i="8"/>
  <c r="I150" i="8"/>
  <c r="I151" i="8"/>
  <c r="I152" i="8"/>
  <c r="I153" i="8"/>
  <c r="I154" i="8"/>
  <c r="I155" i="8"/>
  <c r="I156" i="8"/>
  <c r="I157" i="8"/>
  <c r="I158" i="8"/>
  <c r="I159" i="8"/>
  <c r="I160" i="8"/>
  <c r="I161" i="8"/>
  <c r="I162" i="8"/>
  <c r="I163" i="8"/>
  <c r="I164" i="8"/>
  <c r="I165" i="8"/>
  <c r="I166" i="8"/>
  <c r="I167" i="8"/>
  <c r="I168" i="8"/>
  <c r="I169" i="8"/>
  <c r="I170" i="8"/>
  <c r="I171" i="8"/>
  <c r="I172" i="8"/>
  <c r="I173" i="8"/>
  <c r="I174" i="8"/>
  <c r="I175" i="8"/>
  <c r="I176" i="8"/>
  <c r="I177" i="8"/>
  <c r="I178" i="8"/>
  <c r="I179" i="8"/>
  <c r="I180" i="8"/>
  <c r="I181" i="8"/>
  <c r="I182" i="8"/>
  <c r="I183" i="8"/>
  <c r="I184" i="8"/>
  <c r="I185" i="8"/>
  <c r="I186" i="8"/>
  <c r="I187" i="8"/>
  <c r="I188" i="8"/>
  <c r="I189" i="8"/>
  <c r="I190" i="8"/>
  <c r="I191" i="8"/>
  <c r="I192" i="8"/>
  <c r="I193" i="8"/>
  <c r="I194" i="8"/>
  <c r="I195" i="8"/>
  <c r="I196" i="8"/>
  <c r="I197" i="8"/>
  <c r="I198" i="8"/>
  <c r="I199" i="8"/>
  <c r="I200" i="8"/>
  <c r="I201" i="8"/>
  <c r="I202" i="8"/>
  <c r="I203" i="8"/>
  <c r="I204" i="8"/>
  <c r="I205" i="8"/>
  <c r="I206" i="8"/>
  <c r="I207" i="8"/>
  <c r="I208" i="8"/>
  <c r="I209" i="8"/>
  <c r="I210" i="8"/>
  <c r="I211" i="8"/>
  <c r="I212" i="8"/>
  <c r="I213" i="8"/>
  <c r="I214" i="8"/>
  <c r="I215" i="8"/>
  <c r="I216" i="8"/>
  <c r="I217" i="8"/>
  <c r="I218" i="8"/>
  <c r="I219" i="8"/>
  <c r="I220" i="8"/>
  <c r="I221" i="8"/>
  <c r="I222" i="8"/>
  <c r="I223" i="8"/>
  <c r="I224" i="8"/>
  <c r="I225" i="8"/>
  <c r="I226" i="8"/>
  <c r="I227" i="8"/>
  <c r="I228" i="8"/>
  <c r="I229" i="8"/>
  <c r="I230" i="8"/>
  <c r="I231" i="8"/>
  <c r="I232" i="8"/>
  <c r="I233" i="8"/>
  <c r="I234" i="8"/>
  <c r="I235" i="8"/>
  <c r="I236" i="8"/>
  <c r="I237" i="8"/>
  <c r="I238" i="8"/>
  <c r="I239" i="8"/>
  <c r="I240" i="8"/>
  <c r="I241" i="8"/>
  <c r="I242" i="8"/>
  <c r="I243" i="8"/>
  <c r="I244" i="8"/>
  <c r="I245" i="8"/>
  <c r="I246" i="8"/>
  <c r="I247" i="8"/>
  <c r="I248" i="8"/>
  <c r="I249" i="8"/>
  <c r="I250" i="8"/>
  <c r="I251" i="8"/>
  <c r="I252" i="8"/>
  <c r="I253" i="8"/>
  <c r="I254" i="8"/>
  <c r="I255" i="8"/>
  <c r="I256" i="8"/>
  <c r="I257" i="8"/>
  <c r="I258" i="8"/>
  <c r="I259" i="8"/>
  <c r="I260" i="8"/>
  <c r="I261" i="8"/>
  <c r="I262" i="8"/>
  <c r="I263" i="8"/>
  <c r="I264" i="8"/>
  <c r="I265" i="8"/>
  <c r="I266" i="8"/>
  <c r="I267" i="8"/>
  <c r="I268" i="8"/>
  <c r="I269" i="8"/>
  <c r="I270" i="8"/>
  <c r="I271" i="8"/>
  <c r="I272" i="8"/>
  <c r="I273" i="8"/>
  <c r="I274" i="8"/>
  <c r="I275" i="8"/>
  <c r="I276" i="8"/>
  <c r="I277" i="8"/>
  <c r="I278" i="8"/>
  <c r="I279" i="8"/>
  <c r="I280" i="8"/>
  <c r="I281" i="8"/>
  <c r="I282" i="8"/>
  <c r="I283" i="8"/>
  <c r="I284" i="8"/>
  <c r="I285" i="8"/>
  <c r="I286" i="8"/>
  <c r="I287" i="8"/>
  <c r="I288" i="8"/>
  <c r="I289" i="8"/>
  <c r="I290" i="8"/>
  <c r="I291" i="8"/>
  <c r="I292" i="8"/>
  <c r="I293" i="8"/>
  <c r="I294" i="8"/>
  <c r="I295" i="8"/>
  <c r="I296" i="8"/>
  <c r="I297" i="8"/>
  <c r="I298" i="8"/>
  <c r="I299" i="8"/>
  <c r="I300" i="8"/>
  <c r="I301" i="8"/>
  <c r="I302" i="8"/>
  <c r="I303" i="8"/>
  <c r="I304" i="8"/>
  <c r="I305" i="8"/>
  <c r="I306" i="8"/>
  <c r="I307" i="8"/>
  <c r="I308" i="8"/>
  <c r="I309" i="8"/>
  <c r="I310" i="8"/>
  <c r="I311" i="8"/>
  <c r="I312" i="8"/>
  <c r="I313" i="8"/>
  <c r="I314" i="8"/>
  <c r="I315" i="8"/>
  <c r="I316" i="8"/>
  <c r="I317" i="8"/>
  <c r="I318" i="8"/>
  <c r="I319" i="8"/>
  <c r="I320" i="8"/>
  <c r="I321" i="8"/>
  <c r="I322" i="8"/>
  <c r="I323" i="8"/>
  <c r="I324" i="8"/>
  <c r="I325" i="8"/>
  <c r="I326" i="8"/>
  <c r="I327" i="8"/>
  <c r="I328" i="8"/>
  <c r="I329" i="8"/>
  <c r="I330" i="8"/>
  <c r="I331" i="8"/>
  <c r="I332" i="8"/>
  <c r="I333" i="8"/>
  <c r="I334" i="8"/>
  <c r="I335" i="8"/>
  <c r="I336" i="8"/>
  <c r="I337" i="8"/>
  <c r="I338" i="8"/>
  <c r="I339" i="8"/>
  <c r="I340" i="8"/>
  <c r="I341" i="8"/>
  <c r="I342" i="8"/>
  <c r="I343" i="8"/>
  <c r="I344" i="8"/>
  <c r="I345" i="8"/>
  <c r="I346" i="8"/>
  <c r="I347" i="8"/>
  <c r="I348" i="8"/>
  <c r="I349" i="8"/>
  <c r="I350" i="8"/>
  <c r="I351" i="8"/>
  <c r="I352" i="8"/>
  <c r="I353" i="8"/>
  <c r="I354" i="8"/>
  <c r="I355" i="8"/>
  <c r="I356" i="8"/>
  <c r="I357" i="8"/>
  <c r="I358" i="8"/>
  <c r="I359" i="8"/>
  <c r="I360" i="8"/>
  <c r="I361" i="8"/>
  <c r="I362" i="8"/>
  <c r="I363" i="8"/>
  <c r="I364" i="8"/>
  <c r="I365" i="8"/>
  <c r="I366" i="8"/>
  <c r="I367" i="8"/>
  <c r="I368" i="8"/>
  <c r="I369" i="8"/>
  <c r="I370" i="8"/>
  <c r="I371" i="8"/>
  <c r="I372" i="8"/>
  <c r="I373" i="8"/>
  <c r="I374" i="8"/>
  <c r="I375" i="8"/>
  <c r="I376" i="8"/>
  <c r="I377" i="8"/>
  <c r="I378" i="8"/>
  <c r="I379" i="8"/>
  <c r="I380" i="8"/>
  <c r="I381" i="8"/>
  <c r="I382" i="8"/>
  <c r="I383" i="8"/>
  <c r="I384" i="8"/>
  <c r="I385" i="8"/>
  <c r="I386" i="8"/>
  <c r="I387" i="8"/>
  <c r="I388" i="8"/>
  <c r="I389" i="8"/>
  <c r="I390" i="8"/>
  <c r="I391" i="8"/>
  <c r="I392" i="8"/>
  <c r="I393" i="8"/>
  <c r="I394" i="8"/>
  <c r="I395" i="8"/>
  <c r="I396" i="8"/>
  <c r="I397" i="8"/>
  <c r="I398" i="8"/>
  <c r="I399" i="8"/>
  <c r="I400" i="8"/>
  <c r="I401" i="8"/>
  <c r="I402" i="8"/>
  <c r="I403" i="8"/>
  <c r="I404" i="8"/>
  <c r="I405" i="8"/>
  <c r="I406" i="8"/>
  <c r="I407" i="8"/>
  <c r="I408" i="8"/>
  <c r="I409" i="8"/>
  <c r="I410" i="8"/>
  <c r="I411" i="8"/>
  <c r="I412" i="8"/>
  <c r="I413" i="8"/>
  <c r="I414" i="8"/>
  <c r="I415" i="8"/>
  <c r="I416" i="8"/>
  <c r="I417" i="8"/>
  <c r="I418" i="8"/>
  <c r="I419" i="8"/>
  <c r="I420" i="8"/>
  <c r="I421" i="8"/>
  <c r="I422" i="8"/>
  <c r="I423" i="8"/>
  <c r="I424" i="8"/>
  <c r="I425" i="8"/>
  <c r="I426" i="8"/>
  <c r="I427" i="8"/>
  <c r="I428" i="8"/>
  <c r="I429" i="8"/>
  <c r="I430" i="8"/>
  <c r="I431" i="8"/>
  <c r="I432" i="8"/>
  <c r="I433" i="8"/>
  <c r="I434" i="8"/>
  <c r="I435" i="8"/>
  <c r="I436" i="8"/>
  <c r="I437" i="8"/>
  <c r="I438" i="8"/>
  <c r="I439" i="8"/>
  <c r="I440" i="8"/>
  <c r="I441" i="8"/>
  <c r="I442" i="8"/>
  <c r="I443" i="8"/>
  <c r="I444" i="8"/>
  <c r="I445" i="8"/>
  <c r="I446" i="8"/>
  <c r="I447" i="8"/>
  <c r="I448" i="8"/>
  <c r="I449" i="8"/>
  <c r="I450" i="8"/>
  <c r="I451" i="8"/>
  <c r="I452" i="8"/>
  <c r="I453" i="8"/>
  <c r="I454" i="8"/>
  <c r="I455" i="8"/>
  <c r="I456" i="8"/>
  <c r="I457" i="8"/>
  <c r="I458" i="8"/>
  <c r="I459" i="8"/>
  <c r="I460" i="8"/>
  <c r="I461" i="8"/>
  <c r="I462" i="8"/>
  <c r="I463" i="8"/>
  <c r="I464" i="8"/>
  <c r="I465" i="8"/>
  <c r="I466" i="8"/>
  <c r="I467" i="8"/>
  <c r="I468" i="8"/>
  <c r="I469" i="8"/>
  <c r="I470" i="8"/>
  <c r="I471" i="8"/>
  <c r="I472" i="8"/>
  <c r="I473" i="8"/>
  <c r="I474" i="8"/>
  <c r="I475" i="8"/>
  <c r="I476" i="8"/>
  <c r="I477" i="8"/>
  <c r="I478" i="8"/>
  <c r="I479" i="8"/>
  <c r="I480" i="8"/>
  <c r="I481" i="8"/>
  <c r="I482" i="8"/>
  <c r="I483" i="8"/>
  <c r="I484" i="8"/>
  <c r="I485" i="8"/>
  <c r="I486" i="8"/>
  <c r="I487" i="8"/>
  <c r="I488" i="8"/>
  <c r="I489" i="8"/>
  <c r="I490" i="8"/>
  <c r="I491" i="8"/>
  <c r="I492" i="8"/>
  <c r="I493" i="8"/>
  <c r="I494" i="8"/>
  <c r="I495" i="8"/>
  <c r="I496" i="8"/>
  <c r="I497" i="8"/>
  <c r="I498" i="8"/>
  <c r="I499" i="8"/>
  <c r="I500" i="8"/>
  <c r="I501" i="8"/>
  <c r="I502" i="8"/>
  <c r="I503" i="8"/>
  <c r="I504" i="8"/>
  <c r="I505" i="8"/>
  <c r="I506" i="8"/>
  <c r="I507" i="8"/>
  <c r="I508" i="8"/>
  <c r="I509" i="8"/>
  <c r="I510" i="8"/>
  <c r="I511" i="8"/>
  <c r="I512" i="8"/>
  <c r="I513" i="8"/>
  <c r="I514" i="8"/>
  <c r="I515" i="8"/>
  <c r="I516" i="8"/>
  <c r="I517" i="8"/>
  <c r="I518" i="8"/>
  <c r="I519" i="8"/>
  <c r="I520" i="8"/>
  <c r="I521" i="8"/>
  <c r="I522" i="8"/>
  <c r="I523" i="8"/>
  <c r="I524" i="8"/>
  <c r="I525" i="8"/>
  <c r="I526" i="8"/>
  <c r="I527" i="8"/>
  <c r="I528" i="8"/>
  <c r="I529" i="8"/>
  <c r="I530" i="8"/>
  <c r="I531" i="8"/>
  <c r="I532" i="8"/>
  <c r="I533" i="8"/>
  <c r="I534" i="8"/>
  <c r="I535" i="8"/>
  <c r="I536" i="8"/>
  <c r="I537" i="8"/>
  <c r="I538" i="8"/>
  <c r="I539" i="8"/>
  <c r="I540" i="8"/>
  <c r="I541" i="8"/>
  <c r="I542" i="8"/>
  <c r="I543" i="8"/>
  <c r="I544" i="8"/>
  <c r="I545" i="8"/>
  <c r="I546" i="8"/>
  <c r="I547" i="8"/>
  <c r="I548" i="8"/>
  <c r="I549" i="8"/>
  <c r="I550" i="8"/>
  <c r="I551" i="8"/>
  <c r="I552" i="8"/>
  <c r="I553" i="8"/>
  <c r="I554" i="8"/>
  <c r="I555" i="8"/>
  <c r="I556" i="8"/>
  <c r="I557" i="8"/>
  <c r="I558" i="8"/>
  <c r="I559" i="8"/>
  <c r="I560" i="8"/>
  <c r="I561" i="8"/>
  <c r="I562" i="8"/>
  <c r="I563" i="8"/>
  <c r="I564" i="8"/>
  <c r="I565" i="8"/>
  <c r="I566" i="8"/>
  <c r="I567" i="8"/>
  <c r="I568" i="8"/>
  <c r="I569" i="8"/>
  <c r="I570" i="8"/>
  <c r="I571" i="8"/>
  <c r="I572" i="8"/>
  <c r="I573" i="8"/>
  <c r="I574" i="8"/>
  <c r="I575" i="8"/>
  <c r="I576" i="8"/>
  <c r="I577" i="8"/>
  <c r="I578" i="8"/>
  <c r="I579" i="8"/>
  <c r="I580" i="8"/>
  <c r="I581" i="8"/>
  <c r="I582" i="8"/>
  <c r="I583" i="8"/>
  <c r="I584" i="8"/>
  <c r="I585" i="8"/>
  <c r="I586" i="8"/>
  <c r="I587" i="8"/>
  <c r="I588" i="8"/>
  <c r="I589" i="8"/>
  <c r="I590" i="8"/>
  <c r="I591" i="8"/>
  <c r="I592" i="8"/>
  <c r="I593" i="8"/>
  <c r="I594" i="8"/>
  <c r="I595" i="8"/>
  <c r="I596" i="8"/>
  <c r="I597" i="8"/>
  <c r="I598" i="8"/>
  <c r="I599" i="8"/>
  <c r="I600" i="8"/>
  <c r="I601" i="8"/>
  <c r="I602" i="8"/>
  <c r="I603" i="8"/>
  <c r="I604" i="8"/>
  <c r="I605" i="8"/>
  <c r="I606" i="8"/>
  <c r="I607" i="8"/>
  <c r="I608" i="8"/>
  <c r="I609" i="8"/>
  <c r="I610" i="8"/>
  <c r="I611" i="8"/>
  <c r="I612" i="8"/>
  <c r="I613" i="8"/>
  <c r="I614" i="8"/>
  <c r="I615" i="8"/>
  <c r="I616" i="8"/>
  <c r="I617" i="8"/>
  <c r="I618" i="8"/>
  <c r="I619" i="8"/>
  <c r="I620" i="8"/>
  <c r="I621" i="8"/>
  <c r="I622" i="8"/>
  <c r="I623" i="8"/>
  <c r="I624" i="8"/>
  <c r="I625" i="8"/>
  <c r="I626" i="8"/>
  <c r="I627" i="8"/>
  <c r="I628" i="8"/>
  <c r="I629" i="8"/>
  <c r="I630" i="8"/>
  <c r="I631" i="8"/>
  <c r="I632" i="8"/>
  <c r="I633" i="8"/>
  <c r="I634" i="8"/>
  <c r="I635" i="8"/>
  <c r="I636" i="8"/>
  <c r="I637" i="8"/>
  <c r="I638" i="8"/>
  <c r="I639" i="8"/>
  <c r="I640" i="8"/>
  <c r="I641" i="8"/>
  <c r="I642" i="8"/>
  <c r="I643" i="8"/>
  <c r="I644" i="8"/>
  <c r="I645" i="8"/>
  <c r="I646" i="8"/>
  <c r="I647" i="8"/>
  <c r="I648" i="8"/>
  <c r="I649" i="8"/>
  <c r="I650" i="8"/>
  <c r="I651" i="8"/>
  <c r="I652" i="8"/>
  <c r="I653" i="8"/>
  <c r="I654" i="8"/>
  <c r="I655" i="8"/>
  <c r="I656" i="8"/>
  <c r="I657" i="8"/>
  <c r="I658" i="8"/>
  <c r="I659" i="8"/>
  <c r="I660" i="8"/>
  <c r="I661" i="8"/>
  <c r="I662" i="8"/>
  <c r="I663" i="8"/>
  <c r="I664" i="8"/>
  <c r="I665" i="8"/>
  <c r="I666" i="8"/>
  <c r="I667" i="8"/>
  <c r="I668" i="8"/>
  <c r="I669" i="8"/>
  <c r="I670" i="8"/>
  <c r="I671" i="8"/>
  <c r="I672" i="8"/>
  <c r="I673" i="8"/>
  <c r="I674" i="8"/>
  <c r="I675" i="8"/>
  <c r="I676" i="8"/>
  <c r="I677" i="8"/>
  <c r="I678" i="8"/>
  <c r="I679" i="8"/>
  <c r="I680" i="8"/>
  <c r="I681" i="8"/>
  <c r="I682" i="8"/>
  <c r="I683" i="8"/>
  <c r="I684" i="8"/>
  <c r="I685" i="8"/>
  <c r="I686" i="8"/>
  <c r="I687" i="8"/>
  <c r="I688" i="8"/>
  <c r="I689" i="8"/>
  <c r="I690" i="8"/>
  <c r="I691" i="8"/>
  <c r="I692" i="8"/>
  <c r="I693" i="8"/>
  <c r="I694" i="8"/>
  <c r="I695" i="8"/>
  <c r="I696" i="8"/>
  <c r="I697" i="8"/>
  <c r="I698" i="8"/>
  <c r="I699" i="8"/>
  <c r="I700" i="8"/>
  <c r="I701" i="8"/>
  <c r="I702" i="8"/>
  <c r="I703" i="8"/>
  <c r="I704" i="8"/>
  <c r="I705" i="8"/>
  <c r="I706" i="8"/>
  <c r="I707" i="8"/>
  <c r="I708" i="8"/>
  <c r="I709" i="8"/>
  <c r="I710" i="8"/>
  <c r="I711" i="8"/>
  <c r="I712" i="8"/>
  <c r="I713" i="8"/>
  <c r="I714" i="8"/>
  <c r="I715" i="8"/>
  <c r="I716" i="8"/>
  <c r="I717" i="8"/>
  <c r="I718" i="8"/>
  <c r="I719" i="8"/>
  <c r="I720" i="8"/>
  <c r="I721" i="8"/>
  <c r="I722" i="8"/>
  <c r="I723" i="8"/>
  <c r="I724" i="8"/>
  <c r="I725" i="8"/>
  <c r="I726" i="8"/>
  <c r="I727" i="8"/>
  <c r="I728" i="8"/>
  <c r="I729" i="8"/>
  <c r="I730" i="8"/>
  <c r="I731" i="8"/>
  <c r="I732" i="8"/>
  <c r="I733" i="8"/>
  <c r="I734" i="8"/>
  <c r="I735" i="8"/>
  <c r="I736" i="8"/>
  <c r="I737" i="8"/>
  <c r="I738" i="8"/>
  <c r="I739" i="8"/>
  <c r="I740" i="8"/>
  <c r="I741" i="8"/>
  <c r="I742" i="8"/>
  <c r="I743" i="8"/>
  <c r="I744" i="8"/>
  <c r="I745" i="8"/>
  <c r="I746" i="8"/>
  <c r="I747" i="8"/>
  <c r="I748" i="8"/>
  <c r="I749" i="8"/>
  <c r="I750" i="8"/>
  <c r="I751" i="8"/>
  <c r="I752" i="8"/>
  <c r="I753" i="8"/>
  <c r="I754" i="8"/>
  <c r="I755" i="8"/>
  <c r="I756" i="8"/>
  <c r="I757" i="8"/>
  <c r="I758" i="8"/>
  <c r="I759" i="8"/>
  <c r="I760" i="8"/>
  <c r="I761" i="8"/>
  <c r="I762" i="8"/>
  <c r="I763" i="8"/>
  <c r="I764" i="8"/>
  <c r="I765" i="8"/>
  <c r="I766" i="8"/>
  <c r="I767" i="8"/>
  <c r="I768" i="8"/>
  <c r="I769" i="8"/>
  <c r="I770" i="8"/>
  <c r="I771" i="8"/>
  <c r="I772" i="8"/>
  <c r="I773" i="8"/>
  <c r="I774" i="8"/>
  <c r="I775" i="8"/>
  <c r="I776" i="8"/>
  <c r="I777" i="8"/>
  <c r="I778" i="8"/>
  <c r="I779" i="8"/>
  <c r="I780" i="8"/>
  <c r="I781" i="8"/>
  <c r="I782" i="8"/>
  <c r="I783" i="8"/>
  <c r="I784" i="8"/>
  <c r="I785" i="8"/>
  <c r="I786" i="8"/>
  <c r="I787" i="8"/>
  <c r="I788" i="8"/>
  <c r="I789" i="8"/>
  <c r="I790" i="8"/>
  <c r="I791" i="8"/>
  <c r="I792" i="8"/>
  <c r="I793" i="8"/>
  <c r="I794" i="8"/>
  <c r="I795" i="8"/>
  <c r="I796" i="8"/>
  <c r="I797" i="8"/>
  <c r="I798" i="8"/>
  <c r="I799" i="8"/>
  <c r="I800" i="8"/>
  <c r="I801" i="8"/>
  <c r="I802" i="8"/>
  <c r="I803" i="8"/>
  <c r="I804" i="8"/>
  <c r="I805" i="8"/>
  <c r="I806" i="8"/>
  <c r="I807" i="8"/>
  <c r="I808" i="8"/>
  <c r="I809" i="8"/>
  <c r="I810" i="8"/>
  <c r="I811" i="8"/>
  <c r="I812" i="8"/>
  <c r="I813" i="8"/>
  <c r="I814" i="8"/>
  <c r="I815" i="8"/>
  <c r="I816" i="8"/>
  <c r="I817" i="8"/>
  <c r="I818" i="8"/>
  <c r="I819" i="8"/>
  <c r="I820" i="8"/>
  <c r="I821" i="8"/>
  <c r="I822" i="8"/>
  <c r="I823" i="8"/>
  <c r="I824" i="8"/>
  <c r="I825" i="8"/>
  <c r="I826" i="8"/>
  <c r="I827" i="8"/>
  <c r="I828" i="8"/>
  <c r="I829" i="8"/>
  <c r="I830" i="8"/>
  <c r="I831" i="8"/>
  <c r="I832" i="8"/>
  <c r="I833" i="8"/>
  <c r="I834" i="8"/>
  <c r="I835" i="8"/>
  <c r="I836" i="8"/>
  <c r="I837" i="8"/>
  <c r="I838" i="8"/>
  <c r="I839" i="8"/>
  <c r="I840" i="8"/>
  <c r="I841" i="8"/>
  <c r="I842" i="8"/>
  <c r="I843" i="8"/>
  <c r="I844" i="8"/>
  <c r="I845" i="8"/>
  <c r="I846" i="8"/>
  <c r="I847" i="8"/>
  <c r="I848" i="8"/>
  <c r="I849" i="8"/>
  <c r="I850" i="8"/>
  <c r="I851" i="8"/>
  <c r="I852" i="8"/>
  <c r="I853" i="8"/>
  <c r="I854" i="8"/>
  <c r="I855" i="8"/>
  <c r="I856" i="8"/>
  <c r="I857" i="8"/>
  <c r="I858" i="8"/>
  <c r="I859" i="8"/>
  <c r="I860" i="8"/>
  <c r="I861" i="8"/>
  <c r="I862" i="8"/>
  <c r="I863" i="8"/>
  <c r="I864" i="8"/>
  <c r="I865" i="8"/>
  <c r="I866" i="8"/>
  <c r="I867" i="8"/>
  <c r="I868" i="8"/>
  <c r="I869" i="8"/>
  <c r="I870" i="8"/>
  <c r="I871" i="8"/>
  <c r="I872" i="8"/>
  <c r="I873" i="8"/>
  <c r="I874" i="8"/>
  <c r="I875" i="8"/>
  <c r="I876" i="8"/>
  <c r="I877" i="8"/>
  <c r="I878" i="8"/>
  <c r="I879" i="8"/>
  <c r="I880" i="8"/>
  <c r="I881" i="8"/>
  <c r="I882" i="8"/>
  <c r="I883" i="8"/>
  <c r="I884" i="8"/>
  <c r="I885" i="8"/>
  <c r="I886" i="8"/>
  <c r="I887" i="8"/>
  <c r="I888" i="8"/>
  <c r="I889" i="8"/>
  <c r="I890" i="8"/>
  <c r="I891" i="8"/>
  <c r="I892" i="8"/>
  <c r="I893" i="8"/>
  <c r="I894" i="8"/>
  <c r="I895" i="8"/>
  <c r="I896" i="8"/>
  <c r="I897" i="8"/>
  <c r="I898" i="8"/>
  <c r="I899" i="8"/>
  <c r="I900" i="8"/>
  <c r="I901" i="8"/>
  <c r="I902" i="8"/>
  <c r="I903" i="8"/>
  <c r="I904" i="8"/>
  <c r="I905" i="8"/>
  <c r="I906" i="8"/>
  <c r="I907" i="8"/>
  <c r="I908" i="8"/>
  <c r="I909" i="8"/>
  <c r="I910" i="8"/>
  <c r="I911" i="8"/>
  <c r="I912" i="8"/>
  <c r="I913" i="8"/>
  <c r="I914" i="8"/>
  <c r="I915" i="8"/>
  <c r="I916" i="8"/>
  <c r="I917" i="8"/>
  <c r="I918" i="8"/>
  <c r="I919" i="8"/>
  <c r="I920" i="8"/>
  <c r="I921" i="8"/>
  <c r="I922" i="8"/>
  <c r="I923" i="8"/>
  <c r="I924" i="8"/>
  <c r="I925" i="8"/>
  <c r="I926" i="8"/>
  <c r="I927" i="8"/>
  <c r="I928" i="8"/>
  <c r="I929" i="8"/>
  <c r="I930" i="8"/>
  <c r="I931" i="8"/>
  <c r="I932" i="8"/>
  <c r="I933" i="8"/>
  <c r="I934" i="8"/>
  <c r="I935" i="8"/>
  <c r="I936" i="8"/>
  <c r="I937" i="8"/>
  <c r="I938" i="8"/>
  <c r="I939" i="8"/>
  <c r="I940" i="8"/>
  <c r="I941" i="8"/>
  <c r="I942" i="8"/>
  <c r="I943" i="8"/>
  <c r="I944" i="8"/>
  <c r="I945" i="8"/>
  <c r="I946" i="8"/>
  <c r="I947" i="8"/>
  <c r="I948" i="8"/>
  <c r="I949" i="8"/>
  <c r="I950" i="8"/>
  <c r="I951" i="8"/>
  <c r="I952" i="8"/>
  <c r="I953" i="8"/>
  <c r="I954" i="8"/>
  <c r="I955" i="8"/>
  <c r="I956" i="8"/>
  <c r="I957" i="8"/>
  <c r="I958" i="8"/>
  <c r="I959" i="8"/>
  <c r="I960" i="8"/>
  <c r="I961" i="8"/>
  <c r="I962" i="8"/>
  <c r="I963" i="8"/>
  <c r="I964" i="8"/>
  <c r="I965" i="8"/>
  <c r="I966" i="8"/>
  <c r="I967" i="8"/>
  <c r="I968" i="8"/>
  <c r="I969" i="8"/>
  <c r="I970" i="8"/>
  <c r="I971" i="8"/>
  <c r="I972" i="8"/>
  <c r="I973" i="8"/>
  <c r="I974" i="8"/>
  <c r="I975" i="8"/>
  <c r="I976" i="8"/>
  <c r="I977" i="8"/>
  <c r="I978" i="8"/>
  <c r="I979" i="8"/>
  <c r="I980" i="8"/>
  <c r="I981" i="8"/>
  <c r="I982" i="8"/>
  <c r="I983" i="8"/>
  <c r="I984" i="8"/>
  <c r="I985" i="8"/>
  <c r="I986" i="8"/>
  <c r="I987" i="8"/>
  <c r="I988" i="8"/>
  <c r="I989" i="8"/>
  <c r="I990" i="8"/>
  <c r="I991" i="8"/>
  <c r="I992" i="8"/>
  <c r="I993" i="8"/>
  <c r="I994" i="8"/>
  <c r="I995" i="8"/>
  <c r="I996" i="8"/>
  <c r="I997" i="8"/>
  <c r="I998" i="8"/>
  <c r="I999" i="8"/>
  <c r="I1000" i="8"/>
  <c r="I1001" i="8"/>
  <c r="I1002" i="8"/>
  <c r="I1003" i="8"/>
  <c r="I1004" i="8"/>
  <c r="I1005" i="8"/>
  <c r="I1006" i="8"/>
  <c r="I1007" i="8"/>
  <c r="I1008" i="8"/>
  <c r="I1009" i="8"/>
  <c r="I1010" i="8"/>
  <c r="I1011" i="8"/>
  <c r="I1012" i="8"/>
  <c r="I1013" i="8"/>
  <c r="I1014" i="8"/>
  <c r="I1015" i="8"/>
  <c r="I1016" i="8"/>
  <c r="I1017" i="8"/>
  <c r="I1018" i="8"/>
  <c r="I1019" i="8"/>
  <c r="I1020" i="8"/>
  <c r="I1021" i="8"/>
  <c r="I1022" i="8"/>
  <c r="I1023" i="8"/>
  <c r="I1024" i="8"/>
  <c r="I1025" i="8"/>
  <c r="I1026" i="8"/>
  <c r="I1027" i="8"/>
  <c r="I1028" i="8"/>
  <c r="I1029" i="8"/>
  <c r="I1030" i="8"/>
  <c r="I1031" i="8"/>
  <c r="I1032" i="8"/>
  <c r="I1033" i="8"/>
  <c r="I1034" i="8"/>
  <c r="I1035" i="8"/>
  <c r="I1036" i="8"/>
  <c r="I1037" i="8"/>
  <c r="I1038" i="8"/>
  <c r="I1039" i="8"/>
  <c r="I1040" i="8"/>
  <c r="I1041" i="8"/>
  <c r="I1042" i="8"/>
  <c r="I1043" i="8"/>
  <c r="I1044" i="8"/>
  <c r="I1045" i="8"/>
  <c r="I1046" i="8"/>
  <c r="I1047" i="8"/>
  <c r="I1048" i="8"/>
  <c r="I1049" i="8"/>
  <c r="I1050" i="8"/>
  <c r="I1051" i="8"/>
  <c r="I1052" i="8"/>
  <c r="I1053" i="8"/>
  <c r="I1054" i="8"/>
  <c r="I1055" i="8"/>
  <c r="I1056" i="8"/>
  <c r="I1057" i="8"/>
  <c r="I1058" i="8"/>
  <c r="I1059" i="8"/>
  <c r="I1060" i="8"/>
  <c r="I1061" i="8"/>
  <c r="I1062" i="8"/>
  <c r="I1063" i="8"/>
  <c r="I1064" i="8"/>
  <c r="I1065" i="8"/>
  <c r="I1066" i="8"/>
  <c r="I1067" i="8"/>
  <c r="I1068" i="8"/>
  <c r="I1069" i="8"/>
  <c r="I1070" i="8"/>
  <c r="I1071" i="8"/>
  <c r="I1072" i="8"/>
  <c r="I1073" i="8"/>
  <c r="I1074" i="8"/>
  <c r="I1075" i="8"/>
  <c r="I1076" i="8"/>
  <c r="I1077" i="8"/>
  <c r="I1078" i="8"/>
  <c r="I1079" i="8"/>
  <c r="I1080" i="8"/>
  <c r="I1081" i="8"/>
  <c r="I1082" i="8"/>
  <c r="I1083" i="8"/>
  <c r="I1084" i="8"/>
  <c r="I1085" i="8"/>
  <c r="I1086" i="8"/>
  <c r="I1087" i="8"/>
  <c r="I1088" i="8"/>
  <c r="I1089" i="8"/>
  <c r="I1090" i="8"/>
  <c r="I1091" i="8"/>
  <c r="I1092" i="8"/>
  <c r="I1093" i="8"/>
  <c r="I1094" i="8"/>
  <c r="I1095" i="8"/>
  <c r="I1096" i="8"/>
  <c r="I1097" i="8"/>
  <c r="I1098" i="8"/>
  <c r="I1099" i="8"/>
  <c r="I1100" i="8"/>
  <c r="I1101" i="8"/>
  <c r="I1102" i="8"/>
  <c r="I1103" i="8"/>
  <c r="I1104" i="8"/>
  <c r="I1105" i="8"/>
  <c r="I1106" i="8"/>
  <c r="I1107" i="8"/>
  <c r="I1108" i="8"/>
  <c r="I1109" i="8"/>
  <c r="I1110" i="8"/>
  <c r="I1111" i="8"/>
  <c r="I1112" i="8"/>
  <c r="I1113" i="8"/>
  <c r="I1114" i="8"/>
  <c r="I1115" i="8"/>
  <c r="I1116" i="8"/>
  <c r="I1117" i="8"/>
  <c r="I1118" i="8"/>
  <c r="I1119" i="8"/>
  <c r="I1120" i="8"/>
  <c r="I1121" i="8"/>
  <c r="I1122" i="8"/>
  <c r="I1123" i="8"/>
  <c r="I1124" i="8"/>
  <c r="I1125" i="8"/>
  <c r="I1126" i="8"/>
  <c r="I1127" i="8"/>
  <c r="I1128" i="8"/>
  <c r="I1129" i="8"/>
  <c r="I1130" i="8"/>
  <c r="I1131" i="8"/>
  <c r="I1132" i="8"/>
  <c r="I1133" i="8"/>
  <c r="I1134" i="8"/>
  <c r="I1135" i="8"/>
  <c r="I1136" i="8"/>
  <c r="I1137" i="8"/>
  <c r="I1138" i="8"/>
  <c r="I1139" i="8"/>
  <c r="I1140" i="8"/>
  <c r="I1141" i="8"/>
  <c r="I1142" i="8"/>
  <c r="I1143" i="8"/>
  <c r="I1144" i="8"/>
  <c r="I1145" i="8"/>
  <c r="I1146" i="8"/>
  <c r="I1147" i="8"/>
  <c r="I1148" i="8"/>
  <c r="I1149" i="8"/>
  <c r="I1150" i="8"/>
  <c r="I1151" i="8"/>
  <c r="I1152" i="8"/>
  <c r="I1153" i="8"/>
  <c r="I1154" i="8"/>
  <c r="I1155" i="8"/>
  <c r="I1156" i="8"/>
  <c r="I1157" i="8"/>
  <c r="I1158" i="8"/>
  <c r="I1159" i="8"/>
  <c r="I1160" i="8"/>
  <c r="I1161" i="8"/>
  <c r="I1162" i="8"/>
  <c r="I1163" i="8"/>
  <c r="I1164" i="8"/>
  <c r="I1165" i="8"/>
  <c r="I1166" i="8"/>
  <c r="I1167" i="8"/>
  <c r="I1168" i="8"/>
  <c r="I1169" i="8"/>
  <c r="I1170" i="8"/>
  <c r="I1171" i="8"/>
  <c r="I1172" i="8"/>
  <c r="I1173" i="8"/>
  <c r="I1174" i="8"/>
  <c r="I1175" i="8"/>
  <c r="I1176" i="8"/>
  <c r="I1177" i="8"/>
  <c r="I1178" i="8"/>
  <c r="I1179" i="8"/>
  <c r="I1180" i="8"/>
  <c r="I1181" i="8"/>
  <c r="I1182" i="8"/>
  <c r="I1183" i="8"/>
  <c r="I1184" i="8"/>
  <c r="I1185" i="8"/>
  <c r="I1186" i="8"/>
  <c r="I1187" i="8"/>
  <c r="I1188" i="8"/>
  <c r="I1189" i="8"/>
  <c r="I1190" i="8"/>
  <c r="I1191" i="8"/>
  <c r="I1192" i="8"/>
  <c r="I1193" i="8"/>
  <c r="I1194" i="8"/>
  <c r="I1195" i="8"/>
  <c r="I1196" i="8"/>
  <c r="I1197" i="8"/>
  <c r="I1198" i="8"/>
  <c r="I1199" i="8"/>
  <c r="I1200" i="8"/>
  <c r="I1201" i="8"/>
  <c r="I1202" i="8"/>
  <c r="I1203" i="8"/>
  <c r="I1204" i="8"/>
  <c r="I1205" i="8"/>
  <c r="I1206" i="8"/>
  <c r="I1207" i="8"/>
  <c r="I1208" i="8"/>
  <c r="I1209" i="8"/>
  <c r="I1210" i="8"/>
  <c r="I1211" i="8"/>
  <c r="I1212" i="8"/>
  <c r="I1213" i="8"/>
  <c r="I1214" i="8"/>
  <c r="I1215" i="8"/>
  <c r="I1216" i="8"/>
  <c r="I1217" i="8"/>
  <c r="I1218" i="8"/>
  <c r="I1219" i="8"/>
  <c r="I1220" i="8"/>
  <c r="I1221" i="8"/>
  <c r="I1222" i="8"/>
  <c r="I1223" i="8"/>
  <c r="I1224" i="8"/>
  <c r="I1225" i="8"/>
  <c r="I1226" i="8"/>
  <c r="I1227" i="8"/>
  <c r="I1228" i="8"/>
  <c r="I1229" i="8"/>
  <c r="I1230" i="8"/>
  <c r="I1231" i="8"/>
  <c r="I1232" i="8"/>
  <c r="I1233" i="8"/>
  <c r="I1234" i="8"/>
  <c r="I1235" i="8"/>
  <c r="I1236" i="8"/>
  <c r="I1237" i="8"/>
  <c r="I1238" i="8"/>
  <c r="I1239" i="8"/>
  <c r="I1240" i="8"/>
  <c r="I1241" i="8"/>
  <c r="I1242" i="8"/>
  <c r="I1243" i="8"/>
  <c r="I1244" i="8"/>
  <c r="I1245" i="8"/>
  <c r="I1246" i="8"/>
  <c r="I1247" i="8"/>
  <c r="I1248" i="8"/>
  <c r="I1249" i="8"/>
  <c r="I1250" i="8"/>
  <c r="I1251" i="8"/>
  <c r="I1252" i="8"/>
  <c r="I1253" i="8"/>
  <c r="I1254" i="8"/>
  <c r="I1255" i="8"/>
  <c r="I1256" i="8"/>
  <c r="I1257" i="8"/>
  <c r="I1258" i="8"/>
  <c r="I1259" i="8"/>
  <c r="I1260" i="8"/>
  <c r="I1261" i="8"/>
  <c r="I1262" i="8"/>
  <c r="I1263" i="8"/>
  <c r="I1264" i="8"/>
  <c r="I1265" i="8"/>
  <c r="I1266" i="8"/>
  <c r="I1267" i="8"/>
  <c r="I1268" i="8"/>
  <c r="I1269" i="8"/>
  <c r="I1270" i="8"/>
  <c r="I1271" i="8"/>
  <c r="I1272" i="8"/>
  <c r="I1273" i="8"/>
  <c r="I1274" i="8"/>
  <c r="I1275" i="8"/>
  <c r="I1276" i="8"/>
  <c r="I1277" i="8"/>
  <c r="I1278" i="8"/>
  <c r="I1279" i="8"/>
  <c r="I1280" i="8"/>
  <c r="I1281" i="8"/>
  <c r="I1282" i="8"/>
  <c r="I1283" i="8"/>
  <c r="I1284" i="8"/>
  <c r="I1285" i="8"/>
  <c r="I1286" i="8"/>
  <c r="I1287" i="8"/>
  <c r="I1288" i="8"/>
  <c r="I1289" i="8"/>
  <c r="I1290" i="8"/>
  <c r="I1291" i="8"/>
  <c r="I1292" i="8"/>
  <c r="I1293" i="8"/>
  <c r="I1294" i="8"/>
  <c r="I1295" i="8"/>
  <c r="I1296" i="8"/>
  <c r="I1297" i="8"/>
  <c r="I1298" i="8"/>
  <c r="I1299" i="8"/>
  <c r="I1300" i="8"/>
  <c r="I1301" i="8"/>
  <c r="I1302" i="8"/>
  <c r="I1303" i="8"/>
  <c r="I1304" i="8"/>
  <c r="I1305" i="8"/>
  <c r="I1306" i="8"/>
  <c r="I1307" i="8"/>
  <c r="I1308" i="8"/>
  <c r="I1309" i="8"/>
  <c r="I1310" i="8"/>
  <c r="I1311" i="8"/>
  <c r="I1312" i="8"/>
  <c r="I1313" i="8"/>
  <c r="I1314" i="8"/>
  <c r="I1315" i="8"/>
  <c r="I1316" i="8"/>
  <c r="I1317" i="8"/>
  <c r="I1318" i="8"/>
  <c r="I1319" i="8"/>
  <c r="I1320" i="8"/>
  <c r="I1321" i="8"/>
  <c r="I1322" i="8"/>
  <c r="I1323" i="8"/>
  <c r="I1324" i="8"/>
  <c r="I1325" i="8"/>
  <c r="I1326" i="8"/>
  <c r="I1327" i="8"/>
  <c r="I1328" i="8"/>
  <c r="I1329" i="8"/>
  <c r="I1330" i="8"/>
  <c r="I1331" i="8"/>
  <c r="I1332" i="8"/>
  <c r="I1333" i="8"/>
  <c r="I1334" i="8"/>
  <c r="I1335" i="8"/>
  <c r="I1336" i="8"/>
  <c r="I1337" i="8"/>
  <c r="I1338" i="8"/>
  <c r="I1339" i="8"/>
  <c r="I1340" i="8"/>
  <c r="I1341" i="8"/>
  <c r="I1342" i="8"/>
  <c r="I1343" i="8"/>
  <c r="I1344" i="8"/>
  <c r="I1345" i="8"/>
  <c r="I1346" i="8"/>
  <c r="I1347" i="8"/>
  <c r="I1348" i="8"/>
  <c r="I1349" i="8"/>
  <c r="I1350" i="8"/>
  <c r="I1351" i="8"/>
  <c r="I1352" i="8"/>
  <c r="I1353" i="8"/>
  <c r="I1354" i="8"/>
  <c r="I1355" i="8"/>
  <c r="I1356" i="8"/>
  <c r="I1357" i="8"/>
  <c r="I1358" i="8"/>
  <c r="I1359" i="8"/>
  <c r="I1360" i="8"/>
  <c r="I1361" i="8"/>
  <c r="I1362" i="8"/>
  <c r="I1363" i="8"/>
  <c r="I1364" i="8"/>
  <c r="I1365" i="8"/>
  <c r="I1366" i="8"/>
  <c r="I1367" i="8"/>
  <c r="I1368" i="8"/>
  <c r="I1369" i="8"/>
  <c r="I1370" i="8"/>
  <c r="I1371" i="8"/>
  <c r="I1372" i="8"/>
  <c r="I1373" i="8"/>
  <c r="I1374" i="8"/>
  <c r="I1375" i="8"/>
  <c r="I1376" i="8"/>
  <c r="I1377" i="8"/>
  <c r="I1378" i="8"/>
  <c r="I1379" i="8"/>
  <c r="I1380" i="8"/>
  <c r="I1381" i="8"/>
  <c r="I1382" i="8"/>
  <c r="I1383" i="8"/>
  <c r="I1384" i="8"/>
  <c r="I1385" i="8"/>
  <c r="I1386" i="8"/>
  <c r="I1387" i="8"/>
  <c r="I1388" i="8"/>
  <c r="I1389" i="8"/>
  <c r="I1390" i="8"/>
  <c r="I1391" i="8"/>
  <c r="I1392" i="8"/>
  <c r="I1393" i="8"/>
  <c r="I1394" i="8"/>
  <c r="I1395" i="8"/>
  <c r="I1396" i="8"/>
  <c r="I1397" i="8"/>
  <c r="I1398" i="8"/>
  <c r="I1399" i="8"/>
  <c r="I1400" i="8"/>
  <c r="I1401" i="8"/>
  <c r="I1402" i="8"/>
  <c r="I1403" i="8"/>
  <c r="I1404" i="8"/>
  <c r="I1405" i="8"/>
  <c r="I1406" i="8"/>
  <c r="I1407" i="8"/>
  <c r="I1408" i="8"/>
  <c r="I1409" i="8"/>
  <c r="I1410" i="8"/>
  <c r="I1411" i="8"/>
  <c r="I1412" i="8"/>
  <c r="I1413" i="8"/>
  <c r="I1414" i="8"/>
  <c r="I1415" i="8"/>
  <c r="I1416" i="8"/>
  <c r="I1417" i="8"/>
  <c r="I1418" i="8"/>
  <c r="I1419" i="8"/>
  <c r="I1420" i="8"/>
  <c r="I1421" i="8"/>
  <c r="I1422" i="8"/>
  <c r="I1423" i="8"/>
  <c r="I1424" i="8"/>
  <c r="I1425" i="8"/>
  <c r="I1426" i="8"/>
  <c r="I1427" i="8"/>
  <c r="I1428" i="8"/>
  <c r="I1429" i="8"/>
  <c r="I1430" i="8"/>
  <c r="I1431" i="8"/>
  <c r="I1432" i="8"/>
  <c r="I1433" i="8"/>
  <c r="I1434" i="8"/>
  <c r="I1435" i="8"/>
  <c r="I1436" i="8"/>
  <c r="I1437" i="8"/>
  <c r="I1438" i="8"/>
  <c r="I1439" i="8"/>
  <c r="I1440" i="8"/>
  <c r="I1441" i="8"/>
  <c r="I1442" i="8"/>
  <c r="I1443" i="8"/>
  <c r="I1444" i="8"/>
  <c r="I1445" i="8"/>
  <c r="I1446" i="8"/>
  <c r="I1447" i="8"/>
  <c r="I1448" i="8"/>
  <c r="I1449" i="8"/>
  <c r="I1450" i="8"/>
  <c r="I1451" i="8"/>
  <c r="I1452" i="8"/>
  <c r="I1453" i="8"/>
  <c r="I1454" i="8"/>
  <c r="I1455" i="8"/>
  <c r="I1456" i="8"/>
  <c r="I1457" i="8"/>
  <c r="I1458" i="8"/>
  <c r="I1459" i="8"/>
  <c r="I1460" i="8"/>
  <c r="I1461" i="8"/>
  <c r="I1462" i="8"/>
  <c r="I1463" i="8"/>
  <c r="I1464" i="8"/>
  <c r="I1465" i="8"/>
  <c r="I1466" i="8"/>
  <c r="I1467" i="8"/>
  <c r="I1468" i="8"/>
  <c r="I1469" i="8"/>
  <c r="I1470" i="8"/>
  <c r="I1471" i="8"/>
  <c r="I1472" i="8"/>
  <c r="I1473" i="8"/>
  <c r="I1474" i="8"/>
  <c r="I1475" i="8"/>
  <c r="I1476" i="8"/>
  <c r="I1477" i="8"/>
  <c r="I1478" i="8"/>
  <c r="I1479" i="8"/>
  <c r="I1480" i="8"/>
  <c r="I1481" i="8"/>
  <c r="I1482" i="8"/>
  <c r="I1483" i="8"/>
  <c r="I1484" i="8"/>
  <c r="I1485" i="8"/>
  <c r="I1486" i="8"/>
  <c r="I1487" i="8"/>
  <c r="I1488" i="8"/>
  <c r="I1489" i="8"/>
  <c r="I1490" i="8"/>
  <c r="I1491" i="8"/>
  <c r="I1492" i="8"/>
  <c r="I1493" i="8"/>
  <c r="I1494" i="8"/>
  <c r="I1495" i="8"/>
  <c r="I1496" i="8"/>
  <c r="I1497" i="8"/>
  <c r="I1498" i="8"/>
  <c r="I1499" i="8"/>
  <c r="I1500" i="8"/>
  <c r="I1501" i="8"/>
  <c r="I1502" i="8"/>
  <c r="I1503" i="8"/>
  <c r="I1504" i="8"/>
  <c r="I1505" i="8"/>
  <c r="I1506" i="8"/>
  <c r="I1507" i="8"/>
  <c r="I1508" i="8"/>
  <c r="I1509" i="8"/>
  <c r="I1510" i="8"/>
  <c r="I1511" i="8"/>
  <c r="I1512" i="8"/>
  <c r="I1513" i="8"/>
  <c r="I1514" i="8"/>
  <c r="I1515" i="8"/>
  <c r="I1516" i="8"/>
  <c r="I1517" i="8"/>
  <c r="I1518" i="8"/>
  <c r="I1519" i="8"/>
  <c r="I1520" i="8"/>
  <c r="I1521" i="8"/>
  <c r="I1522" i="8"/>
  <c r="I1523" i="8"/>
  <c r="I1524" i="8"/>
  <c r="I1525" i="8"/>
  <c r="I1526" i="8"/>
  <c r="I1527" i="8"/>
  <c r="I1528" i="8"/>
  <c r="I1529" i="8"/>
  <c r="I1530" i="8"/>
  <c r="I1531" i="8"/>
  <c r="I1532" i="8"/>
  <c r="I1533" i="8"/>
  <c r="I1534" i="8"/>
  <c r="I1535" i="8"/>
  <c r="I1536" i="8"/>
  <c r="I1537" i="8"/>
  <c r="I1538" i="8"/>
  <c r="I1539" i="8"/>
  <c r="I1540" i="8"/>
  <c r="I1541" i="8"/>
  <c r="I1542" i="8"/>
  <c r="I1543" i="8"/>
  <c r="I1544" i="8"/>
  <c r="I1545" i="8"/>
  <c r="I1546" i="8"/>
  <c r="I1547" i="8"/>
  <c r="I1548" i="8"/>
  <c r="I1549" i="8"/>
  <c r="I1550" i="8"/>
  <c r="I1551" i="8"/>
  <c r="I1552" i="8"/>
  <c r="I1553" i="8"/>
  <c r="I1554" i="8"/>
  <c r="I1555" i="8"/>
  <c r="I1556" i="8"/>
  <c r="I1557" i="8"/>
  <c r="I1558" i="8"/>
  <c r="I1559" i="8"/>
  <c r="I1560" i="8"/>
  <c r="I2" i="8"/>
  <c r="H2" i="8"/>
  <c r="H3" i="8"/>
  <c r="H4" i="8"/>
  <c r="H5" i="8"/>
  <c r="H6" i="8"/>
  <c r="H7" i="8"/>
  <c r="H8"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H71" i="8"/>
  <c r="H72" i="8"/>
  <c r="H73" i="8"/>
  <c r="H74" i="8"/>
  <c r="H75" i="8"/>
  <c r="H76" i="8"/>
  <c r="H77" i="8"/>
  <c r="H78" i="8"/>
  <c r="H79" i="8"/>
  <c r="H80" i="8"/>
  <c r="H81" i="8"/>
  <c r="H82" i="8"/>
  <c r="H83" i="8"/>
  <c r="H84" i="8"/>
  <c r="H85" i="8"/>
  <c r="H86" i="8"/>
  <c r="H87" i="8"/>
  <c r="H88" i="8"/>
  <c r="H89" i="8"/>
  <c r="H90" i="8"/>
  <c r="H91" i="8"/>
  <c r="H92" i="8"/>
  <c r="H93" i="8"/>
  <c r="H94" i="8"/>
  <c r="H95" i="8"/>
  <c r="H96" i="8"/>
  <c r="H97" i="8"/>
  <c r="H98" i="8"/>
  <c r="H99" i="8"/>
  <c r="H100" i="8"/>
  <c r="H101" i="8"/>
  <c r="H102" i="8"/>
  <c r="H103" i="8"/>
  <c r="H104" i="8"/>
  <c r="H105" i="8"/>
  <c r="H106" i="8"/>
  <c r="H107" i="8"/>
  <c r="H108" i="8"/>
  <c r="H109" i="8"/>
  <c r="H110" i="8"/>
  <c r="H111" i="8"/>
  <c r="H112" i="8"/>
  <c r="H113" i="8"/>
  <c r="H114" i="8"/>
  <c r="H115" i="8"/>
  <c r="H116" i="8"/>
  <c r="H117" i="8"/>
  <c r="H118" i="8"/>
  <c r="H119" i="8"/>
  <c r="H120" i="8"/>
  <c r="H121" i="8"/>
  <c r="H122" i="8"/>
  <c r="H123" i="8"/>
  <c r="H124" i="8"/>
  <c r="H125" i="8"/>
  <c r="H126" i="8"/>
  <c r="H127" i="8"/>
  <c r="H128" i="8"/>
  <c r="H129" i="8"/>
  <c r="H130" i="8"/>
  <c r="H131" i="8"/>
  <c r="H132" i="8"/>
  <c r="H133" i="8"/>
  <c r="H134" i="8"/>
  <c r="H135" i="8"/>
  <c r="H136" i="8"/>
  <c r="H137" i="8"/>
  <c r="H138" i="8"/>
  <c r="H139" i="8"/>
  <c r="H140" i="8"/>
  <c r="H141" i="8"/>
  <c r="H142" i="8"/>
  <c r="H143" i="8"/>
  <c r="H144" i="8"/>
  <c r="H145" i="8"/>
  <c r="H146" i="8"/>
  <c r="H147" i="8"/>
  <c r="H148" i="8"/>
  <c r="H149" i="8"/>
  <c r="H150" i="8"/>
  <c r="H151" i="8"/>
  <c r="H152" i="8"/>
  <c r="H153" i="8"/>
  <c r="H154" i="8"/>
  <c r="H155" i="8"/>
  <c r="H156" i="8"/>
  <c r="H157" i="8"/>
  <c r="H158" i="8"/>
  <c r="H159" i="8"/>
  <c r="H160" i="8"/>
  <c r="H161" i="8"/>
  <c r="H162" i="8"/>
  <c r="H163" i="8"/>
  <c r="H164" i="8"/>
  <c r="H165" i="8"/>
  <c r="H166" i="8"/>
  <c r="H167" i="8"/>
  <c r="H168" i="8"/>
  <c r="H169" i="8"/>
  <c r="H170" i="8"/>
  <c r="H171" i="8"/>
  <c r="H172" i="8"/>
  <c r="H173" i="8"/>
  <c r="H174" i="8"/>
  <c r="H175" i="8"/>
  <c r="H176" i="8"/>
  <c r="H177" i="8"/>
  <c r="H178" i="8"/>
  <c r="H179" i="8"/>
  <c r="H180" i="8"/>
  <c r="H181" i="8"/>
  <c r="H182" i="8"/>
  <c r="H183" i="8"/>
  <c r="H184" i="8"/>
  <c r="H185" i="8"/>
  <c r="H186" i="8"/>
  <c r="H187" i="8"/>
  <c r="H188" i="8"/>
  <c r="H189" i="8"/>
  <c r="H190" i="8"/>
  <c r="H191" i="8"/>
  <c r="H192" i="8"/>
  <c r="H193" i="8"/>
  <c r="H194" i="8"/>
  <c r="H195" i="8"/>
  <c r="H196" i="8"/>
  <c r="H197" i="8"/>
  <c r="H198" i="8"/>
  <c r="H199" i="8"/>
  <c r="H200" i="8"/>
  <c r="H201" i="8"/>
  <c r="H202" i="8"/>
  <c r="H203" i="8"/>
  <c r="H204" i="8"/>
  <c r="H205" i="8"/>
  <c r="H206" i="8"/>
  <c r="H207" i="8"/>
  <c r="H208" i="8"/>
  <c r="H209" i="8"/>
  <c r="H210" i="8"/>
  <c r="H211" i="8"/>
  <c r="H212" i="8"/>
  <c r="H213" i="8"/>
  <c r="H214" i="8"/>
  <c r="H215" i="8"/>
  <c r="H216" i="8"/>
  <c r="H217" i="8"/>
  <c r="H218" i="8"/>
  <c r="H219" i="8"/>
  <c r="H220" i="8"/>
  <c r="H221" i="8"/>
  <c r="H222" i="8"/>
  <c r="H223" i="8"/>
  <c r="H224" i="8"/>
  <c r="H225" i="8"/>
  <c r="H226" i="8"/>
  <c r="H227" i="8"/>
  <c r="H228" i="8"/>
  <c r="H229" i="8"/>
  <c r="H230" i="8"/>
  <c r="H231" i="8"/>
  <c r="H232" i="8"/>
  <c r="H233" i="8"/>
  <c r="H234" i="8"/>
  <c r="H235" i="8"/>
  <c r="H236" i="8"/>
  <c r="H237" i="8"/>
  <c r="H238" i="8"/>
  <c r="H239" i="8"/>
  <c r="H240" i="8"/>
  <c r="H241" i="8"/>
  <c r="H242" i="8"/>
  <c r="H243" i="8"/>
  <c r="H244" i="8"/>
  <c r="H245" i="8"/>
  <c r="H246" i="8"/>
  <c r="H247" i="8"/>
  <c r="H248" i="8"/>
  <c r="H249" i="8"/>
  <c r="H250" i="8"/>
  <c r="H251" i="8"/>
  <c r="H252" i="8"/>
  <c r="H253" i="8"/>
  <c r="H254" i="8"/>
  <c r="H255" i="8"/>
  <c r="H256" i="8"/>
  <c r="H257" i="8"/>
  <c r="H258" i="8"/>
  <c r="H259" i="8"/>
  <c r="H260" i="8"/>
  <c r="H261" i="8"/>
  <c r="H262" i="8"/>
  <c r="H263" i="8"/>
  <c r="H264" i="8"/>
  <c r="H265" i="8"/>
  <c r="H266" i="8"/>
  <c r="H267" i="8"/>
  <c r="H268" i="8"/>
  <c r="H269" i="8"/>
  <c r="H270" i="8"/>
  <c r="H271" i="8"/>
  <c r="H272" i="8"/>
  <c r="H273" i="8"/>
  <c r="H274" i="8"/>
  <c r="H275" i="8"/>
  <c r="H276" i="8"/>
  <c r="H277" i="8"/>
  <c r="H278" i="8"/>
  <c r="H279" i="8"/>
  <c r="H280" i="8"/>
  <c r="H281" i="8"/>
  <c r="H282" i="8"/>
  <c r="H283" i="8"/>
  <c r="H284" i="8"/>
  <c r="H285" i="8"/>
  <c r="H286" i="8"/>
  <c r="H287" i="8"/>
  <c r="H288" i="8"/>
  <c r="H289" i="8"/>
  <c r="H290" i="8"/>
  <c r="H291" i="8"/>
  <c r="H292" i="8"/>
  <c r="H293" i="8"/>
  <c r="H294" i="8"/>
  <c r="H295" i="8"/>
  <c r="H296" i="8"/>
  <c r="H297" i="8"/>
  <c r="H298" i="8"/>
  <c r="H299" i="8"/>
  <c r="H300" i="8"/>
  <c r="H301" i="8"/>
  <c r="H302" i="8"/>
  <c r="H303" i="8"/>
  <c r="H304" i="8"/>
  <c r="H305" i="8"/>
  <c r="H306" i="8"/>
  <c r="H307" i="8"/>
  <c r="H308" i="8"/>
  <c r="H309" i="8"/>
  <c r="H310" i="8"/>
  <c r="H311" i="8"/>
  <c r="H312" i="8"/>
  <c r="H313" i="8"/>
  <c r="H314" i="8"/>
  <c r="H315" i="8"/>
  <c r="H316" i="8"/>
  <c r="H317" i="8"/>
  <c r="H318" i="8"/>
  <c r="H319" i="8"/>
  <c r="H320" i="8"/>
  <c r="H321" i="8"/>
  <c r="H322" i="8"/>
  <c r="H323" i="8"/>
  <c r="H324" i="8"/>
  <c r="H325" i="8"/>
  <c r="H326" i="8"/>
  <c r="H327" i="8"/>
  <c r="H328" i="8"/>
  <c r="H329" i="8"/>
  <c r="H330" i="8"/>
  <c r="H331" i="8"/>
  <c r="H332" i="8"/>
  <c r="H333" i="8"/>
  <c r="H334" i="8"/>
  <c r="H335" i="8"/>
  <c r="H336" i="8"/>
  <c r="H337" i="8"/>
  <c r="H338" i="8"/>
  <c r="H339" i="8"/>
  <c r="H340" i="8"/>
  <c r="H341" i="8"/>
  <c r="H342" i="8"/>
  <c r="H343" i="8"/>
  <c r="H344" i="8"/>
  <c r="H345" i="8"/>
  <c r="H346" i="8"/>
  <c r="H347" i="8"/>
  <c r="H348" i="8"/>
  <c r="H349" i="8"/>
  <c r="H350" i="8"/>
  <c r="H351" i="8"/>
  <c r="H352" i="8"/>
  <c r="H353" i="8"/>
  <c r="H354" i="8"/>
  <c r="H355" i="8"/>
  <c r="H356" i="8"/>
  <c r="H357" i="8"/>
  <c r="H358" i="8"/>
  <c r="H359" i="8"/>
  <c r="H360" i="8"/>
  <c r="H361" i="8"/>
  <c r="H362" i="8"/>
  <c r="H363" i="8"/>
  <c r="H364" i="8"/>
  <c r="H365" i="8"/>
  <c r="H366" i="8"/>
  <c r="H367" i="8"/>
  <c r="H368" i="8"/>
  <c r="H369" i="8"/>
  <c r="H370" i="8"/>
  <c r="H371" i="8"/>
  <c r="H372" i="8"/>
  <c r="H373" i="8"/>
  <c r="H374" i="8"/>
  <c r="H375" i="8"/>
  <c r="H376" i="8"/>
  <c r="H377" i="8"/>
  <c r="H378" i="8"/>
  <c r="H379" i="8"/>
  <c r="H380" i="8"/>
  <c r="H381" i="8"/>
  <c r="H382" i="8"/>
  <c r="H383" i="8"/>
  <c r="H384" i="8"/>
  <c r="H385" i="8"/>
  <c r="H386" i="8"/>
  <c r="H387" i="8"/>
  <c r="H388" i="8"/>
  <c r="H389" i="8"/>
  <c r="H390" i="8"/>
  <c r="H391" i="8"/>
  <c r="H392" i="8"/>
  <c r="H393" i="8"/>
  <c r="H394" i="8"/>
  <c r="H395" i="8"/>
  <c r="H396" i="8"/>
  <c r="H397" i="8"/>
  <c r="H398" i="8"/>
  <c r="H399" i="8"/>
  <c r="H400" i="8"/>
  <c r="H401" i="8"/>
  <c r="H402" i="8"/>
  <c r="H403" i="8"/>
  <c r="H404" i="8"/>
  <c r="H405" i="8"/>
  <c r="H406" i="8"/>
  <c r="H407" i="8"/>
  <c r="H408" i="8"/>
  <c r="H409" i="8"/>
  <c r="H410" i="8"/>
  <c r="H411" i="8"/>
  <c r="H412" i="8"/>
  <c r="H413" i="8"/>
  <c r="H414" i="8"/>
  <c r="H415" i="8"/>
  <c r="H416" i="8"/>
  <c r="H417" i="8"/>
  <c r="H418" i="8"/>
  <c r="H419" i="8"/>
  <c r="H420" i="8"/>
  <c r="H421" i="8"/>
  <c r="H422" i="8"/>
  <c r="H423" i="8"/>
  <c r="H424" i="8"/>
  <c r="H425" i="8"/>
  <c r="H426" i="8"/>
  <c r="H427" i="8"/>
  <c r="H428" i="8"/>
  <c r="H429" i="8"/>
  <c r="H430" i="8"/>
  <c r="H431" i="8"/>
  <c r="H432" i="8"/>
  <c r="H433" i="8"/>
  <c r="H434" i="8"/>
  <c r="H435" i="8"/>
  <c r="H436" i="8"/>
  <c r="H437" i="8"/>
  <c r="H438" i="8"/>
  <c r="H439" i="8"/>
  <c r="H440" i="8"/>
  <c r="H441" i="8"/>
  <c r="H442" i="8"/>
  <c r="H443" i="8"/>
  <c r="H444" i="8"/>
  <c r="H445" i="8"/>
  <c r="H446" i="8"/>
  <c r="H447" i="8"/>
  <c r="H448" i="8"/>
  <c r="H449" i="8"/>
  <c r="H450" i="8"/>
  <c r="H451" i="8"/>
  <c r="H452" i="8"/>
  <c r="H453" i="8"/>
  <c r="H454" i="8"/>
  <c r="H455" i="8"/>
  <c r="H456" i="8"/>
  <c r="H457" i="8"/>
  <c r="H458" i="8"/>
  <c r="H459" i="8"/>
  <c r="H460" i="8"/>
  <c r="H461" i="8"/>
  <c r="H462" i="8"/>
  <c r="H463" i="8"/>
  <c r="H464" i="8"/>
  <c r="H465" i="8"/>
  <c r="H466" i="8"/>
  <c r="H467" i="8"/>
  <c r="H468" i="8"/>
  <c r="H469" i="8"/>
  <c r="H470" i="8"/>
  <c r="H471" i="8"/>
  <c r="H472" i="8"/>
  <c r="H473" i="8"/>
  <c r="H474" i="8"/>
  <c r="H475" i="8"/>
  <c r="H476" i="8"/>
  <c r="H477" i="8"/>
  <c r="H478" i="8"/>
  <c r="H479" i="8"/>
  <c r="H480" i="8"/>
  <c r="H481" i="8"/>
  <c r="H482" i="8"/>
  <c r="H483" i="8"/>
  <c r="H484" i="8"/>
  <c r="H485" i="8"/>
  <c r="H486" i="8"/>
  <c r="H487" i="8"/>
  <c r="H488" i="8"/>
  <c r="H489" i="8"/>
  <c r="H490" i="8"/>
  <c r="H491" i="8"/>
  <c r="H492" i="8"/>
  <c r="H493" i="8"/>
  <c r="H494" i="8"/>
  <c r="H495" i="8"/>
  <c r="H496" i="8"/>
  <c r="H497" i="8"/>
  <c r="H498" i="8"/>
  <c r="H499" i="8"/>
  <c r="H500" i="8"/>
  <c r="H501" i="8"/>
  <c r="H502" i="8"/>
  <c r="H503" i="8"/>
  <c r="H504" i="8"/>
  <c r="H505" i="8"/>
  <c r="H506" i="8"/>
  <c r="H507" i="8"/>
  <c r="H508" i="8"/>
  <c r="H509" i="8"/>
  <c r="H510" i="8"/>
  <c r="H511" i="8"/>
  <c r="H512" i="8"/>
  <c r="H513" i="8"/>
  <c r="H514" i="8"/>
  <c r="H515" i="8"/>
  <c r="H516" i="8"/>
  <c r="H517" i="8"/>
  <c r="H518" i="8"/>
  <c r="H519" i="8"/>
  <c r="H520" i="8"/>
  <c r="H521" i="8"/>
  <c r="H522" i="8"/>
  <c r="H523" i="8"/>
  <c r="H524" i="8"/>
  <c r="H525" i="8"/>
  <c r="H526" i="8"/>
  <c r="H527" i="8"/>
  <c r="H528" i="8"/>
  <c r="H529" i="8"/>
  <c r="H530" i="8"/>
  <c r="H531" i="8"/>
  <c r="H532" i="8"/>
  <c r="H533" i="8"/>
  <c r="H534" i="8"/>
  <c r="H535" i="8"/>
  <c r="H536" i="8"/>
  <c r="H537" i="8"/>
  <c r="H538" i="8"/>
  <c r="H539" i="8"/>
  <c r="H540" i="8"/>
  <c r="H541" i="8"/>
  <c r="H542" i="8"/>
  <c r="H543" i="8"/>
  <c r="H544" i="8"/>
  <c r="H545" i="8"/>
  <c r="H546" i="8"/>
  <c r="H547" i="8"/>
  <c r="H548" i="8"/>
  <c r="H549" i="8"/>
  <c r="H550" i="8"/>
  <c r="H551" i="8"/>
  <c r="H552" i="8"/>
  <c r="H553" i="8"/>
  <c r="H554" i="8"/>
  <c r="H555" i="8"/>
  <c r="H556" i="8"/>
  <c r="H557" i="8"/>
  <c r="H558" i="8"/>
  <c r="H559" i="8"/>
  <c r="H560" i="8"/>
  <c r="H561" i="8"/>
  <c r="H562" i="8"/>
  <c r="H563" i="8"/>
  <c r="H564" i="8"/>
  <c r="H565" i="8"/>
  <c r="H566" i="8"/>
  <c r="H567" i="8"/>
  <c r="H568" i="8"/>
  <c r="H569" i="8"/>
  <c r="H570" i="8"/>
  <c r="H571" i="8"/>
  <c r="H572" i="8"/>
  <c r="H573" i="8"/>
  <c r="H574" i="8"/>
  <c r="H575" i="8"/>
  <c r="H576" i="8"/>
  <c r="H577" i="8"/>
  <c r="H578" i="8"/>
  <c r="H579" i="8"/>
  <c r="H580" i="8"/>
  <c r="H581" i="8"/>
  <c r="H582" i="8"/>
  <c r="H583" i="8"/>
  <c r="H584" i="8"/>
  <c r="H585" i="8"/>
  <c r="H586" i="8"/>
  <c r="H587" i="8"/>
  <c r="H588" i="8"/>
  <c r="H589" i="8"/>
  <c r="H590" i="8"/>
  <c r="H591" i="8"/>
  <c r="H592" i="8"/>
  <c r="H593" i="8"/>
  <c r="H594" i="8"/>
  <c r="H595" i="8"/>
  <c r="H596" i="8"/>
  <c r="H597" i="8"/>
  <c r="H598" i="8"/>
  <c r="H599" i="8"/>
  <c r="H600" i="8"/>
  <c r="H601" i="8"/>
  <c r="H602" i="8"/>
  <c r="H603" i="8"/>
  <c r="H604" i="8"/>
  <c r="H605" i="8"/>
  <c r="H606" i="8"/>
  <c r="H607" i="8"/>
  <c r="H608" i="8"/>
  <c r="H609" i="8"/>
  <c r="H610" i="8"/>
  <c r="H611" i="8"/>
  <c r="H612" i="8"/>
  <c r="H613" i="8"/>
  <c r="H614" i="8"/>
  <c r="H615" i="8"/>
  <c r="H616" i="8"/>
  <c r="H617" i="8"/>
  <c r="H618" i="8"/>
  <c r="H619" i="8"/>
  <c r="H620" i="8"/>
  <c r="H621" i="8"/>
  <c r="H622" i="8"/>
  <c r="H623" i="8"/>
  <c r="H624" i="8"/>
  <c r="H625" i="8"/>
  <c r="H626" i="8"/>
  <c r="H627" i="8"/>
  <c r="H628" i="8"/>
  <c r="H629" i="8"/>
  <c r="H630" i="8"/>
  <c r="H631" i="8"/>
  <c r="H632" i="8"/>
  <c r="H633" i="8"/>
  <c r="H634" i="8"/>
  <c r="H635" i="8"/>
  <c r="H636" i="8"/>
  <c r="H637" i="8"/>
  <c r="H638" i="8"/>
  <c r="H639" i="8"/>
  <c r="H640" i="8"/>
  <c r="H641" i="8"/>
  <c r="H642" i="8"/>
  <c r="H643" i="8"/>
  <c r="H644" i="8"/>
  <c r="H645" i="8"/>
  <c r="H646" i="8"/>
  <c r="H647" i="8"/>
  <c r="H648" i="8"/>
  <c r="H649" i="8"/>
  <c r="H650" i="8"/>
  <c r="H651" i="8"/>
  <c r="H652" i="8"/>
  <c r="H653" i="8"/>
  <c r="H654" i="8"/>
  <c r="H655" i="8"/>
  <c r="H656" i="8"/>
  <c r="H657" i="8"/>
  <c r="H658" i="8"/>
  <c r="H659" i="8"/>
  <c r="H660" i="8"/>
  <c r="H661" i="8"/>
  <c r="H662" i="8"/>
  <c r="H663" i="8"/>
  <c r="H664" i="8"/>
  <c r="H665" i="8"/>
  <c r="H666" i="8"/>
  <c r="H667" i="8"/>
  <c r="H668" i="8"/>
  <c r="H669" i="8"/>
  <c r="H670" i="8"/>
  <c r="H671" i="8"/>
  <c r="H672" i="8"/>
  <c r="H673" i="8"/>
  <c r="H674" i="8"/>
  <c r="H675" i="8"/>
  <c r="H676" i="8"/>
  <c r="H677" i="8"/>
  <c r="H678" i="8"/>
  <c r="H679" i="8"/>
  <c r="H680" i="8"/>
  <c r="H681" i="8"/>
  <c r="H682" i="8"/>
  <c r="H683" i="8"/>
  <c r="H684" i="8"/>
  <c r="H685" i="8"/>
  <c r="H686" i="8"/>
  <c r="H687" i="8"/>
  <c r="H688" i="8"/>
  <c r="H689" i="8"/>
  <c r="H690" i="8"/>
  <c r="H691" i="8"/>
  <c r="H692" i="8"/>
  <c r="H693" i="8"/>
  <c r="H694" i="8"/>
  <c r="H695" i="8"/>
  <c r="H696" i="8"/>
  <c r="H697" i="8"/>
  <c r="H698" i="8"/>
  <c r="H699" i="8"/>
  <c r="H700" i="8"/>
  <c r="H701" i="8"/>
  <c r="H702" i="8"/>
  <c r="H703" i="8"/>
  <c r="H704" i="8"/>
  <c r="H705" i="8"/>
  <c r="H706" i="8"/>
  <c r="H707" i="8"/>
  <c r="H708" i="8"/>
  <c r="H709" i="8"/>
  <c r="H710" i="8"/>
  <c r="H711" i="8"/>
  <c r="H712" i="8"/>
  <c r="H713" i="8"/>
  <c r="H714" i="8"/>
  <c r="H715" i="8"/>
  <c r="H716" i="8"/>
  <c r="H717" i="8"/>
  <c r="H718" i="8"/>
  <c r="H719" i="8"/>
  <c r="H720" i="8"/>
  <c r="H721" i="8"/>
  <c r="H722" i="8"/>
  <c r="H723" i="8"/>
  <c r="H724" i="8"/>
  <c r="H725" i="8"/>
  <c r="H726" i="8"/>
  <c r="H727" i="8"/>
  <c r="H728" i="8"/>
  <c r="H729" i="8"/>
  <c r="H730" i="8"/>
  <c r="H731" i="8"/>
  <c r="H732" i="8"/>
  <c r="H733" i="8"/>
  <c r="H734" i="8"/>
  <c r="H735" i="8"/>
  <c r="H736" i="8"/>
  <c r="H737" i="8"/>
  <c r="H738" i="8"/>
  <c r="H739" i="8"/>
  <c r="H740" i="8"/>
  <c r="H741" i="8"/>
  <c r="H742" i="8"/>
  <c r="H743" i="8"/>
  <c r="H744" i="8"/>
  <c r="H745" i="8"/>
  <c r="H746" i="8"/>
  <c r="H747" i="8"/>
  <c r="H748" i="8"/>
  <c r="H749" i="8"/>
  <c r="H750" i="8"/>
  <c r="H751" i="8"/>
  <c r="H752" i="8"/>
  <c r="H753" i="8"/>
  <c r="H754" i="8"/>
  <c r="H755" i="8"/>
  <c r="H756" i="8"/>
  <c r="H757" i="8"/>
  <c r="H758" i="8"/>
  <c r="H759" i="8"/>
  <c r="H760" i="8"/>
  <c r="H761" i="8"/>
  <c r="H762" i="8"/>
  <c r="H763" i="8"/>
  <c r="H764" i="8"/>
  <c r="H765" i="8"/>
  <c r="H766" i="8"/>
  <c r="H767" i="8"/>
  <c r="H768" i="8"/>
  <c r="H769" i="8"/>
  <c r="H770" i="8"/>
  <c r="H771" i="8"/>
  <c r="H772" i="8"/>
  <c r="H773" i="8"/>
  <c r="H774" i="8"/>
  <c r="H775" i="8"/>
  <c r="H776" i="8"/>
  <c r="H777" i="8"/>
  <c r="H778" i="8"/>
  <c r="H779" i="8"/>
  <c r="H780" i="8"/>
  <c r="H781" i="8"/>
  <c r="H782" i="8"/>
  <c r="H783" i="8"/>
  <c r="H784" i="8"/>
  <c r="H785" i="8"/>
  <c r="H786" i="8"/>
  <c r="H787" i="8"/>
  <c r="H788" i="8"/>
  <c r="H789" i="8"/>
  <c r="H790" i="8"/>
  <c r="H791" i="8"/>
  <c r="H792" i="8"/>
  <c r="H793" i="8"/>
  <c r="H794" i="8"/>
  <c r="H795" i="8"/>
  <c r="H796" i="8"/>
  <c r="H797" i="8"/>
  <c r="H798" i="8"/>
  <c r="H799" i="8"/>
  <c r="H800" i="8"/>
  <c r="H801" i="8"/>
  <c r="H802" i="8"/>
  <c r="H803" i="8"/>
  <c r="H804" i="8"/>
  <c r="H805" i="8"/>
  <c r="H806" i="8"/>
  <c r="H807" i="8"/>
  <c r="H808" i="8"/>
  <c r="H809" i="8"/>
  <c r="H810" i="8"/>
  <c r="H811" i="8"/>
  <c r="H812" i="8"/>
  <c r="H813" i="8"/>
  <c r="H814" i="8"/>
  <c r="H815" i="8"/>
  <c r="H816" i="8"/>
  <c r="H817" i="8"/>
  <c r="H818" i="8"/>
  <c r="H819" i="8"/>
  <c r="H820" i="8"/>
  <c r="H821" i="8"/>
  <c r="H822" i="8"/>
  <c r="H823" i="8"/>
  <c r="H824" i="8"/>
  <c r="H825" i="8"/>
  <c r="H826" i="8"/>
  <c r="H827" i="8"/>
  <c r="H828" i="8"/>
  <c r="H829" i="8"/>
  <c r="H830" i="8"/>
  <c r="H831" i="8"/>
  <c r="H832" i="8"/>
  <c r="H833" i="8"/>
  <c r="H834" i="8"/>
  <c r="H835" i="8"/>
  <c r="H836" i="8"/>
  <c r="H837" i="8"/>
  <c r="H838" i="8"/>
  <c r="H839" i="8"/>
  <c r="H840" i="8"/>
  <c r="H841" i="8"/>
  <c r="H842" i="8"/>
  <c r="H843" i="8"/>
  <c r="H844" i="8"/>
  <c r="H845" i="8"/>
  <c r="H846" i="8"/>
  <c r="H847" i="8"/>
  <c r="H848" i="8"/>
  <c r="H849" i="8"/>
  <c r="H850" i="8"/>
  <c r="H851" i="8"/>
  <c r="H852" i="8"/>
  <c r="H853" i="8"/>
  <c r="H854" i="8"/>
  <c r="H855" i="8"/>
  <c r="H856" i="8"/>
  <c r="H857" i="8"/>
  <c r="H858" i="8"/>
  <c r="H859" i="8"/>
  <c r="H860" i="8"/>
  <c r="H861" i="8"/>
  <c r="H862" i="8"/>
  <c r="H863" i="8"/>
  <c r="H864" i="8"/>
  <c r="H865" i="8"/>
  <c r="H866" i="8"/>
  <c r="H867" i="8"/>
  <c r="H868" i="8"/>
  <c r="H869" i="8"/>
  <c r="H870" i="8"/>
  <c r="H871" i="8"/>
  <c r="H872" i="8"/>
  <c r="H873" i="8"/>
  <c r="H874" i="8"/>
  <c r="H875" i="8"/>
  <c r="H876" i="8"/>
  <c r="H877" i="8"/>
  <c r="H878" i="8"/>
  <c r="H879" i="8"/>
  <c r="H880" i="8"/>
  <c r="H881" i="8"/>
  <c r="H882" i="8"/>
  <c r="H883" i="8"/>
  <c r="H884" i="8"/>
  <c r="H885" i="8"/>
  <c r="H886" i="8"/>
  <c r="H887" i="8"/>
  <c r="H888" i="8"/>
  <c r="H889" i="8"/>
  <c r="H890" i="8"/>
  <c r="H891" i="8"/>
  <c r="H892" i="8"/>
  <c r="H893" i="8"/>
  <c r="H894" i="8"/>
  <c r="H895" i="8"/>
  <c r="H896" i="8"/>
  <c r="H897" i="8"/>
  <c r="H898" i="8"/>
  <c r="H899" i="8"/>
  <c r="H900" i="8"/>
  <c r="H901" i="8"/>
  <c r="H902" i="8"/>
  <c r="H903" i="8"/>
  <c r="H904" i="8"/>
  <c r="H905" i="8"/>
  <c r="H906" i="8"/>
  <c r="H907" i="8"/>
  <c r="H908" i="8"/>
  <c r="H909" i="8"/>
  <c r="H910" i="8"/>
  <c r="H911" i="8"/>
  <c r="H912" i="8"/>
  <c r="H913" i="8"/>
  <c r="H914" i="8"/>
  <c r="H915" i="8"/>
  <c r="H916" i="8"/>
  <c r="H917" i="8"/>
  <c r="H918" i="8"/>
  <c r="H919" i="8"/>
  <c r="H920" i="8"/>
  <c r="H921" i="8"/>
  <c r="H922" i="8"/>
  <c r="H923" i="8"/>
  <c r="H924" i="8"/>
  <c r="H925" i="8"/>
  <c r="H926" i="8"/>
  <c r="H927" i="8"/>
  <c r="H928" i="8"/>
  <c r="H929" i="8"/>
  <c r="H930" i="8"/>
  <c r="H931" i="8"/>
  <c r="H932" i="8"/>
  <c r="H933" i="8"/>
  <c r="H934" i="8"/>
  <c r="H935" i="8"/>
  <c r="H936" i="8"/>
  <c r="H937" i="8"/>
  <c r="H938" i="8"/>
  <c r="H939" i="8"/>
  <c r="H940" i="8"/>
  <c r="H941" i="8"/>
  <c r="H942" i="8"/>
  <c r="H943" i="8"/>
  <c r="H944" i="8"/>
  <c r="H945" i="8"/>
  <c r="H946" i="8"/>
  <c r="H947" i="8"/>
  <c r="H948" i="8"/>
  <c r="H949" i="8"/>
  <c r="H950" i="8"/>
  <c r="H951" i="8"/>
  <c r="H952" i="8"/>
  <c r="H953" i="8"/>
  <c r="H954" i="8"/>
  <c r="H955" i="8"/>
  <c r="H956" i="8"/>
  <c r="H957" i="8"/>
  <c r="H958" i="8"/>
  <c r="H959" i="8"/>
  <c r="H960" i="8"/>
  <c r="H961" i="8"/>
  <c r="H962" i="8"/>
  <c r="H963" i="8"/>
  <c r="H964" i="8"/>
  <c r="H965" i="8"/>
  <c r="H966" i="8"/>
  <c r="H967" i="8"/>
  <c r="H968" i="8"/>
  <c r="H969" i="8"/>
  <c r="H970" i="8"/>
  <c r="H971" i="8"/>
  <c r="H972" i="8"/>
  <c r="H973" i="8"/>
  <c r="H974" i="8"/>
  <c r="H975" i="8"/>
  <c r="H976" i="8"/>
  <c r="H977" i="8"/>
  <c r="H978" i="8"/>
  <c r="H979" i="8"/>
  <c r="H980" i="8"/>
  <c r="H981" i="8"/>
  <c r="H982" i="8"/>
  <c r="H983" i="8"/>
  <c r="H984" i="8"/>
  <c r="H985" i="8"/>
  <c r="H986" i="8"/>
  <c r="H987" i="8"/>
  <c r="H988" i="8"/>
  <c r="H989" i="8"/>
  <c r="H990" i="8"/>
  <c r="H991" i="8"/>
  <c r="H992" i="8"/>
  <c r="H993" i="8"/>
  <c r="H994" i="8"/>
  <c r="H995" i="8"/>
  <c r="H996" i="8"/>
  <c r="H997" i="8"/>
  <c r="H998" i="8"/>
  <c r="H999" i="8"/>
  <c r="H1000" i="8"/>
  <c r="H1001" i="8"/>
  <c r="H1002" i="8"/>
  <c r="H1003" i="8"/>
  <c r="H1004" i="8"/>
  <c r="H1005" i="8"/>
  <c r="H1006" i="8"/>
  <c r="H1007" i="8"/>
  <c r="H1008" i="8"/>
  <c r="H1009" i="8"/>
  <c r="H1010" i="8"/>
  <c r="H1011" i="8"/>
  <c r="H1012" i="8"/>
  <c r="H1013" i="8"/>
  <c r="H1014" i="8"/>
  <c r="H1015" i="8"/>
  <c r="H1016" i="8"/>
  <c r="H1017" i="8"/>
  <c r="H1018" i="8"/>
  <c r="H1019" i="8"/>
  <c r="H1020" i="8"/>
  <c r="H1021" i="8"/>
  <c r="H1022" i="8"/>
  <c r="H1023" i="8"/>
  <c r="H1024" i="8"/>
  <c r="H1025" i="8"/>
  <c r="H1026" i="8"/>
  <c r="H1027" i="8"/>
  <c r="H1028" i="8"/>
  <c r="H1029" i="8"/>
  <c r="H1030" i="8"/>
  <c r="H1031" i="8"/>
  <c r="H1032" i="8"/>
  <c r="H1033" i="8"/>
  <c r="H1034" i="8"/>
  <c r="H1035" i="8"/>
  <c r="H1036" i="8"/>
  <c r="H1037" i="8"/>
  <c r="H1038" i="8"/>
  <c r="H1039" i="8"/>
  <c r="H1040" i="8"/>
  <c r="H1041" i="8"/>
  <c r="H1042" i="8"/>
  <c r="H1043" i="8"/>
  <c r="H1044" i="8"/>
  <c r="H1045" i="8"/>
  <c r="H1046" i="8"/>
  <c r="H1047" i="8"/>
  <c r="H1048" i="8"/>
  <c r="H1049" i="8"/>
  <c r="H1050" i="8"/>
  <c r="H1051" i="8"/>
  <c r="H1052" i="8"/>
  <c r="H1053" i="8"/>
  <c r="H1054" i="8"/>
  <c r="H1055" i="8"/>
  <c r="H1056" i="8"/>
  <c r="H1057" i="8"/>
  <c r="H1058" i="8"/>
  <c r="H1059" i="8"/>
  <c r="H1060" i="8"/>
  <c r="H1061" i="8"/>
  <c r="H1062" i="8"/>
  <c r="H1063" i="8"/>
  <c r="H1064" i="8"/>
  <c r="H1065" i="8"/>
  <c r="H1066" i="8"/>
  <c r="H1067" i="8"/>
  <c r="H1068" i="8"/>
  <c r="H1069" i="8"/>
  <c r="H1070" i="8"/>
  <c r="H1071" i="8"/>
  <c r="H1072" i="8"/>
  <c r="H1073" i="8"/>
  <c r="H1074" i="8"/>
  <c r="H1075" i="8"/>
  <c r="H1076" i="8"/>
  <c r="H1077" i="8"/>
  <c r="H1078" i="8"/>
  <c r="H1079" i="8"/>
  <c r="H1080" i="8"/>
  <c r="H1081" i="8"/>
  <c r="H1082" i="8"/>
  <c r="H1083" i="8"/>
  <c r="H1084" i="8"/>
  <c r="H1085" i="8"/>
  <c r="H1086" i="8"/>
  <c r="H1087" i="8"/>
  <c r="H1088" i="8"/>
  <c r="H1089" i="8"/>
  <c r="H1090" i="8"/>
  <c r="H1091" i="8"/>
  <c r="H1092" i="8"/>
  <c r="H1093" i="8"/>
  <c r="H1094" i="8"/>
  <c r="H1095" i="8"/>
  <c r="H1096" i="8"/>
  <c r="H1097" i="8"/>
  <c r="H1098" i="8"/>
  <c r="H1099" i="8"/>
  <c r="H1100" i="8"/>
  <c r="H1101" i="8"/>
  <c r="H1102" i="8"/>
  <c r="H1103" i="8"/>
  <c r="H1104" i="8"/>
  <c r="H1105" i="8"/>
  <c r="H1106" i="8"/>
  <c r="H1107" i="8"/>
  <c r="H1108" i="8"/>
  <c r="H1109" i="8"/>
  <c r="H1110" i="8"/>
  <c r="H1111" i="8"/>
  <c r="H1112" i="8"/>
  <c r="H1113" i="8"/>
  <c r="H1114" i="8"/>
  <c r="H1115" i="8"/>
  <c r="H1116" i="8"/>
  <c r="H1117" i="8"/>
  <c r="H1118" i="8"/>
  <c r="H1119" i="8"/>
  <c r="H1120" i="8"/>
  <c r="H1121" i="8"/>
  <c r="H1122" i="8"/>
  <c r="H1123" i="8"/>
  <c r="H1124" i="8"/>
  <c r="H1125" i="8"/>
  <c r="H1126" i="8"/>
  <c r="H1127" i="8"/>
  <c r="H1128" i="8"/>
  <c r="H1129" i="8"/>
  <c r="H1130" i="8"/>
  <c r="H1131" i="8"/>
  <c r="H1132" i="8"/>
  <c r="H1133" i="8"/>
  <c r="H1134" i="8"/>
  <c r="H1135" i="8"/>
  <c r="H1136" i="8"/>
  <c r="H1137" i="8"/>
  <c r="H1138" i="8"/>
  <c r="H1139" i="8"/>
  <c r="H1140" i="8"/>
  <c r="H1141" i="8"/>
  <c r="H1142" i="8"/>
  <c r="H1143" i="8"/>
  <c r="H1144" i="8"/>
  <c r="H1145" i="8"/>
  <c r="H1146" i="8"/>
  <c r="H1147" i="8"/>
  <c r="H1148" i="8"/>
  <c r="H1149" i="8"/>
  <c r="H1150" i="8"/>
  <c r="H1151" i="8"/>
  <c r="H1152" i="8"/>
  <c r="H1153" i="8"/>
  <c r="H1154" i="8"/>
  <c r="H1155" i="8"/>
  <c r="H1156" i="8"/>
  <c r="H1157" i="8"/>
  <c r="H1158" i="8"/>
  <c r="H1159" i="8"/>
  <c r="H1160" i="8"/>
  <c r="H1161" i="8"/>
  <c r="H1162" i="8"/>
  <c r="H1163" i="8"/>
  <c r="H1164" i="8"/>
  <c r="H1165" i="8"/>
  <c r="H1166" i="8"/>
  <c r="H1167" i="8"/>
  <c r="H1168" i="8"/>
  <c r="H1169" i="8"/>
  <c r="H1170" i="8"/>
  <c r="H1171" i="8"/>
  <c r="H1172" i="8"/>
  <c r="H1173" i="8"/>
  <c r="H1174" i="8"/>
  <c r="H1175" i="8"/>
  <c r="H1176" i="8"/>
  <c r="H1177" i="8"/>
  <c r="H1178" i="8"/>
  <c r="H1179" i="8"/>
  <c r="H1180" i="8"/>
  <c r="H1181" i="8"/>
  <c r="H1182" i="8"/>
  <c r="H1183" i="8"/>
  <c r="H1184" i="8"/>
  <c r="H1185" i="8"/>
  <c r="H1186" i="8"/>
  <c r="H1187" i="8"/>
  <c r="H1188" i="8"/>
  <c r="H1189" i="8"/>
  <c r="H1190" i="8"/>
  <c r="H1191" i="8"/>
  <c r="H1192" i="8"/>
  <c r="H1193" i="8"/>
  <c r="H1194" i="8"/>
  <c r="H1195" i="8"/>
  <c r="H1196" i="8"/>
  <c r="H1197" i="8"/>
  <c r="H1198" i="8"/>
  <c r="H1199" i="8"/>
  <c r="H1200" i="8"/>
  <c r="H1201" i="8"/>
  <c r="H1202" i="8"/>
  <c r="H1203" i="8"/>
  <c r="H1204" i="8"/>
  <c r="H1205" i="8"/>
  <c r="H1206" i="8"/>
  <c r="H1207" i="8"/>
  <c r="H1208" i="8"/>
  <c r="H1209" i="8"/>
  <c r="H1210" i="8"/>
  <c r="H1211" i="8"/>
  <c r="H1212" i="8"/>
  <c r="H1213" i="8"/>
  <c r="H1214" i="8"/>
  <c r="H1215" i="8"/>
  <c r="H1216" i="8"/>
  <c r="H1217" i="8"/>
  <c r="H1218" i="8"/>
  <c r="H1219" i="8"/>
  <c r="H1220" i="8"/>
  <c r="H1221" i="8"/>
  <c r="H1222" i="8"/>
  <c r="H1223" i="8"/>
  <c r="H1224" i="8"/>
  <c r="H1225" i="8"/>
  <c r="H1226" i="8"/>
  <c r="H1227" i="8"/>
  <c r="H1228" i="8"/>
  <c r="H1229" i="8"/>
  <c r="H1230" i="8"/>
  <c r="H1231" i="8"/>
  <c r="H1232" i="8"/>
  <c r="H1233" i="8"/>
  <c r="H1234" i="8"/>
  <c r="H1235" i="8"/>
  <c r="H1236" i="8"/>
  <c r="H1237" i="8"/>
  <c r="H1238" i="8"/>
  <c r="H1239" i="8"/>
  <c r="H1240" i="8"/>
  <c r="H1241" i="8"/>
  <c r="H1242" i="8"/>
  <c r="H1243" i="8"/>
  <c r="H1244" i="8"/>
  <c r="H1245" i="8"/>
  <c r="H1246" i="8"/>
  <c r="H1247" i="8"/>
  <c r="H1248" i="8"/>
  <c r="H1249" i="8"/>
  <c r="H1250" i="8"/>
  <c r="H1251" i="8"/>
  <c r="H1252" i="8"/>
  <c r="H1253" i="8"/>
  <c r="H1254" i="8"/>
  <c r="H1255" i="8"/>
  <c r="H1256" i="8"/>
  <c r="H1257" i="8"/>
  <c r="H1258" i="8"/>
  <c r="H1259" i="8"/>
  <c r="H1260" i="8"/>
  <c r="H1261" i="8"/>
  <c r="H1262" i="8"/>
  <c r="H1263" i="8"/>
  <c r="H1264" i="8"/>
  <c r="H1265" i="8"/>
  <c r="H1266" i="8"/>
  <c r="H1267" i="8"/>
  <c r="H1268" i="8"/>
  <c r="H1269" i="8"/>
  <c r="H1270" i="8"/>
  <c r="H1271" i="8"/>
  <c r="H1272" i="8"/>
  <c r="H1273" i="8"/>
  <c r="H1274" i="8"/>
  <c r="H1275" i="8"/>
  <c r="H1276" i="8"/>
  <c r="H1277" i="8"/>
  <c r="H1278" i="8"/>
  <c r="H1279" i="8"/>
  <c r="H1280" i="8"/>
  <c r="H1281" i="8"/>
  <c r="H1282" i="8"/>
  <c r="H1283" i="8"/>
  <c r="H1284" i="8"/>
  <c r="H1285" i="8"/>
  <c r="H1286" i="8"/>
  <c r="H1287" i="8"/>
  <c r="H1288" i="8"/>
  <c r="H1289" i="8"/>
  <c r="H1290" i="8"/>
  <c r="H1291" i="8"/>
  <c r="H1292" i="8"/>
  <c r="H1293" i="8"/>
  <c r="H1294" i="8"/>
  <c r="H1295" i="8"/>
  <c r="H1296" i="8"/>
  <c r="H1297" i="8"/>
  <c r="H1298" i="8"/>
  <c r="H1299" i="8"/>
  <c r="H1300" i="8"/>
  <c r="H1301" i="8"/>
  <c r="H1302" i="8"/>
  <c r="H1303" i="8"/>
  <c r="H1304" i="8"/>
  <c r="H1305" i="8"/>
  <c r="H1306" i="8"/>
  <c r="H1307" i="8"/>
  <c r="H1308" i="8"/>
  <c r="H1309" i="8"/>
  <c r="H1310" i="8"/>
  <c r="H1311" i="8"/>
  <c r="H1312" i="8"/>
  <c r="H1313" i="8"/>
  <c r="H1314" i="8"/>
  <c r="H1315" i="8"/>
  <c r="H1316" i="8"/>
  <c r="H1317" i="8"/>
  <c r="H1318" i="8"/>
  <c r="H1319" i="8"/>
  <c r="H1320" i="8"/>
  <c r="H1321" i="8"/>
  <c r="H1322" i="8"/>
  <c r="H1323" i="8"/>
  <c r="H1324" i="8"/>
  <c r="H1325" i="8"/>
  <c r="H1326" i="8"/>
  <c r="H1327" i="8"/>
  <c r="H1328" i="8"/>
  <c r="H1329" i="8"/>
  <c r="H1330" i="8"/>
  <c r="H1331" i="8"/>
  <c r="H1332" i="8"/>
  <c r="H1333" i="8"/>
  <c r="H1334" i="8"/>
  <c r="H1335" i="8"/>
  <c r="H1336" i="8"/>
  <c r="H1337" i="8"/>
  <c r="H1338" i="8"/>
  <c r="H1339" i="8"/>
  <c r="H1340" i="8"/>
  <c r="H1341" i="8"/>
  <c r="H1342" i="8"/>
  <c r="H1343" i="8"/>
  <c r="H1344" i="8"/>
  <c r="H1345" i="8"/>
  <c r="H1346" i="8"/>
  <c r="H1347" i="8"/>
  <c r="H1348" i="8"/>
  <c r="H1349" i="8"/>
  <c r="H1350" i="8"/>
  <c r="H1351" i="8"/>
  <c r="H1352" i="8"/>
  <c r="H1353" i="8"/>
  <c r="H1354" i="8"/>
  <c r="H1355" i="8"/>
  <c r="H1356" i="8"/>
  <c r="H1357" i="8"/>
  <c r="H1358" i="8"/>
  <c r="H1359" i="8"/>
  <c r="H1360" i="8"/>
  <c r="H1361" i="8"/>
  <c r="H1362" i="8"/>
  <c r="H1363" i="8"/>
  <c r="H1364" i="8"/>
  <c r="H1365" i="8"/>
  <c r="H1366" i="8"/>
  <c r="H1367" i="8"/>
  <c r="H1368" i="8"/>
  <c r="H1369" i="8"/>
  <c r="H1370" i="8"/>
  <c r="H1371" i="8"/>
  <c r="H1372" i="8"/>
  <c r="H1373" i="8"/>
  <c r="H1374" i="8"/>
  <c r="H1375" i="8"/>
  <c r="H1376" i="8"/>
  <c r="H1377" i="8"/>
  <c r="H1378" i="8"/>
  <c r="H1379" i="8"/>
  <c r="H1380" i="8"/>
  <c r="H1381" i="8"/>
  <c r="H1382" i="8"/>
  <c r="H1383" i="8"/>
  <c r="H1384" i="8"/>
  <c r="H1385" i="8"/>
  <c r="H1386" i="8"/>
  <c r="H1387" i="8"/>
  <c r="H1388" i="8"/>
  <c r="H1389" i="8"/>
  <c r="H1390" i="8"/>
  <c r="H1391" i="8"/>
  <c r="H1392" i="8"/>
  <c r="H1393" i="8"/>
  <c r="H1394" i="8"/>
  <c r="H1395" i="8"/>
  <c r="H1396" i="8"/>
  <c r="H1397" i="8"/>
  <c r="H1398" i="8"/>
  <c r="H1399" i="8"/>
  <c r="H1400" i="8"/>
  <c r="H1401" i="8"/>
  <c r="H1402" i="8"/>
  <c r="H1403" i="8"/>
  <c r="H1404" i="8"/>
  <c r="H1405" i="8"/>
  <c r="H1406" i="8"/>
  <c r="H1407" i="8"/>
  <c r="H1408" i="8"/>
  <c r="H1409" i="8"/>
  <c r="H1410" i="8"/>
  <c r="H1411" i="8"/>
  <c r="H1412" i="8"/>
  <c r="H1413" i="8"/>
  <c r="H1414" i="8"/>
  <c r="H1415" i="8"/>
  <c r="H1416" i="8"/>
  <c r="H1417" i="8"/>
  <c r="H1418" i="8"/>
  <c r="H1419" i="8"/>
  <c r="H1420" i="8"/>
  <c r="H1421" i="8"/>
  <c r="H1422" i="8"/>
  <c r="H1423" i="8"/>
  <c r="H1424" i="8"/>
  <c r="H1425" i="8"/>
  <c r="H1426" i="8"/>
  <c r="H1427" i="8"/>
  <c r="H1428" i="8"/>
  <c r="H1429" i="8"/>
  <c r="H1430" i="8"/>
  <c r="H1431" i="8"/>
  <c r="H1432" i="8"/>
  <c r="H1433" i="8"/>
  <c r="H1434" i="8"/>
  <c r="H1435" i="8"/>
  <c r="H1436" i="8"/>
  <c r="H1437" i="8"/>
  <c r="H1438" i="8"/>
  <c r="H1439" i="8"/>
  <c r="H1440" i="8"/>
  <c r="H1441" i="8"/>
  <c r="H1442" i="8"/>
  <c r="H1443" i="8"/>
  <c r="H1444" i="8"/>
  <c r="H1445" i="8"/>
  <c r="H1446" i="8"/>
  <c r="H1447" i="8"/>
  <c r="H1448" i="8"/>
  <c r="H1449" i="8"/>
  <c r="H1450" i="8"/>
  <c r="H1451" i="8"/>
  <c r="H1452" i="8"/>
  <c r="H1453" i="8"/>
  <c r="H1454" i="8"/>
  <c r="H1455" i="8"/>
  <c r="H1456" i="8"/>
  <c r="H1457" i="8"/>
  <c r="H1458" i="8"/>
  <c r="H1459" i="8"/>
  <c r="H1460" i="8"/>
  <c r="H1461" i="8"/>
  <c r="H1462" i="8"/>
  <c r="H1463" i="8"/>
  <c r="H1464" i="8"/>
  <c r="H1465" i="8"/>
  <c r="H1466" i="8"/>
  <c r="H1467" i="8"/>
  <c r="H1468" i="8"/>
  <c r="H1469" i="8"/>
  <c r="H1470" i="8"/>
  <c r="H1471" i="8"/>
  <c r="H1472" i="8"/>
  <c r="H1473" i="8"/>
  <c r="H1474" i="8"/>
  <c r="H1475" i="8"/>
  <c r="H1476" i="8"/>
  <c r="H1477" i="8"/>
  <c r="H1478" i="8"/>
  <c r="H1479" i="8"/>
  <c r="H1480" i="8"/>
  <c r="H1481" i="8"/>
  <c r="H1482" i="8"/>
  <c r="H1483" i="8"/>
  <c r="H1484" i="8"/>
  <c r="H1485" i="8"/>
  <c r="H1486" i="8"/>
  <c r="H1487" i="8"/>
  <c r="H1488" i="8"/>
  <c r="H1489" i="8"/>
  <c r="H1490" i="8"/>
  <c r="H1491" i="8"/>
  <c r="H1492" i="8"/>
  <c r="H1493" i="8"/>
  <c r="H1494" i="8"/>
  <c r="H1495" i="8"/>
  <c r="H1496" i="8"/>
  <c r="H1497" i="8"/>
  <c r="H1498" i="8"/>
  <c r="H1499" i="8"/>
  <c r="H1500" i="8"/>
  <c r="H1501" i="8"/>
  <c r="H1502" i="8"/>
  <c r="H1503" i="8"/>
  <c r="H1504" i="8"/>
  <c r="H1505" i="8"/>
  <c r="H1506" i="8"/>
  <c r="H1507" i="8"/>
  <c r="H1508" i="8"/>
  <c r="H1509" i="8"/>
  <c r="H1510" i="8"/>
  <c r="H1511" i="8"/>
  <c r="H1512" i="8"/>
  <c r="H1513" i="8"/>
  <c r="H1514" i="8"/>
  <c r="H1515" i="8"/>
  <c r="H1516" i="8"/>
  <c r="H1517" i="8"/>
  <c r="H1518" i="8"/>
  <c r="H1519" i="8"/>
  <c r="H1520" i="8"/>
  <c r="H1521" i="8"/>
  <c r="H1522" i="8"/>
  <c r="H1523" i="8"/>
  <c r="H1524" i="8"/>
  <c r="H1525" i="8"/>
  <c r="H1526" i="8"/>
  <c r="H1527" i="8"/>
  <c r="H1528" i="8"/>
  <c r="H1529" i="8"/>
  <c r="H1530" i="8"/>
  <c r="H1531" i="8"/>
  <c r="H1532" i="8"/>
  <c r="H1533" i="8"/>
  <c r="H1534" i="8"/>
  <c r="H1535" i="8"/>
  <c r="H1536" i="8"/>
  <c r="H1537" i="8"/>
  <c r="H1538" i="8"/>
  <c r="H1539" i="8"/>
  <c r="H1540" i="8"/>
  <c r="H1541" i="8"/>
  <c r="H1542" i="8"/>
  <c r="H1543" i="8"/>
  <c r="H1544" i="8"/>
  <c r="H1545" i="8"/>
  <c r="H1546" i="8"/>
  <c r="H1547" i="8"/>
  <c r="H1548" i="8"/>
  <c r="H1549" i="8"/>
  <c r="H1550" i="8"/>
  <c r="H1551" i="8"/>
  <c r="H1552" i="8"/>
  <c r="H1553" i="8"/>
  <c r="H1554" i="8"/>
  <c r="H1555" i="8"/>
  <c r="H1556" i="8"/>
  <c r="H1557" i="8"/>
  <c r="H1558" i="8"/>
  <c r="H1559" i="8"/>
  <c r="H1560" i="8"/>
  <c r="E2"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E639" i="8"/>
  <c r="E640" i="8"/>
  <c r="E641" i="8"/>
  <c r="E642" i="8"/>
  <c r="E643" i="8"/>
  <c r="E644" i="8"/>
  <c r="E645" i="8"/>
  <c r="E646" i="8"/>
  <c r="E647" i="8"/>
  <c r="E648" i="8"/>
  <c r="E649" i="8"/>
  <c r="E650" i="8"/>
  <c r="E651" i="8"/>
  <c r="E652" i="8"/>
  <c r="E653" i="8"/>
  <c r="E654" i="8"/>
  <c r="E655" i="8"/>
  <c r="E656" i="8"/>
  <c r="E657" i="8"/>
  <c r="E658" i="8"/>
  <c r="E659" i="8"/>
  <c r="E660" i="8"/>
  <c r="E661" i="8"/>
  <c r="E662" i="8"/>
  <c r="E663" i="8"/>
  <c r="E664" i="8"/>
  <c r="E665" i="8"/>
  <c r="E666" i="8"/>
  <c r="E667" i="8"/>
  <c r="E668" i="8"/>
  <c r="E669" i="8"/>
  <c r="E670" i="8"/>
  <c r="E671" i="8"/>
  <c r="E672" i="8"/>
  <c r="E673" i="8"/>
  <c r="E674" i="8"/>
  <c r="E675" i="8"/>
  <c r="E676" i="8"/>
  <c r="E677" i="8"/>
  <c r="E678" i="8"/>
  <c r="E679" i="8"/>
  <c r="E680" i="8"/>
  <c r="E681" i="8"/>
  <c r="E682" i="8"/>
  <c r="E683" i="8"/>
  <c r="E684" i="8"/>
  <c r="E685" i="8"/>
  <c r="E686" i="8"/>
  <c r="E687" i="8"/>
  <c r="E688" i="8"/>
  <c r="E689" i="8"/>
  <c r="E690" i="8"/>
  <c r="E691" i="8"/>
  <c r="E692" i="8"/>
  <c r="E693" i="8"/>
  <c r="E694" i="8"/>
  <c r="E695" i="8"/>
  <c r="E696" i="8"/>
  <c r="E697" i="8"/>
  <c r="E698" i="8"/>
  <c r="E699" i="8"/>
  <c r="E700" i="8"/>
  <c r="E701" i="8"/>
  <c r="E702" i="8"/>
  <c r="E703" i="8"/>
  <c r="E704" i="8"/>
  <c r="E705" i="8"/>
  <c r="E706" i="8"/>
  <c r="E707" i="8"/>
  <c r="E708" i="8"/>
  <c r="E709" i="8"/>
  <c r="E710" i="8"/>
  <c r="E711" i="8"/>
  <c r="E712" i="8"/>
  <c r="E713" i="8"/>
  <c r="E714" i="8"/>
  <c r="E715" i="8"/>
  <c r="E716" i="8"/>
  <c r="E717" i="8"/>
  <c r="E718" i="8"/>
  <c r="E719" i="8"/>
  <c r="E720" i="8"/>
  <c r="E721" i="8"/>
  <c r="E722" i="8"/>
  <c r="E723" i="8"/>
  <c r="E724" i="8"/>
  <c r="E725" i="8"/>
  <c r="E726" i="8"/>
  <c r="E727" i="8"/>
  <c r="E728" i="8"/>
  <c r="E729" i="8"/>
  <c r="E730" i="8"/>
  <c r="E731" i="8"/>
  <c r="E732" i="8"/>
  <c r="E733" i="8"/>
  <c r="E734" i="8"/>
  <c r="E735" i="8"/>
  <c r="E736" i="8"/>
  <c r="E737" i="8"/>
  <c r="E738" i="8"/>
  <c r="E739" i="8"/>
  <c r="E740" i="8"/>
  <c r="E741" i="8"/>
  <c r="E742" i="8"/>
  <c r="E743" i="8"/>
  <c r="E744" i="8"/>
  <c r="E745" i="8"/>
  <c r="E746" i="8"/>
  <c r="E747" i="8"/>
  <c r="E748" i="8"/>
  <c r="E749" i="8"/>
  <c r="E750" i="8"/>
  <c r="E751" i="8"/>
  <c r="E752" i="8"/>
  <c r="E753" i="8"/>
  <c r="E754" i="8"/>
  <c r="E755" i="8"/>
  <c r="E756" i="8"/>
  <c r="E757" i="8"/>
  <c r="E758" i="8"/>
  <c r="E759" i="8"/>
  <c r="E760" i="8"/>
  <c r="E761" i="8"/>
  <c r="E762" i="8"/>
  <c r="E763" i="8"/>
  <c r="E764" i="8"/>
  <c r="E765" i="8"/>
  <c r="E766" i="8"/>
  <c r="E767" i="8"/>
  <c r="E768" i="8"/>
  <c r="E769" i="8"/>
  <c r="E770" i="8"/>
  <c r="E771" i="8"/>
  <c r="E772" i="8"/>
  <c r="E773" i="8"/>
  <c r="E774" i="8"/>
  <c r="E775" i="8"/>
  <c r="E776" i="8"/>
  <c r="E777" i="8"/>
  <c r="E778" i="8"/>
  <c r="E779" i="8"/>
  <c r="E780" i="8"/>
  <c r="E781" i="8"/>
  <c r="E782" i="8"/>
  <c r="E783" i="8"/>
  <c r="E784" i="8"/>
  <c r="E785" i="8"/>
  <c r="E786" i="8"/>
  <c r="E787" i="8"/>
  <c r="E788" i="8"/>
  <c r="E789" i="8"/>
  <c r="E790" i="8"/>
  <c r="E791" i="8"/>
  <c r="E792" i="8"/>
  <c r="E793" i="8"/>
  <c r="E794" i="8"/>
  <c r="E795" i="8"/>
  <c r="E796" i="8"/>
  <c r="E797" i="8"/>
  <c r="E798" i="8"/>
  <c r="E799" i="8"/>
  <c r="E800" i="8"/>
  <c r="E801" i="8"/>
  <c r="E802" i="8"/>
  <c r="E803" i="8"/>
  <c r="E804" i="8"/>
  <c r="E805" i="8"/>
  <c r="E806" i="8"/>
  <c r="E807" i="8"/>
  <c r="E808" i="8"/>
  <c r="E809" i="8"/>
  <c r="E810" i="8"/>
  <c r="E811" i="8"/>
  <c r="E812" i="8"/>
  <c r="E813" i="8"/>
  <c r="E814" i="8"/>
  <c r="E815" i="8"/>
  <c r="E816" i="8"/>
  <c r="E817" i="8"/>
  <c r="E818" i="8"/>
  <c r="E819" i="8"/>
  <c r="E820" i="8"/>
  <c r="E821" i="8"/>
  <c r="E822" i="8"/>
  <c r="E823" i="8"/>
  <c r="E824" i="8"/>
  <c r="E825" i="8"/>
  <c r="E826" i="8"/>
  <c r="E827" i="8"/>
  <c r="E828" i="8"/>
  <c r="E829" i="8"/>
  <c r="E830" i="8"/>
  <c r="E831" i="8"/>
  <c r="E832" i="8"/>
  <c r="E833" i="8"/>
  <c r="E834" i="8"/>
  <c r="E835" i="8"/>
  <c r="E836" i="8"/>
  <c r="E837" i="8"/>
  <c r="E838" i="8"/>
  <c r="E839" i="8"/>
  <c r="E840" i="8"/>
  <c r="E841" i="8"/>
  <c r="E842" i="8"/>
  <c r="E843" i="8"/>
  <c r="E844" i="8"/>
  <c r="E845" i="8"/>
  <c r="E846" i="8"/>
  <c r="E847" i="8"/>
  <c r="E848" i="8"/>
  <c r="E849" i="8"/>
  <c r="E850" i="8"/>
  <c r="E851" i="8"/>
  <c r="E852" i="8"/>
  <c r="E853" i="8"/>
  <c r="E854" i="8"/>
  <c r="E855" i="8"/>
  <c r="E856" i="8"/>
  <c r="E857" i="8"/>
  <c r="E858" i="8"/>
  <c r="E859" i="8"/>
  <c r="E860" i="8"/>
  <c r="E861" i="8"/>
  <c r="E862" i="8"/>
  <c r="E863" i="8"/>
  <c r="E864" i="8"/>
  <c r="E865" i="8"/>
  <c r="E866" i="8"/>
  <c r="E867" i="8"/>
  <c r="E868" i="8"/>
  <c r="E869" i="8"/>
  <c r="E870" i="8"/>
  <c r="E871" i="8"/>
  <c r="E872" i="8"/>
  <c r="E873" i="8"/>
  <c r="E874" i="8"/>
  <c r="E875" i="8"/>
  <c r="E876" i="8"/>
  <c r="E877" i="8"/>
  <c r="E878" i="8"/>
  <c r="E879" i="8"/>
  <c r="E880" i="8"/>
  <c r="E881" i="8"/>
  <c r="E882" i="8"/>
  <c r="E883" i="8"/>
  <c r="E884" i="8"/>
  <c r="E885" i="8"/>
  <c r="E886" i="8"/>
  <c r="E887" i="8"/>
  <c r="E888" i="8"/>
  <c r="E889" i="8"/>
  <c r="E890" i="8"/>
  <c r="E891" i="8"/>
  <c r="E892" i="8"/>
  <c r="E893" i="8"/>
  <c r="E894" i="8"/>
  <c r="E895" i="8"/>
  <c r="E896" i="8"/>
  <c r="E897" i="8"/>
  <c r="E898" i="8"/>
  <c r="E899" i="8"/>
  <c r="E900" i="8"/>
  <c r="E901" i="8"/>
  <c r="E902" i="8"/>
  <c r="E903" i="8"/>
  <c r="E904" i="8"/>
  <c r="E905" i="8"/>
  <c r="E906" i="8"/>
  <c r="E907" i="8"/>
  <c r="E908" i="8"/>
  <c r="E909" i="8"/>
  <c r="E910" i="8"/>
  <c r="E911" i="8"/>
  <c r="E912" i="8"/>
  <c r="E913" i="8"/>
  <c r="E914" i="8"/>
  <c r="E915" i="8"/>
  <c r="E916" i="8"/>
  <c r="E917" i="8"/>
  <c r="E918" i="8"/>
  <c r="E919" i="8"/>
  <c r="E920" i="8"/>
  <c r="E921" i="8"/>
  <c r="E922" i="8"/>
  <c r="E923" i="8"/>
  <c r="E924" i="8"/>
  <c r="E925" i="8"/>
  <c r="E926" i="8"/>
  <c r="E927" i="8"/>
  <c r="E928" i="8"/>
  <c r="E929" i="8"/>
  <c r="E930" i="8"/>
  <c r="E931" i="8"/>
  <c r="E932" i="8"/>
  <c r="E933" i="8"/>
  <c r="E934" i="8"/>
  <c r="E935" i="8"/>
  <c r="E936" i="8"/>
  <c r="E937" i="8"/>
  <c r="E938" i="8"/>
  <c r="E939" i="8"/>
  <c r="E940" i="8"/>
  <c r="E941" i="8"/>
  <c r="E942" i="8"/>
  <c r="E943" i="8"/>
  <c r="E944" i="8"/>
  <c r="E945" i="8"/>
  <c r="E946" i="8"/>
  <c r="E947" i="8"/>
  <c r="E948" i="8"/>
  <c r="E949" i="8"/>
  <c r="E950" i="8"/>
  <c r="E951" i="8"/>
  <c r="E952" i="8"/>
  <c r="E953" i="8"/>
  <c r="E954" i="8"/>
  <c r="E955" i="8"/>
  <c r="E956" i="8"/>
  <c r="E957" i="8"/>
  <c r="E958" i="8"/>
  <c r="E959" i="8"/>
  <c r="E960" i="8"/>
  <c r="E961" i="8"/>
  <c r="E962" i="8"/>
  <c r="E963" i="8"/>
  <c r="E964" i="8"/>
  <c r="E965" i="8"/>
  <c r="E966" i="8"/>
  <c r="E967" i="8"/>
  <c r="E968" i="8"/>
  <c r="E969" i="8"/>
  <c r="E970" i="8"/>
  <c r="E971" i="8"/>
  <c r="E972" i="8"/>
  <c r="E973" i="8"/>
  <c r="E974" i="8"/>
  <c r="E975" i="8"/>
  <c r="E976" i="8"/>
  <c r="E977" i="8"/>
  <c r="E978" i="8"/>
  <c r="E979" i="8"/>
  <c r="E980" i="8"/>
  <c r="E981" i="8"/>
  <c r="E982" i="8"/>
  <c r="E983" i="8"/>
  <c r="E984" i="8"/>
  <c r="E985" i="8"/>
  <c r="E986" i="8"/>
  <c r="E987" i="8"/>
  <c r="E988" i="8"/>
  <c r="E989" i="8"/>
  <c r="E990" i="8"/>
  <c r="E991" i="8"/>
  <c r="E992" i="8"/>
  <c r="E993" i="8"/>
  <c r="E994" i="8"/>
  <c r="E995" i="8"/>
  <c r="E996" i="8"/>
  <c r="E997" i="8"/>
  <c r="E998" i="8"/>
  <c r="E999" i="8"/>
  <c r="E1000" i="8"/>
  <c r="E1001" i="8"/>
  <c r="E1002" i="8"/>
  <c r="E1003" i="8"/>
  <c r="E1004" i="8"/>
  <c r="E1005" i="8"/>
  <c r="E1006" i="8"/>
  <c r="E1007" i="8"/>
  <c r="E1008" i="8"/>
  <c r="E1009" i="8"/>
  <c r="E1010" i="8"/>
  <c r="E1011" i="8"/>
  <c r="E1012" i="8"/>
  <c r="E1013" i="8"/>
  <c r="E1014" i="8"/>
  <c r="E1015" i="8"/>
  <c r="E1016" i="8"/>
  <c r="E1017" i="8"/>
  <c r="E1018" i="8"/>
  <c r="E1019" i="8"/>
  <c r="E1020" i="8"/>
  <c r="E1021" i="8"/>
  <c r="E1022" i="8"/>
  <c r="E1023" i="8"/>
  <c r="E1024" i="8"/>
  <c r="E1025" i="8"/>
  <c r="E1026" i="8"/>
  <c r="E1027" i="8"/>
  <c r="E1028" i="8"/>
  <c r="E1029" i="8"/>
  <c r="E1030" i="8"/>
  <c r="E1031" i="8"/>
  <c r="E1032" i="8"/>
  <c r="E1033" i="8"/>
  <c r="E1034" i="8"/>
  <c r="E1035" i="8"/>
  <c r="E1036" i="8"/>
  <c r="E1037" i="8"/>
  <c r="E1038" i="8"/>
  <c r="E1039" i="8"/>
  <c r="E1040" i="8"/>
  <c r="E1041" i="8"/>
  <c r="E1042" i="8"/>
  <c r="E1043" i="8"/>
  <c r="E1044" i="8"/>
  <c r="E1045" i="8"/>
  <c r="E1046" i="8"/>
  <c r="E1047" i="8"/>
  <c r="E1048" i="8"/>
  <c r="E1049" i="8"/>
  <c r="E1050" i="8"/>
  <c r="E1051" i="8"/>
  <c r="E1052" i="8"/>
  <c r="E1053" i="8"/>
  <c r="E1054" i="8"/>
  <c r="E1055" i="8"/>
  <c r="E1056" i="8"/>
  <c r="E1057" i="8"/>
  <c r="E1058" i="8"/>
  <c r="E1059" i="8"/>
  <c r="E1060" i="8"/>
  <c r="E1061" i="8"/>
  <c r="E1062" i="8"/>
  <c r="E1063" i="8"/>
  <c r="E1064" i="8"/>
  <c r="E1065" i="8"/>
  <c r="E1066" i="8"/>
  <c r="E1067" i="8"/>
  <c r="E1068" i="8"/>
  <c r="E1069" i="8"/>
  <c r="E1070" i="8"/>
  <c r="E1071" i="8"/>
  <c r="E1072" i="8"/>
  <c r="E1073" i="8"/>
  <c r="E1074" i="8"/>
  <c r="E1075" i="8"/>
  <c r="E1076" i="8"/>
  <c r="E1077" i="8"/>
  <c r="E1078" i="8"/>
  <c r="E1079" i="8"/>
  <c r="E1080" i="8"/>
  <c r="E1081" i="8"/>
  <c r="E1082" i="8"/>
  <c r="E1083" i="8"/>
  <c r="E1084" i="8"/>
  <c r="E1085" i="8"/>
  <c r="E1086" i="8"/>
  <c r="E1087" i="8"/>
  <c r="E1088" i="8"/>
  <c r="E1089" i="8"/>
  <c r="E1090" i="8"/>
  <c r="E1091" i="8"/>
  <c r="E1092" i="8"/>
  <c r="E1093" i="8"/>
  <c r="E1094" i="8"/>
  <c r="E1095" i="8"/>
  <c r="E1096" i="8"/>
  <c r="E1097" i="8"/>
  <c r="E1098" i="8"/>
  <c r="E1099" i="8"/>
  <c r="E1100" i="8"/>
  <c r="E1101" i="8"/>
  <c r="E1102" i="8"/>
  <c r="E1103" i="8"/>
  <c r="E1104" i="8"/>
  <c r="E1105" i="8"/>
  <c r="E1106" i="8"/>
  <c r="E1107" i="8"/>
  <c r="E1108" i="8"/>
  <c r="E1109" i="8"/>
  <c r="E1110" i="8"/>
  <c r="E1111" i="8"/>
  <c r="E1112" i="8"/>
  <c r="E1113" i="8"/>
  <c r="E1114" i="8"/>
  <c r="E1115" i="8"/>
  <c r="E1116" i="8"/>
  <c r="E1117" i="8"/>
  <c r="E1118" i="8"/>
  <c r="E1119" i="8"/>
  <c r="E1120" i="8"/>
  <c r="E1121" i="8"/>
  <c r="E1122" i="8"/>
  <c r="E1123" i="8"/>
  <c r="E1124" i="8"/>
  <c r="E1125" i="8"/>
  <c r="E1126" i="8"/>
  <c r="E1127" i="8"/>
  <c r="E1128" i="8"/>
  <c r="E1129" i="8"/>
  <c r="E1130" i="8"/>
  <c r="E1131" i="8"/>
  <c r="E1132" i="8"/>
  <c r="E1133" i="8"/>
  <c r="E1134" i="8"/>
  <c r="E1135" i="8"/>
  <c r="E1136" i="8"/>
  <c r="E1137" i="8"/>
  <c r="E1138" i="8"/>
  <c r="E1139" i="8"/>
  <c r="E1140" i="8"/>
  <c r="E1141" i="8"/>
  <c r="E1142" i="8"/>
  <c r="E1143" i="8"/>
  <c r="E1144" i="8"/>
  <c r="E1145" i="8"/>
  <c r="E1146" i="8"/>
  <c r="E1147" i="8"/>
  <c r="E1148" i="8"/>
  <c r="E1149" i="8"/>
  <c r="E1150" i="8"/>
  <c r="E1151" i="8"/>
  <c r="E1152" i="8"/>
  <c r="E1153" i="8"/>
  <c r="E1154" i="8"/>
  <c r="E1155" i="8"/>
  <c r="E1156" i="8"/>
  <c r="E1157" i="8"/>
  <c r="E1158" i="8"/>
  <c r="E1159" i="8"/>
  <c r="E1160" i="8"/>
  <c r="E1161" i="8"/>
  <c r="E1162" i="8"/>
  <c r="E1163" i="8"/>
  <c r="E1164" i="8"/>
  <c r="E1165" i="8"/>
  <c r="E1166" i="8"/>
  <c r="E1167" i="8"/>
  <c r="E1168" i="8"/>
  <c r="E1169" i="8"/>
  <c r="E1170" i="8"/>
  <c r="E1171" i="8"/>
  <c r="E1172" i="8"/>
  <c r="E1173" i="8"/>
  <c r="E1174" i="8"/>
  <c r="E1175" i="8"/>
  <c r="E1176" i="8"/>
  <c r="E1177" i="8"/>
  <c r="E1178" i="8"/>
  <c r="E1179" i="8"/>
  <c r="E1180" i="8"/>
  <c r="E1181" i="8"/>
  <c r="E1182" i="8"/>
  <c r="E1183" i="8"/>
  <c r="E1184" i="8"/>
  <c r="E1185" i="8"/>
  <c r="E1186" i="8"/>
  <c r="E1187" i="8"/>
  <c r="E1188" i="8"/>
  <c r="E1189" i="8"/>
  <c r="E1190" i="8"/>
  <c r="E1191" i="8"/>
  <c r="E1192" i="8"/>
  <c r="E1193" i="8"/>
  <c r="E1194" i="8"/>
  <c r="E1195" i="8"/>
  <c r="E1196" i="8"/>
  <c r="E1197" i="8"/>
  <c r="E1198" i="8"/>
  <c r="E1199" i="8"/>
  <c r="E1200" i="8"/>
  <c r="E1201" i="8"/>
  <c r="E1202" i="8"/>
  <c r="E1203" i="8"/>
  <c r="E1204" i="8"/>
  <c r="E1205" i="8"/>
  <c r="E1206" i="8"/>
  <c r="E1207" i="8"/>
  <c r="E1208" i="8"/>
  <c r="E1209" i="8"/>
  <c r="E1210" i="8"/>
  <c r="E1211" i="8"/>
  <c r="E1212" i="8"/>
  <c r="E1213" i="8"/>
  <c r="E1214" i="8"/>
  <c r="E1215" i="8"/>
  <c r="E1216" i="8"/>
  <c r="E1217" i="8"/>
  <c r="E1218" i="8"/>
  <c r="E1219" i="8"/>
  <c r="E1220" i="8"/>
  <c r="E1221" i="8"/>
  <c r="E1222" i="8"/>
  <c r="E1223" i="8"/>
  <c r="E1224" i="8"/>
  <c r="E1225" i="8"/>
  <c r="E1226" i="8"/>
  <c r="E1227" i="8"/>
  <c r="E1228" i="8"/>
  <c r="E1229" i="8"/>
  <c r="E1230" i="8"/>
  <c r="E1231" i="8"/>
  <c r="E1232" i="8"/>
  <c r="E1233" i="8"/>
  <c r="E1234" i="8"/>
  <c r="E1235" i="8"/>
  <c r="E1236" i="8"/>
  <c r="E1237" i="8"/>
  <c r="E1238" i="8"/>
  <c r="E1239" i="8"/>
  <c r="E1240" i="8"/>
  <c r="E1241" i="8"/>
  <c r="E1242" i="8"/>
  <c r="E1243" i="8"/>
  <c r="E1244" i="8"/>
  <c r="E1245" i="8"/>
  <c r="E1246" i="8"/>
  <c r="E1247" i="8"/>
  <c r="E1248" i="8"/>
  <c r="E1249" i="8"/>
  <c r="E1250" i="8"/>
  <c r="E1251" i="8"/>
  <c r="E1252" i="8"/>
  <c r="E1253" i="8"/>
  <c r="E1254" i="8"/>
  <c r="E1255" i="8"/>
  <c r="E1256" i="8"/>
  <c r="E1257" i="8"/>
  <c r="E1258" i="8"/>
  <c r="E1259" i="8"/>
  <c r="E1260" i="8"/>
  <c r="E1261" i="8"/>
  <c r="E1262" i="8"/>
  <c r="E1263" i="8"/>
  <c r="E1264" i="8"/>
  <c r="E1265" i="8"/>
  <c r="E1266" i="8"/>
  <c r="E1267" i="8"/>
  <c r="E1268" i="8"/>
  <c r="E1269" i="8"/>
  <c r="E1270" i="8"/>
  <c r="E1271" i="8"/>
  <c r="E1272" i="8"/>
  <c r="E1273" i="8"/>
  <c r="E1274" i="8"/>
  <c r="E1275" i="8"/>
  <c r="E1276" i="8"/>
  <c r="E1277" i="8"/>
  <c r="E1278" i="8"/>
  <c r="E1279" i="8"/>
  <c r="E1280" i="8"/>
  <c r="E1281" i="8"/>
  <c r="E1282" i="8"/>
  <c r="E1283" i="8"/>
  <c r="E1284" i="8"/>
  <c r="E1285" i="8"/>
  <c r="E1286" i="8"/>
  <c r="E1287" i="8"/>
  <c r="E1288" i="8"/>
  <c r="E1289" i="8"/>
  <c r="E1290" i="8"/>
  <c r="E1291" i="8"/>
  <c r="E1292" i="8"/>
  <c r="E1293" i="8"/>
  <c r="E1294" i="8"/>
  <c r="E1295" i="8"/>
  <c r="E1296" i="8"/>
  <c r="E1297" i="8"/>
  <c r="E1298" i="8"/>
  <c r="E1299" i="8"/>
  <c r="E1300" i="8"/>
  <c r="E1301" i="8"/>
  <c r="E1302" i="8"/>
  <c r="E1303" i="8"/>
  <c r="E1304" i="8"/>
  <c r="E1305" i="8"/>
  <c r="E1306" i="8"/>
  <c r="E1307" i="8"/>
  <c r="E1308" i="8"/>
  <c r="E1309" i="8"/>
  <c r="E1310" i="8"/>
  <c r="E1311" i="8"/>
  <c r="E1312" i="8"/>
  <c r="E1313" i="8"/>
  <c r="E1314" i="8"/>
  <c r="E1315" i="8"/>
  <c r="E1316" i="8"/>
  <c r="E1317" i="8"/>
  <c r="E1318" i="8"/>
  <c r="E1319" i="8"/>
  <c r="E1320" i="8"/>
  <c r="E1321" i="8"/>
  <c r="E1322" i="8"/>
  <c r="E1323" i="8"/>
  <c r="E1324" i="8"/>
  <c r="E1325" i="8"/>
  <c r="E1326" i="8"/>
  <c r="E1327" i="8"/>
  <c r="E1328" i="8"/>
  <c r="E1329" i="8"/>
  <c r="E1330" i="8"/>
  <c r="E1331" i="8"/>
  <c r="E1332" i="8"/>
  <c r="E1333" i="8"/>
  <c r="E1334" i="8"/>
  <c r="E1335" i="8"/>
  <c r="E1336" i="8"/>
  <c r="E1337" i="8"/>
  <c r="E1338" i="8"/>
  <c r="E1339" i="8"/>
  <c r="E1340" i="8"/>
  <c r="E1341" i="8"/>
  <c r="E1342" i="8"/>
  <c r="E1343" i="8"/>
  <c r="E1344" i="8"/>
  <c r="E1345" i="8"/>
  <c r="E1346" i="8"/>
  <c r="E1347" i="8"/>
  <c r="E1348" i="8"/>
  <c r="E1349" i="8"/>
  <c r="E1350" i="8"/>
  <c r="E1351" i="8"/>
  <c r="E1352" i="8"/>
  <c r="E1353" i="8"/>
  <c r="E1354" i="8"/>
  <c r="E1355" i="8"/>
  <c r="E1356" i="8"/>
  <c r="E1357" i="8"/>
  <c r="E1358" i="8"/>
  <c r="E1359" i="8"/>
  <c r="E1360" i="8"/>
  <c r="E1361" i="8"/>
  <c r="E1362" i="8"/>
  <c r="E1363" i="8"/>
  <c r="E1364" i="8"/>
  <c r="E1365" i="8"/>
  <c r="E1366" i="8"/>
  <c r="E1367" i="8"/>
  <c r="E1368" i="8"/>
  <c r="E1369" i="8"/>
  <c r="E1370" i="8"/>
  <c r="E1371" i="8"/>
  <c r="E1372" i="8"/>
  <c r="E1373" i="8"/>
  <c r="E1374" i="8"/>
  <c r="E1375" i="8"/>
  <c r="E1376" i="8"/>
  <c r="E1377" i="8"/>
  <c r="E1378" i="8"/>
  <c r="E1379" i="8"/>
  <c r="E1380" i="8"/>
  <c r="E1381" i="8"/>
  <c r="E1382" i="8"/>
  <c r="E1383" i="8"/>
  <c r="E1384" i="8"/>
  <c r="E1385" i="8"/>
  <c r="E1386" i="8"/>
  <c r="E1387" i="8"/>
  <c r="E1388" i="8"/>
  <c r="E1389" i="8"/>
  <c r="E1390" i="8"/>
  <c r="E1391" i="8"/>
  <c r="E1392" i="8"/>
  <c r="E1393" i="8"/>
  <c r="E1394" i="8"/>
  <c r="E1395" i="8"/>
  <c r="E1396" i="8"/>
  <c r="E1397" i="8"/>
  <c r="E1398" i="8"/>
  <c r="E1399" i="8"/>
  <c r="E1400" i="8"/>
  <c r="E1401" i="8"/>
  <c r="E1402" i="8"/>
  <c r="E1403" i="8"/>
  <c r="E1404" i="8"/>
  <c r="E1405" i="8"/>
  <c r="E1406" i="8"/>
  <c r="E1407" i="8"/>
  <c r="E1408" i="8"/>
  <c r="E1409" i="8"/>
  <c r="E1410" i="8"/>
  <c r="E1411" i="8"/>
  <c r="E1412" i="8"/>
  <c r="E1413" i="8"/>
  <c r="E1414" i="8"/>
  <c r="E1415" i="8"/>
  <c r="E1416" i="8"/>
  <c r="E1417" i="8"/>
  <c r="E1418" i="8"/>
  <c r="E1419" i="8"/>
  <c r="E1420" i="8"/>
  <c r="E1421" i="8"/>
  <c r="E1422" i="8"/>
  <c r="E1423" i="8"/>
  <c r="E1424" i="8"/>
  <c r="E1425" i="8"/>
  <c r="E1426" i="8"/>
  <c r="E1427" i="8"/>
  <c r="E1428" i="8"/>
  <c r="E1429" i="8"/>
  <c r="E1430" i="8"/>
  <c r="E1431" i="8"/>
  <c r="E1432" i="8"/>
  <c r="E1433" i="8"/>
  <c r="E1434" i="8"/>
  <c r="E1435" i="8"/>
  <c r="E1436" i="8"/>
  <c r="E1437" i="8"/>
  <c r="E1438" i="8"/>
  <c r="E1439" i="8"/>
  <c r="E1440" i="8"/>
  <c r="E1441" i="8"/>
  <c r="E1442" i="8"/>
  <c r="E1443" i="8"/>
  <c r="E1444" i="8"/>
  <c r="E1445" i="8"/>
  <c r="E1446" i="8"/>
  <c r="E1447" i="8"/>
  <c r="E1448" i="8"/>
  <c r="E1449" i="8"/>
  <c r="E1450" i="8"/>
  <c r="E1451" i="8"/>
  <c r="E1452" i="8"/>
  <c r="E1453" i="8"/>
  <c r="E1454" i="8"/>
  <c r="E1455" i="8"/>
  <c r="E1456" i="8"/>
  <c r="E1457" i="8"/>
  <c r="E1458" i="8"/>
  <c r="E1459" i="8"/>
  <c r="E1460" i="8"/>
  <c r="E1461" i="8"/>
  <c r="E1462" i="8"/>
  <c r="E1463" i="8"/>
  <c r="E1464" i="8"/>
  <c r="E1465" i="8"/>
  <c r="E1466" i="8"/>
  <c r="E1467" i="8"/>
  <c r="E1468" i="8"/>
  <c r="E1469" i="8"/>
  <c r="E1470" i="8"/>
  <c r="E1471" i="8"/>
  <c r="E1472" i="8"/>
  <c r="E1473" i="8"/>
  <c r="E1474" i="8"/>
  <c r="E1475" i="8"/>
  <c r="E1476" i="8"/>
  <c r="E1477" i="8"/>
  <c r="E1478" i="8"/>
  <c r="E1479" i="8"/>
  <c r="E1480" i="8"/>
  <c r="E1481" i="8"/>
  <c r="E1482" i="8"/>
  <c r="E1483" i="8"/>
  <c r="E1484" i="8"/>
  <c r="E1485" i="8"/>
  <c r="E1486" i="8"/>
  <c r="E1487" i="8"/>
  <c r="E1488" i="8"/>
  <c r="E1489" i="8"/>
  <c r="E1490" i="8"/>
  <c r="E1491" i="8"/>
  <c r="E1492" i="8"/>
  <c r="E1493" i="8"/>
  <c r="E1494" i="8"/>
  <c r="E1495" i="8"/>
  <c r="E1496" i="8"/>
  <c r="E1497" i="8"/>
  <c r="E1498" i="8"/>
  <c r="E1499" i="8"/>
  <c r="E1500" i="8"/>
  <c r="E1501" i="8"/>
  <c r="E1502" i="8"/>
  <c r="E1503" i="8"/>
  <c r="E1504" i="8"/>
  <c r="E1505" i="8"/>
  <c r="E1506" i="8"/>
  <c r="E1507" i="8"/>
  <c r="E1508" i="8"/>
  <c r="E1509" i="8"/>
  <c r="E1510" i="8"/>
  <c r="E1511" i="8"/>
  <c r="E1512" i="8"/>
  <c r="E1513" i="8"/>
  <c r="E1514" i="8"/>
  <c r="E1515" i="8"/>
  <c r="E1516" i="8"/>
  <c r="E1517" i="8"/>
  <c r="E1518" i="8"/>
  <c r="E1519" i="8"/>
  <c r="E1520" i="8"/>
  <c r="E1521" i="8"/>
  <c r="E1522" i="8"/>
  <c r="E1523" i="8"/>
  <c r="E1524" i="8"/>
  <c r="E1525" i="8"/>
  <c r="E1526" i="8"/>
  <c r="E1527" i="8"/>
  <c r="E1528" i="8"/>
  <c r="E1529" i="8"/>
  <c r="E1530" i="8"/>
  <c r="E1531" i="8"/>
  <c r="E1532" i="8"/>
  <c r="E1533" i="8"/>
  <c r="E1534" i="8"/>
  <c r="E1535" i="8"/>
  <c r="E1536" i="8"/>
  <c r="E1537" i="8"/>
  <c r="E1538" i="8"/>
  <c r="E1539" i="8"/>
  <c r="E1540" i="8"/>
  <c r="E1541" i="8"/>
  <c r="E1542" i="8"/>
  <c r="E1543" i="8"/>
  <c r="E1544" i="8"/>
  <c r="E1545" i="8"/>
  <c r="E1546" i="8"/>
  <c r="E1547" i="8"/>
  <c r="E1548" i="8"/>
  <c r="E1549" i="8"/>
  <c r="E1550" i="8"/>
  <c r="E1551" i="8"/>
  <c r="E1552" i="8"/>
  <c r="E1553" i="8"/>
  <c r="E1554" i="8"/>
  <c r="E1555" i="8"/>
  <c r="E1556" i="8"/>
  <c r="E1557" i="8"/>
  <c r="E1558" i="8"/>
  <c r="E1559" i="8"/>
  <c r="E1560" i="8"/>
  <c r="G2" i="8"/>
  <c r="G3" i="8"/>
  <c r="G4" i="8"/>
  <c r="G5" i="8"/>
  <c r="G6"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62" i="8"/>
  <c r="G63" i="8"/>
  <c r="G64" i="8"/>
  <c r="G65" i="8"/>
  <c r="G66" i="8"/>
  <c r="G67" i="8"/>
  <c r="G68" i="8"/>
  <c r="G69" i="8"/>
  <c r="G70" i="8"/>
  <c r="G71" i="8"/>
  <c r="G72" i="8"/>
  <c r="G73" i="8"/>
  <c r="G74" i="8"/>
  <c r="G75" i="8"/>
  <c r="G76" i="8"/>
  <c r="G77" i="8"/>
  <c r="G78" i="8"/>
  <c r="G79" i="8"/>
  <c r="G80" i="8"/>
  <c r="G81" i="8"/>
  <c r="G82" i="8"/>
  <c r="G83" i="8"/>
  <c r="G84" i="8"/>
  <c r="G85" i="8"/>
  <c r="G86" i="8"/>
  <c r="G87" i="8"/>
  <c r="G88" i="8"/>
  <c r="G89" i="8"/>
  <c r="G90" i="8"/>
  <c r="G91" i="8"/>
  <c r="G92" i="8"/>
  <c r="G93" i="8"/>
  <c r="G94" i="8"/>
  <c r="G95" i="8"/>
  <c r="G96" i="8"/>
  <c r="G97" i="8"/>
  <c r="G98" i="8"/>
  <c r="G99" i="8"/>
  <c r="G100" i="8"/>
  <c r="G101" i="8"/>
  <c r="G102" i="8"/>
  <c r="G103" i="8"/>
  <c r="G104" i="8"/>
  <c r="G105" i="8"/>
  <c r="G106" i="8"/>
  <c r="G107" i="8"/>
  <c r="G108" i="8"/>
  <c r="G109" i="8"/>
  <c r="G110" i="8"/>
  <c r="G111" i="8"/>
  <c r="G112" i="8"/>
  <c r="G113" i="8"/>
  <c r="G114" i="8"/>
  <c r="G115" i="8"/>
  <c r="G116" i="8"/>
  <c r="G117" i="8"/>
  <c r="G118" i="8"/>
  <c r="G119" i="8"/>
  <c r="G120" i="8"/>
  <c r="G121" i="8"/>
  <c r="G122" i="8"/>
  <c r="G123" i="8"/>
  <c r="G124" i="8"/>
  <c r="G125" i="8"/>
  <c r="G126" i="8"/>
  <c r="G140" i="8"/>
  <c r="G141" i="8"/>
  <c r="G142" i="8"/>
  <c r="G143" i="8"/>
  <c r="G144" i="8"/>
  <c r="G145" i="8"/>
  <c r="G146" i="8"/>
  <c r="G147" i="8"/>
  <c r="G148" i="8"/>
  <c r="G149" i="8"/>
  <c r="G150" i="8"/>
  <c r="G151" i="8"/>
  <c r="G152" i="8"/>
  <c r="G153" i="8"/>
  <c r="G154" i="8"/>
  <c r="G155" i="8"/>
  <c r="G156" i="8"/>
  <c r="G157" i="8"/>
  <c r="G158" i="8"/>
  <c r="G159" i="8"/>
  <c r="G160" i="8"/>
  <c r="G161" i="8"/>
  <c r="G162" i="8"/>
  <c r="G163" i="8"/>
  <c r="G164" i="8"/>
  <c r="G165" i="8"/>
  <c r="G166" i="8"/>
  <c r="G167" i="8"/>
  <c r="G168" i="8"/>
  <c r="G169" i="8"/>
  <c r="G170" i="8"/>
  <c r="G171" i="8"/>
  <c r="G172" i="8"/>
  <c r="G173" i="8"/>
  <c r="G174" i="8"/>
  <c r="G175" i="8"/>
  <c r="G176" i="8"/>
  <c r="G177" i="8"/>
  <c r="G178" i="8"/>
  <c r="G179" i="8"/>
  <c r="G180" i="8"/>
  <c r="G181" i="8"/>
  <c r="G182" i="8"/>
  <c r="G183" i="8"/>
  <c r="G184" i="8"/>
  <c r="G185" i="8"/>
  <c r="G186" i="8"/>
  <c r="G187" i="8"/>
  <c r="G188" i="8"/>
  <c r="G189" i="8"/>
  <c r="G190" i="8"/>
  <c r="G191" i="8"/>
  <c r="G192" i="8"/>
  <c r="G193" i="8"/>
  <c r="G194" i="8"/>
  <c r="G195" i="8"/>
  <c r="G196" i="8"/>
  <c r="G197" i="8"/>
  <c r="G198" i="8"/>
  <c r="G199" i="8"/>
  <c r="G200" i="8"/>
  <c r="G201" i="8"/>
  <c r="G202" i="8"/>
  <c r="G203" i="8"/>
  <c r="G204" i="8"/>
  <c r="G205" i="8"/>
  <c r="G206" i="8"/>
  <c r="G207" i="8"/>
  <c r="G208" i="8"/>
  <c r="G209" i="8"/>
  <c r="G210" i="8"/>
  <c r="G211" i="8"/>
  <c r="G212" i="8"/>
  <c r="G213" i="8"/>
  <c r="G214" i="8"/>
  <c r="G215" i="8"/>
  <c r="G216" i="8"/>
  <c r="G217" i="8"/>
  <c r="G218" i="8"/>
  <c r="G219" i="8"/>
  <c r="G220" i="8"/>
  <c r="G221" i="8"/>
  <c r="G222" i="8"/>
  <c r="G223" i="8"/>
  <c r="G224" i="8"/>
  <c r="G225" i="8"/>
  <c r="G226" i="8"/>
  <c r="G227" i="8"/>
  <c r="G228" i="8"/>
  <c r="G229" i="8"/>
  <c r="G230" i="8"/>
  <c r="G231" i="8"/>
  <c r="G232" i="8"/>
  <c r="G233" i="8"/>
  <c r="G234" i="8"/>
  <c r="G235" i="8"/>
  <c r="G236" i="8"/>
  <c r="G237" i="8"/>
  <c r="G238" i="8"/>
  <c r="G239" i="8"/>
  <c r="G240" i="8"/>
  <c r="G241" i="8"/>
  <c r="G242" i="8"/>
  <c r="G243" i="8"/>
  <c r="G244" i="8"/>
  <c r="G245" i="8"/>
  <c r="G246" i="8"/>
  <c r="G247" i="8"/>
  <c r="G248" i="8"/>
  <c r="G249" i="8"/>
  <c r="G250" i="8"/>
  <c r="G251" i="8"/>
  <c r="G252" i="8"/>
  <c r="G253" i="8"/>
  <c r="G254" i="8"/>
  <c r="G255" i="8"/>
  <c r="G256" i="8"/>
  <c r="G257" i="8"/>
  <c r="G258" i="8"/>
  <c r="G259" i="8"/>
  <c r="G260" i="8"/>
  <c r="G261" i="8"/>
  <c r="G262" i="8"/>
  <c r="G263" i="8"/>
  <c r="G264" i="8"/>
  <c r="G265" i="8"/>
  <c r="G266" i="8"/>
  <c r="G267" i="8"/>
  <c r="G268" i="8"/>
  <c r="G269" i="8"/>
  <c r="G270" i="8"/>
  <c r="G271" i="8"/>
  <c r="G272" i="8"/>
  <c r="G273" i="8"/>
  <c r="G274" i="8"/>
  <c r="G275" i="8"/>
  <c r="G276" i="8"/>
  <c r="G277" i="8"/>
  <c r="G278" i="8"/>
  <c r="G279" i="8"/>
  <c r="G280" i="8"/>
  <c r="G281" i="8"/>
  <c r="G282" i="8"/>
  <c r="G283" i="8"/>
  <c r="G284" i="8"/>
  <c r="G285" i="8"/>
  <c r="G286" i="8"/>
  <c r="G287" i="8"/>
  <c r="G288" i="8"/>
  <c r="G289" i="8"/>
  <c r="G290" i="8"/>
  <c r="G291" i="8"/>
  <c r="G292" i="8"/>
  <c r="G293" i="8"/>
  <c r="G294" i="8"/>
  <c r="G295" i="8"/>
  <c r="G296" i="8"/>
  <c r="G297" i="8"/>
  <c r="G298" i="8"/>
  <c r="G299" i="8"/>
  <c r="G300" i="8"/>
  <c r="G301" i="8"/>
  <c r="G302" i="8"/>
  <c r="G303" i="8"/>
  <c r="G304" i="8"/>
  <c r="G305" i="8"/>
  <c r="G306" i="8"/>
  <c r="G307" i="8"/>
  <c r="G308" i="8"/>
  <c r="G309" i="8"/>
  <c r="G310" i="8"/>
  <c r="G311" i="8"/>
  <c r="G312" i="8"/>
  <c r="G313" i="8"/>
  <c r="G314" i="8"/>
  <c r="G315" i="8"/>
  <c r="G316" i="8"/>
  <c r="G317" i="8"/>
  <c r="G318" i="8"/>
  <c r="G319" i="8"/>
  <c r="G320" i="8"/>
  <c r="G321" i="8"/>
  <c r="G322" i="8"/>
  <c r="G323" i="8"/>
  <c r="G324" i="8"/>
  <c r="G325" i="8"/>
  <c r="G326" i="8"/>
  <c r="G327" i="8"/>
  <c r="G328" i="8"/>
  <c r="G329" i="8"/>
  <c r="G330" i="8"/>
  <c r="G331" i="8"/>
  <c r="G332" i="8"/>
  <c r="G333" i="8"/>
  <c r="G334" i="8"/>
  <c r="G335" i="8"/>
  <c r="G336" i="8"/>
  <c r="G337" i="8"/>
  <c r="G338" i="8"/>
  <c r="G339" i="8"/>
  <c r="G340" i="8"/>
  <c r="G341" i="8"/>
  <c r="G342" i="8"/>
  <c r="G343" i="8"/>
  <c r="G344" i="8"/>
  <c r="G345" i="8"/>
  <c r="G346" i="8"/>
  <c r="G347" i="8"/>
  <c r="G348" i="8"/>
  <c r="G349" i="8"/>
  <c r="G350" i="8"/>
  <c r="G351" i="8"/>
  <c r="G352" i="8"/>
  <c r="G353" i="8"/>
  <c r="G354" i="8"/>
  <c r="G355" i="8"/>
  <c r="G356" i="8"/>
  <c r="G357" i="8"/>
  <c r="G358" i="8"/>
  <c r="G359" i="8"/>
  <c r="G360" i="8"/>
  <c r="G361" i="8"/>
  <c r="G362" i="8"/>
  <c r="G363" i="8"/>
  <c r="G364" i="8"/>
  <c r="G365" i="8"/>
  <c r="G366" i="8"/>
  <c r="G367" i="8"/>
  <c r="G368" i="8"/>
  <c r="G369" i="8"/>
  <c r="G370" i="8"/>
  <c r="G371" i="8"/>
  <c r="G372" i="8"/>
  <c r="G373" i="8"/>
  <c r="G374" i="8"/>
  <c r="G375" i="8"/>
  <c r="G376" i="8"/>
  <c r="G377" i="8"/>
  <c r="G378" i="8"/>
  <c r="G379" i="8"/>
  <c r="G380" i="8"/>
  <c r="G381" i="8"/>
  <c r="G382" i="8"/>
  <c r="G383" i="8"/>
  <c r="G384" i="8"/>
  <c r="G385" i="8"/>
  <c r="G386" i="8"/>
  <c r="G387" i="8"/>
  <c r="G388" i="8"/>
  <c r="G389" i="8"/>
  <c r="G390" i="8"/>
  <c r="G391" i="8"/>
  <c r="G392" i="8"/>
  <c r="G393" i="8"/>
  <c r="G394" i="8"/>
  <c r="G395" i="8"/>
  <c r="G396" i="8"/>
  <c r="G397" i="8"/>
  <c r="G399" i="8"/>
  <c r="G401" i="8"/>
  <c r="G402" i="8"/>
  <c r="G403" i="8"/>
  <c r="G404" i="8"/>
  <c r="G405" i="8"/>
  <c r="G406" i="8"/>
  <c r="G407" i="8"/>
  <c r="G408" i="8"/>
  <c r="G409" i="8"/>
  <c r="G410" i="8"/>
  <c r="G411" i="8"/>
  <c r="G412" i="8"/>
  <c r="G413" i="8"/>
  <c r="G414" i="8"/>
  <c r="G415" i="8"/>
  <c r="G416" i="8"/>
  <c r="G417" i="8"/>
  <c r="G418" i="8"/>
  <c r="G419" i="8"/>
  <c r="G420" i="8"/>
  <c r="G421" i="8"/>
  <c r="G422" i="8"/>
  <c r="G424" i="8"/>
  <c r="G425" i="8"/>
  <c r="G426" i="8"/>
  <c r="G427" i="8"/>
  <c r="G428" i="8"/>
  <c r="G429" i="8"/>
  <c r="G430" i="8"/>
  <c r="G431" i="8"/>
  <c r="G432" i="8"/>
  <c r="G433" i="8"/>
  <c r="G434" i="8"/>
  <c r="G435" i="8"/>
  <c r="G436" i="8"/>
  <c r="G437" i="8"/>
  <c r="G438" i="8"/>
  <c r="G439" i="8"/>
  <c r="G440" i="8"/>
  <c r="G441" i="8"/>
  <c r="G442" i="8"/>
  <c r="G443" i="8"/>
  <c r="G444" i="8"/>
  <c r="G445" i="8"/>
  <c r="G446" i="8"/>
  <c r="G447" i="8"/>
  <c r="G448" i="8"/>
  <c r="G449" i="8"/>
  <c r="G450" i="8"/>
  <c r="G451" i="8"/>
  <c r="G452" i="8"/>
  <c r="G453" i="8"/>
  <c r="G454" i="8"/>
  <c r="G455" i="8"/>
  <c r="G456" i="8"/>
  <c r="G457" i="8"/>
  <c r="G458" i="8"/>
  <c r="G459" i="8"/>
  <c r="G460" i="8"/>
  <c r="G461" i="8"/>
  <c r="G462" i="8"/>
  <c r="G463" i="8"/>
  <c r="G464" i="8"/>
  <c r="G465" i="8"/>
  <c r="G466" i="8"/>
  <c r="G467" i="8"/>
  <c r="G468" i="8"/>
  <c r="G469" i="8"/>
  <c r="G470" i="8"/>
  <c r="G471" i="8"/>
  <c r="G472" i="8"/>
  <c r="G473" i="8"/>
  <c r="G474" i="8"/>
  <c r="G475" i="8"/>
  <c r="G476" i="8"/>
  <c r="G478" i="8"/>
  <c r="G479" i="8"/>
  <c r="G480" i="8"/>
  <c r="G481" i="8"/>
  <c r="G482" i="8"/>
  <c r="G483" i="8"/>
  <c r="G484" i="8"/>
  <c r="G485" i="8"/>
  <c r="G486" i="8"/>
  <c r="G487" i="8"/>
  <c r="G488" i="8"/>
  <c r="G489" i="8"/>
  <c r="G490" i="8"/>
  <c r="G491" i="8"/>
  <c r="G492" i="8"/>
  <c r="G493" i="8"/>
  <c r="G494" i="8"/>
  <c r="G603" i="8"/>
  <c r="G604" i="8"/>
  <c r="G605" i="8"/>
  <c r="G606" i="8"/>
  <c r="G607" i="8"/>
  <c r="G608" i="8"/>
  <c r="G609" i="8"/>
  <c r="G610" i="8"/>
  <c r="G611" i="8"/>
  <c r="G612" i="8"/>
  <c r="G613" i="8"/>
  <c r="G614" i="8"/>
  <c r="G615" i="8"/>
  <c r="G616" i="8"/>
  <c r="G617" i="8"/>
  <c r="G618" i="8"/>
  <c r="G619" i="8"/>
  <c r="G620" i="8"/>
  <c r="G621" i="8"/>
  <c r="G622" i="8"/>
  <c r="G623" i="8"/>
  <c r="G624" i="8"/>
  <c r="G625" i="8"/>
  <c r="G626" i="8"/>
  <c r="G627" i="8"/>
  <c r="G628" i="8"/>
  <c r="G629" i="8"/>
  <c r="G630" i="8"/>
  <c r="G631" i="8"/>
  <c r="G632" i="8"/>
  <c r="G633" i="8"/>
  <c r="G634" i="8"/>
  <c r="G635" i="8"/>
  <c r="G636" i="8"/>
  <c r="G637" i="8"/>
  <c r="G638" i="8"/>
  <c r="G639" i="8"/>
  <c r="G640" i="8"/>
  <c r="G641" i="8"/>
  <c r="G642" i="8"/>
  <c r="G643" i="8"/>
  <c r="G644" i="8"/>
  <c r="G645" i="8"/>
  <c r="G657" i="8"/>
  <c r="G658" i="8"/>
  <c r="G661" i="8"/>
  <c r="G662" i="8"/>
  <c r="G667" i="8"/>
  <c r="G668" i="8"/>
  <c r="G669" i="8"/>
  <c r="G670" i="8"/>
  <c r="G671" i="8"/>
  <c r="G672" i="8"/>
  <c r="G673" i="8"/>
  <c r="G674" i="8"/>
  <c r="G675" i="8"/>
  <c r="G676" i="8"/>
  <c r="G677" i="8"/>
  <c r="G678" i="8"/>
  <c r="G679" i="8"/>
  <c r="G680" i="8"/>
  <c r="G681" i="8"/>
  <c r="G682" i="8"/>
  <c r="G683" i="8"/>
  <c r="G684" i="8"/>
  <c r="G685" i="8"/>
  <c r="G686" i="8"/>
  <c r="G687" i="8"/>
  <c r="G688" i="8"/>
  <c r="G689" i="8"/>
  <c r="G690" i="8"/>
  <c r="G691" i="8"/>
  <c r="G692" i="8"/>
  <c r="G693" i="8"/>
  <c r="G694" i="8"/>
  <c r="G695" i="8"/>
  <c r="G696" i="8"/>
  <c r="G697" i="8"/>
  <c r="G698" i="8"/>
  <c r="G699" i="8"/>
  <c r="G700" i="8"/>
  <c r="G701" i="8"/>
  <c r="G702" i="8"/>
  <c r="G703" i="8"/>
  <c r="G704" i="8"/>
  <c r="G705" i="8"/>
  <c r="G706" i="8"/>
  <c r="G707" i="8"/>
  <c r="G708" i="8"/>
  <c r="G709" i="8"/>
  <c r="G710" i="8"/>
  <c r="G711" i="8"/>
  <c r="G712" i="8"/>
  <c r="G713" i="8"/>
  <c r="G714" i="8"/>
  <c r="G715" i="8"/>
  <c r="G716" i="8"/>
  <c r="G717" i="8"/>
  <c r="G718" i="8"/>
  <c r="G719" i="8"/>
  <c r="G720" i="8"/>
  <c r="G721" i="8"/>
  <c r="G723" i="8"/>
  <c r="G724" i="8"/>
  <c r="G725" i="8"/>
  <c r="G726" i="8"/>
  <c r="G727" i="8"/>
  <c r="G728" i="8"/>
  <c r="G730" i="8"/>
  <c r="G731" i="8"/>
  <c r="G732" i="8"/>
  <c r="G733" i="8"/>
  <c r="G734" i="8"/>
  <c r="G735" i="8"/>
  <c r="G736" i="8"/>
  <c r="G737" i="8"/>
  <c r="G738" i="8"/>
  <c r="G739" i="8"/>
  <c r="G740" i="8"/>
  <c r="G741" i="8"/>
  <c r="G742" i="8"/>
  <c r="G743" i="8"/>
  <c r="G744" i="8"/>
  <c r="G745" i="8"/>
  <c r="G746" i="8"/>
  <c r="G747" i="8"/>
  <c r="G748" i="8"/>
  <c r="G749" i="8"/>
  <c r="G750" i="8"/>
  <c r="G751" i="8"/>
  <c r="G752" i="8"/>
  <c r="G753" i="8"/>
  <c r="G754" i="8"/>
  <c r="G755" i="8"/>
  <c r="G756" i="8"/>
  <c r="G757" i="8"/>
  <c r="G758" i="8"/>
  <c r="G759" i="8"/>
  <c r="G760" i="8"/>
  <c r="G761" i="8"/>
  <c r="G762" i="8"/>
  <c r="G763" i="8"/>
  <c r="G764" i="8"/>
  <c r="G765" i="8"/>
  <c r="G766" i="8"/>
  <c r="G767" i="8"/>
  <c r="G768" i="8"/>
  <c r="G769" i="8"/>
  <c r="G770" i="8"/>
  <c r="G771" i="8"/>
  <c r="G772" i="8"/>
  <c r="G773" i="8"/>
  <c r="G774" i="8"/>
  <c r="G775" i="8"/>
  <c r="G776" i="8"/>
  <c r="G779" i="8"/>
  <c r="G780" i="8"/>
  <c r="G782" i="8"/>
  <c r="G783" i="8"/>
  <c r="G784" i="8"/>
  <c r="G785" i="8"/>
  <c r="G786" i="8"/>
  <c r="G787" i="8"/>
  <c r="G788" i="8"/>
  <c r="G789" i="8"/>
  <c r="G790" i="8"/>
  <c r="G791" i="8"/>
  <c r="G792" i="8"/>
  <c r="G793" i="8"/>
  <c r="G794" i="8"/>
  <c r="G795" i="8"/>
  <c r="G796" i="8"/>
  <c r="G797" i="8"/>
  <c r="G798" i="8"/>
  <c r="G799" i="8"/>
  <c r="G800" i="8"/>
  <c r="G801" i="8"/>
  <c r="G802" i="8"/>
  <c r="G803" i="8"/>
  <c r="G804" i="8"/>
  <c r="G805" i="8"/>
  <c r="G806" i="8"/>
  <c r="G807" i="8"/>
  <c r="G808" i="8"/>
  <c r="G809" i="8"/>
  <c r="G810" i="8"/>
  <c r="G811" i="8"/>
  <c r="G812" i="8"/>
  <c r="G813" i="8"/>
  <c r="G814" i="8"/>
  <c r="G815" i="8"/>
  <c r="G816" i="8"/>
  <c r="G817" i="8"/>
  <c r="G818" i="8"/>
  <c r="G819" i="8"/>
  <c r="G820" i="8"/>
  <c r="G821" i="8"/>
  <c r="G822" i="8"/>
  <c r="G823" i="8"/>
  <c r="G824" i="8"/>
  <c r="G825" i="8"/>
  <c r="G826" i="8"/>
  <c r="G827" i="8"/>
  <c r="G828" i="8"/>
  <c r="G829" i="8"/>
  <c r="G830" i="8"/>
  <c r="G831" i="8"/>
  <c r="G832" i="8"/>
  <c r="G833" i="8"/>
  <c r="G834" i="8"/>
  <c r="G835" i="8"/>
  <c r="G836" i="8"/>
  <c r="G837" i="8"/>
  <c r="G838" i="8"/>
  <c r="G839" i="8"/>
  <c r="G840" i="8"/>
  <c r="G841" i="8"/>
  <c r="G842" i="8"/>
  <c r="G843" i="8"/>
  <c r="G844" i="8"/>
  <c r="G845" i="8"/>
  <c r="G846" i="8"/>
  <c r="G847" i="8"/>
  <c r="G848" i="8"/>
  <c r="G849" i="8"/>
  <c r="G850" i="8"/>
  <c r="G851" i="8"/>
  <c r="G852" i="8"/>
  <c r="G853" i="8"/>
  <c r="G854" i="8"/>
  <c r="G855" i="8"/>
  <c r="G856" i="8"/>
  <c r="G857" i="8"/>
  <c r="G858" i="8"/>
  <c r="G859" i="8"/>
  <c r="G860" i="8"/>
  <c r="G861" i="8"/>
  <c r="G862" i="8"/>
  <c r="G863" i="8"/>
  <c r="G864" i="8"/>
  <c r="G865" i="8"/>
  <c r="G866" i="8"/>
  <c r="G867" i="8"/>
  <c r="G868" i="8"/>
  <c r="G869" i="8"/>
  <c r="G870" i="8"/>
  <c r="G871" i="8"/>
  <c r="G872" i="8"/>
  <c r="G873" i="8"/>
  <c r="G874" i="8"/>
  <c r="G875" i="8"/>
  <c r="G876" i="8"/>
  <c r="G877" i="8"/>
  <c r="G878" i="8"/>
  <c r="G879" i="8"/>
  <c r="G880" i="8"/>
  <c r="G881" i="8"/>
  <c r="G882" i="8"/>
  <c r="G883" i="8"/>
  <c r="G884" i="8"/>
  <c r="G885" i="8"/>
  <c r="G886" i="8"/>
  <c r="G887" i="8"/>
  <c r="G888" i="8"/>
  <c r="G889" i="8"/>
  <c r="G890" i="8"/>
  <c r="G891" i="8"/>
  <c r="G892" i="8"/>
  <c r="G893" i="8"/>
  <c r="G894" i="8"/>
  <c r="G895" i="8"/>
  <c r="G896" i="8"/>
  <c r="G897" i="8"/>
  <c r="G898" i="8"/>
  <c r="G899" i="8"/>
  <c r="G900" i="8"/>
  <c r="G901" i="8"/>
  <c r="G902" i="8"/>
  <c r="G903" i="8"/>
  <c r="G904" i="8"/>
  <c r="G905" i="8"/>
  <c r="G906" i="8"/>
  <c r="G907" i="8"/>
  <c r="G908" i="8"/>
  <c r="G909" i="8"/>
  <c r="G910" i="8"/>
  <c r="G911" i="8"/>
  <c r="G912" i="8"/>
  <c r="G913" i="8"/>
  <c r="G914" i="8"/>
  <c r="G915" i="8"/>
  <c r="G916" i="8"/>
  <c r="G917" i="8"/>
  <c r="G918" i="8"/>
  <c r="G919" i="8"/>
  <c r="G920" i="8"/>
  <c r="G921" i="8"/>
  <c r="G922" i="8"/>
  <c r="G923" i="8"/>
  <c r="G924" i="8"/>
  <c r="G925" i="8"/>
  <c r="G928" i="8"/>
  <c r="G929" i="8"/>
  <c r="G930" i="8"/>
  <c r="G931" i="8"/>
  <c r="G932" i="8"/>
  <c r="G933" i="8"/>
  <c r="G934" i="8"/>
  <c r="G935" i="8"/>
  <c r="G936" i="8"/>
  <c r="G937" i="8"/>
  <c r="G938" i="8"/>
  <c r="G939" i="8"/>
  <c r="G940" i="8"/>
  <c r="G941" i="8"/>
  <c r="G942" i="8"/>
  <c r="G943" i="8"/>
  <c r="G944" i="8"/>
  <c r="G945" i="8"/>
  <c r="G946" i="8"/>
  <c r="G947" i="8"/>
  <c r="G948" i="8"/>
  <c r="G949" i="8"/>
  <c r="G950" i="8"/>
  <c r="G951" i="8"/>
  <c r="G952" i="8"/>
  <c r="G953" i="8"/>
  <c r="G954" i="8"/>
  <c r="G955" i="8"/>
  <c r="G956" i="8"/>
  <c r="G957" i="8"/>
  <c r="G958" i="8"/>
  <c r="G959" i="8"/>
  <c r="G960" i="8"/>
  <c r="G961" i="8"/>
  <c r="G962" i="8"/>
  <c r="G963" i="8"/>
  <c r="G964" i="8"/>
  <c r="G965" i="8"/>
  <c r="G966" i="8"/>
  <c r="G967" i="8"/>
  <c r="G968" i="8"/>
  <c r="G969" i="8"/>
  <c r="G970" i="8"/>
  <c r="G971" i="8"/>
  <c r="G972" i="8"/>
  <c r="G973" i="8"/>
  <c r="G974" i="8"/>
  <c r="G975" i="8"/>
  <c r="G976" i="8"/>
  <c r="G977" i="8"/>
  <c r="G978" i="8"/>
  <c r="G979" i="8"/>
  <c r="G980" i="8"/>
  <c r="G981" i="8"/>
  <c r="G982" i="8"/>
  <c r="G983" i="8"/>
  <c r="G984" i="8"/>
  <c r="G985" i="8"/>
  <c r="G986" i="8"/>
  <c r="G987" i="8"/>
  <c r="G988" i="8"/>
  <c r="G989" i="8"/>
  <c r="G990" i="8"/>
  <c r="G991" i="8"/>
  <c r="G992" i="8"/>
  <c r="G993" i="8"/>
  <c r="G994" i="8"/>
  <c r="G995" i="8"/>
  <c r="G996" i="8"/>
  <c r="G997" i="8"/>
  <c r="G998" i="8"/>
  <c r="G999" i="8"/>
  <c r="G1000" i="8"/>
  <c r="G1001" i="8"/>
  <c r="G1002" i="8"/>
  <c r="G1003" i="8"/>
  <c r="G1004" i="8"/>
  <c r="G1005" i="8"/>
  <c r="G1006" i="8"/>
  <c r="G1007" i="8"/>
  <c r="G1008" i="8"/>
  <c r="G1009" i="8"/>
  <c r="G1010" i="8"/>
  <c r="G1011" i="8"/>
  <c r="G1012" i="8"/>
  <c r="G1013" i="8"/>
  <c r="G1014" i="8"/>
  <c r="G1015" i="8"/>
  <c r="G1016" i="8"/>
  <c r="G1017" i="8"/>
  <c r="G1018" i="8"/>
  <c r="G1027" i="8"/>
  <c r="G1028" i="8"/>
  <c r="G1031" i="8"/>
  <c r="G1033" i="8"/>
  <c r="G1034" i="8"/>
  <c r="G1035" i="8"/>
  <c r="G1036" i="8"/>
  <c r="G1037" i="8"/>
  <c r="G1038" i="8"/>
  <c r="G1039" i="8"/>
  <c r="G1040" i="8"/>
  <c r="G1041" i="8"/>
  <c r="G1042" i="8"/>
  <c r="G1044" i="8"/>
  <c r="G1045" i="8"/>
  <c r="G1046" i="8"/>
  <c r="G1047" i="8"/>
  <c r="G1048" i="8"/>
  <c r="G1049" i="8"/>
  <c r="G1050" i="8"/>
  <c r="G1051" i="8"/>
  <c r="G1052" i="8"/>
  <c r="G1053" i="8"/>
  <c r="G1054" i="8"/>
  <c r="G1055" i="8"/>
  <c r="G1059" i="8"/>
  <c r="G1060" i="8"/>
  <c r="G1064" i="8"/>
  <c r="G1065" i="8"/>
  <c r="G1066" i="8"/>
  <c r="G1067" i="8"/>
  <c r="G1070" i="8"/>
  <c r="G1071" i="8"/>
  <c r="G1072" i="8"/>
  <c r="G1073" i="8"/>
  <c r="G1074" i="8"/>
  <c r="G1076" i="8"/>
  <c r="G1079" i="8"/>
  <c r="G1083" i="8"/>
  <c r="G1084" i="8"/>
  <c r="G1085" i="8"/>
  <c r="G1086" i="8"/>
  <c r="G1087" i="8"/>
  <c r="G1089" i="8"/>
  <c r="G1091" i="8"/>
  <c r="G1097" i="8"/>
  <c r="G1103" i="8"/>
  <c r="G1104" i="8"/>
  <c r="G1107" i="8"/>
  <c r="G1109" i="8"/>
  <c r="G1110" i="8"/>
  <c r="G1111" i="8"/>
  <c r="G1112" i="8"/>
  <c r="G1113" i="8"/>
  <c r="G1114" i="8"/>
  <c r="G1115" i="8"/>
  <c r="G1116" i="8"/>
  <c r="G1117" i="8"/>
  <c r="G1118" i="8"/>
  <c r="G1119" i="8"/>
  <c r="G1120" i="8"/>
  <c r="G1121" i="8"/>
  <c r="G1122" i="8"/>
  <c r="G1123" i="8"/>
  <c r="G1124" i="8"/>
  <c r="G1125" i="8"/>
  <c r="G1126" i="8"/>
  <c r="G1127" i="8"/>
  <c r="G1128" i="8"/>
  <c r="G1129" i="8"/>
  <c r="G1130" i="8"/>
  <c r="G1131" i="8"/>
  <c r="G1132" i="8"/>
  <c r="G1133" i="8"/>
  <c r="G1134" i="8"/>
  <c r="G1135" i="8"/>
  <c r="G1136" i="8"/>
  <c r="G1137" i="8"/>
  <c r="G1138" i="8"/>
  <c r="G1139" i="8"/>
  <c r="G1140" i="8"/>
  <c r="G1141" i="8"/>
  <c r="G1142" i="8"/>
  <c r="G1143" i="8"/>
  <c r="G1144" i="8"/>
  <c r="G1145" i="8"/>
  <c r="G1146" i="8"/>
  <c r="G1147" i="8"/>
  <c r="G1148" i="8"/>
  <c r="G1149" i="8"/>
  <c r="G1150" i="8"/>
  <c r="G1151" i="8"/>
  <c r="G1152" i="8"/>
  <c r="G1153" i="8"/>
  <c r="G1154" i="8"/>
  <c r="G1155" i="8"/>
  <c r="G1156" i="8"/>
  <c r="G1157" i="8"/>
  <c r="G1158" i="8"/>
  <c r="G1159" i="8"/>
  <c r="G1160" i="8"/>
  <c r="G1161" i="8"/>
  <c r="G1162" i="8"/>
  <c r="G1163" i="8"/>
  <c r="G1164" i="8"/>
  <c r="G1165" i="8"/>
  <c r="G1166" i="8"/>
  <c r="G1167" i="8"/>
  <c r="G1168" i="8"/>
  <c r="G1169" i="8"/>
  <c r="G1170" i="8"/>
  <c r="G1171" i="8"/>
  <c r="G1172" i="8"/>
  <c r="G1173" i="8"/>
  <c r="G1174" i="8"/>
  <c r="G1175" i="8"/>
  <c r="G1176" i="8"/>
  <c r="G1177" i="8"/>
  <c r="G1178" i="8"/>
  <c r="G1179" i="8"/>
  <c r="G1180" i="8"/>
  <c r="G1181" i="8"/>
  <c r="G1182" i="8"/>
  <c r="G1183" i="8"/>
  <c r="G1184" i="8"/>
  <c r="G1185" i="8"/>
  <c r="G1186" i="8"/>
  <c r="G1187" i="8"/>
  <c r="G1188" i="8"/>
  <c r="G1189" i="8"/>
  <c r="G1190" i="8"/>
  <c r="G1191" i="8"/>
  <c r="G1192" i="8"/>
  <c r="G1193" i="8"/>
  <c r="G1194" i="8"/>
  <c r="G1195" i="8"/>
  <c r="G1196" i="8"/>
  <c r="G1197" i="8"/>
  <c r="G1198" i="8"/>
  <c r="G1199" i="8"/>
  <c r="G1200" i="8"/>
  <c r="G1201" i="8"/>
  <c r="G1202" i="8"/>
  <c r="G1203" i="8"/>
  <c r="G1204" i="8"/>
  <c r="G1205" i="8"/>
  <c r="G1206" i="8"/>
  <c r="G1207" i="8"/>
  <c r="G1208" i="8"/>
  <c r="G1209" i="8"/>
  <c r="G1210" i="8"/>
  <c r="G1211" i="8"/>
  <c r="G1212" i="8"/>
  <c r="G1213" i="8"/>
  <c r="G1214" i="8"/>
  <c r="G1215" i="8"/>
  <c r="G1216" i="8"/>
  <c r="G1217" i="8"/>
  <c r="G1218" i="8"/>
  <c r="G1219" i="8"/>
  <c r="G1220" i="8"/>
  <c r="G1221" i="8"/>
  <c r="G1222" i="8"/>
  <c r="G1223" i="8"/>
  <c r="G1224" i="8"/>
  <c r="G1226" i="8"/>
  <c r="G1227" i="8"/>
  <c r="G1228" i="8"/>
  <c r="G1229" i="8"/>
  <c r="G1230" i="8"/>
  <c r="G1231" i="8"/>
  <c r="G1232" i="8"/>
  <c r="G1233" i="8"/>
  <c r="G1234" i="8"/>
  <c r="G1235" i="8"/>
  <c r="G1236" i="8"/>
  <c r="G1237" i="8"/>
  <c r="G1238" i="8"/>
  <c r="G1239" i="8"/>
  <c r="G1240" i="8"/>
  <c r="G1241" i="8"/>
  <c r="G1242" i="8"/>
  <c r="G1243" i="8"/>
  <c r="G1244" i="8"/>
  <c r="G1245" i="8"/>
  <c r="G1246" i="8"/>
  <c r="G1247" i="8"/>
  <c r="G1248" i="8"/>
  <c r="G1249" i="8"/>
  <c r="G1250" i="8"/>
  <c r="G1251" i="8"/>
  <c r="G1252" i="8"/>
  <c r="G1253" i="8"/>
  <c r="G1254" i="8"/>
  <c r="G1255" i="8"/>
  <c r="G1256" i="8"/>
  <c r="G1258" i="8"/>
  <c r="G1259" i="8"/>
  <c r="G1260" i="8"/>
  <c r="G1261" i="8"/>
  <c r="G1262" i="8"/>
  <c r="G1263" i="8"/>
  <c r="G1264" i="8"/>
  <c r="G1265" i="8"/>
  <c r="G1266" i="8"/>
  <c r="G1267" i="8"/>
  <c r="G1268" i="8"/>
  <c r="G1269" i="8"/>
  <c r="G1270" i="8"/>
  <c r="G1272" i="8"/>
  <c r="G1273" i="8"/>
  <c r="G1274" i="8"/>
  <c r="G1275" i="8"/>
  <c r="G1277" i="8"/>
  <c r="G1278" i="8"/>
  <c r="G1279" i="8"/>
  <c r="G1280" i="8"/>
  <c r="G1281" i="8"/>
  <c r="G1282" i="8"/>
  <c r="G1283" i="8"/>
  <c r="G1284" i="8"/>
  <c r="G1285" i="8"/>
  <c r="G1286" i="8"/>
  <c r="G1287" i="8"/>
  <c r="G1288" i="8"/>
  <c r="G1289" i="8"/>
  <c r="G1290" i="8"/>
  <c r="G1291" i="8"/>
  <c r="G1292" i="8"/>
  <c r="G1293" i="8"/>
  <c r="G1294" i="8"/>
  <c r="G1295" i="8"/>
  <c r="G1296" i="8"/>
  <c r="G1297" i="8"/>
  <c r="G1298" i="8"/>
  <c r="G1300" i="8"/>
  <c r="G1301" i="8"/>
  <c r="G1302" i="8"/>
  <c r="G1305" i="8"/>
  <c r="G1306" i="8"/>
  <c r="G1307" i="8"/>
  <c r="G1308" i="8"/>
  <c r="G1309" i="8"/>
  <c r="G1310" i="8"/>
  <c r="G1311" i="8"/>
  <c r="G1312" i="8"/>
  <c r="G1313" i="8"/>
  <c r="G1314" i="8"/>
  <c r="G1315" i="8"/>
  <c r="G1316" i="8"/>
  <c r="G1317" i="8"/>
  <c r="G1318" i="8"/>
  <c r="G1319" i="8"/>
  <c r="G1320" i="8"/>
  <c r="G1321" i="8"/>
  <c r="G1322" i="8"/>
  <c r="G1323" i="8"/>
  <c r="G1324" i="8"/>
  <c r="G1325" i="8"/>
  <c r="G1326" i="8"/>
  <c r="G1327" i="8"/>
  <c r="G1328" i="8"/>
  <c r="G1330" i="8"/>
  <c r="G1331" i="8"/>
  <c r="G1332" i="8"/>
  <c r="G1333" i="8"/>
  <c r="G1334" i="8"/>
  <c r="G1335" i="8"/>
  <c r="G1336" i="8"/>
  <c r="G1337" i="8"/>
  <c r="G1338" i="8"/>
  <c r="G1339" i="8"/>
  <c r="G1340" i="8"/>
  <c r="G1341" i="8"/>
  <c r="G1342" i="8"/>
  <c r="G1343" i="8"/>
  <c r="G1344" i="8"/>
  <c r="G1345" i="8"/>
  <c r="G1346" i="8"/>
  <c r="G1347" i="8"/>
  <c r="G1348" i="8"/>
  <c r="G1349" i="8"/>
  <c r="G1350" i="8"/>
  <c r="G1351" i="8"/>
  <c r="G1352" i="8"/>
  <c r="G1353" i="8"/>
  <c r="G1354" i="8"/>
  <c r="G1355" i="8"/>
  <c r="G1356" i="8"/>
  <c r="G1357" i="8"/>
  <c r="G1358" i="8"/>
  <c r="G1359" i="8"/>
  <c r="G1360" i="8"/>
  <c r="G1361" i="8"/>
  <c r="G1362" i="8"/>
  <c r="G1363" i="8"/>
  <c r="G1364" i="8"/>
  <c r="G1365" i="8"/>
  <c r="G1366" i="8"/>
  <c r="G1367" i="8"/>
  <c r="G1368" i="8"/>
  <c r="G1369" i="8"/>
  <c r="G1370" i="8"/>
  <c r="G1371" i="8"/>
  <c r="G1372" i="8"/>
  <c r="G1373" i="8"/>
  <c r="G1374" i="8"/>
  <c r="G1375" i="8"/>
  <c r="G1376" i="8"/>
  <c r="G1377" i="8"/>
  <c r="G1378" i="8"/>
  <c r="G1379" i="8"/>
  <c r="G1380" i="8"/>
  <c r="G1381" i="8"/>
  <c r="G1382" i="8"/>
  <c r="G1383" i="8"/>
  <c r="G1384" i="8"/>
  <c r="G1385" i="8"/>
  <c r="G1386" i="8"/>
  <c r="G1387" i="8"/>
  <c r="G1388" i="8"/>
  <c r="G1389" i="8"/>
  <c r="G1390" i="8"/>
  <c r="G1391" i="8"/>
  <c r="G1392" i="8"/>
  <c r="G1393" i="8"/>
  <c r="G1394" i="8"/>
  <c r="G1395" i="8"/>
  <c r="G1396" i="8"/>
  <c r="G1397" i="8"/>
  <c r="G1398" i="8"/>
  <c r="G1399" i="8"/>
  <c r="G1400" i="8"/>
  <c r="G1401" i="8"/>
  <c r="G1402" i="8"/>
  <c r="G1403" i="8"/>
  <c r="G1404" i="8"/>
  <c r="G1405" i="8"/>
  <c r="G1406" i="8"/>
  <c r="G1407" i="8"/>
  <c r="G1408" i="8"/>
  <c r="G1409" i="8"/>
  <c r="G1410" i="8"/>
  <c r="G1411" i="8"/>
  <c r="G1412" i="8"/>
  <c r="G1413" i="8"/>
  <c r="G1414" i="8"/>
  <c r="G1415" i="8"/>
  <c r="G1416" i="8"/>
  <c r="G1417" i="8"/>
  <c r="G1418" i="8"/>
  <c r="G1419" i="8"/>
  <c r="G1420" i="8"/>
  <c r="G1421" i="8"/>
  <c r="G1422" i="8"/>
  <c r="G1423" i="8"/>
  <c r="G1424" i="8"/>
  <c r="G1425" i="8"/>
  <c r="G1426" i="8"/>
  <c r="G1427" i="8"/>
  <c r="G1428" i="8"/>
  <c r="G1429" i="8"/>
  <c r="G1431" i="8"/>
  <c r="G1432" i="8"/>
  <c r="G1433" i="8"/>
  <c r="G1434" i="8"/>
  <c r="G1435" i="8"/>
  <c r="G1436" i="8"/>
  <c r="G1437" i="8"/>
  <c r="G1438" i="8"/>
  <c r="G1439" i="8"/>
  <c r="G1440" i="8"/>
  <c r="G1441" i="8"/>
  <c r="G1442" i="8"/>
  <c r="G1443" i="8"/>
  <c r="G1444" i="8"/>
  <c r="G1446" i="8"/>
  <c r="G1447" i="8"/>
  <c r="G1448" i="8"/>
  <c r="G1449" i="8"/>
  <c r="G1450" i="8"/>
  <c r="G1451" i="8"/>
  <c r="G1452" i="8"/>
  <c r="G1453" i="8"/>
  <c r="G1454" i="8"/>
  <c r="G1455" i="8"/>
  <c r="G1456" i="8"/>
  <c r="G1457" i="8"/>
  <c r="G1459" i="8"/>
  <c r="G1460" i="8"/>
  <c r="G1461" i="8"/>
  <c r="G1462" i="8"/>
  <c r="G1463" i="8"/>
  <c r="G1464" i="8"/>
  <c r="G1465" i="8"/>
  <c r="G1466" i="8"/>
  <c r="G1467" i="8"/>
  <c r="G1468" i="8"/>
  <c r="G1469" i="8"/>
  <c r="G1470" i="8"/>
  <c r="G1472" i="8"/>
  <c r="G1474" i="8"/>
  <c r="G1475" i="8"/>
  <c r="G1477" i="8"/>
  <c r="G1478" i="8"/>
  <c r="G1479" i="8"/>
  <c r="G1480" i="8"/>
  <c r="G1481" i="8"/>
  <c r="G1482" i="8"/>
  <c r="G1483" i="8"/>
  <c r="G1484" i="8"/>
  <c r="G1485" i="8"/>
  <c r="G1486" i="8"/>
  <c r="G1487" i="8"/>
  <c r="G1488" i="8"/>
  <c r="G1489" i="8"/>
  <c r="G1490" i="8"/>
  <c r="G1491" i="8"/>
  <c r="G1492" i="8"/>
  <c r="G1493" i="8"/>
  <c r="G1494" i="8"/>
  <c r="G1495" i="8"/>
  <c r="G1496" i="8"/>
  <c r="G1497" i="8"/>
  <c r="G1498" i="8"/>
  <c r="G1499" i="8"/>
  <c r="G1500" i="8"/>
  <c r="G1501" i="8"/>
  <c r="G1502" i="8"/>
  <c r="G1503" i="8"/>
  <c r="G1504" i="8"/>
  <c r="G1505" i="8"/>
  <c r="G1506" i="8"/>
  <c r="G1507" i="8"/>
  <c r="G1508" i="8"/>
  <c r="G1509" i="8"/>
  <c r="G1510" i="8"/>
  <c r="G1511" i="8"/>
  <c r="G1512" i="8"/>
  <c r="G1513" i="8"/>
  <c r="G1514" i="8"/>
  <c r="G1515" i="8"/>
  <c r="G1516" i="8"/>
  <c r="G1517" i="8"/>
  <c r="G1518" i="8"/>
  <c r="G1519" i="8"/>
  <c r="G1520" i="8"/>
  <c r="G1521" i="8"/>
  <c r="G1522" i="8"/>
  <c r="G1523" i="8"/>
  <c r="G1524" i="8"/>
  <c r="G1525" i="8"/>
  <c r="G1526" i="8"/>
  <c r="G1527" i="8"/>
  <c r="G1528" i="8"/>
  <c r="G1529" i="8"/>
  <c r="G1530" i="8"/>
  <c r="G1531" i="8"/>
  <c r="G1532" i="8"/>
  <c r="G1533" i="8"/>
  <c r="G1534" i="8"/>
  <c r="G1535" i="8"/>
  <c r="G1536" i="8"/>
  <c r="G1537" i="8"/>
  <c r="G1538" i="8"/>
  <c r="G1539" i="8"/>
  <c r="G1540" i="8"/>
  <c r="G1541" i="8"/>
  <c r="G1542" i="8"/>
  <c r="G1543" i="8"/>
  <c r="G1544" i="8"/>
  <c r="G1545" i="8"/>
  <c r="G1546" i="8"/>
  <c r="G1547" i="8"/>
  <c r="G1548" i="8"/>
  <c r="G1550" i="8"/>
  <c r="G1551" i="8"/>
  <c r="G1552" i="8"/>
  <c r="G1553" i="8"/>
  <c r="G1554" i="8"/>
  <c r="G1556" i="8"/>
  <c r="G1557" i="8"/>
  <c r="G1558" i="8"/>
  <c r="G1559" i="8"/>
  <c r="G1560" i="8"/>
  <c r="F2" i="8"/>
  <c r="F3" i="8"/>
  <c r="F4" i="8"/>
  <c r="F5" i="8"/>
  <c r="F6" i="8"/>
  <c r="F7" i="8"/>
  <c r="F8" i="8"/>
  <c r="F9" i="8"/>
  <c r="F10" i="8"/>
  <c r="F11" i="8"/>
  <c r="F12" i="8"/>
  <c r="F13" i="8"/>
  <c r="F14" i="8"/>
  <c r="F15" i="8"/>
  <c r="F16" i="8"/>
  <c r="F17" i="8"/>
  <c r="F18" i="8"/>
  <c r="F19" i="8"/>
  <c r="F20" i="8"/>
  <c r="F21" i="8"/>
  <c r="F22" i="8"/>
  <c r="F23" i="8"/>
  <c r="F24" i="8"/>
  <c r="F25" i="8"/>
  <c r="F26" i="8"/>
  <c r="F27" i="8"/>
  <c r="F28" i="8"/>
  <c r="F29" i="8"/>
  <c r="F30" i="8"/>
  <c r="F31" i="8"/>
  <c r="F32" i="8"/>
  <c r="F33" i="8"/>
  <c r="F34" i="8"/>
  <c r="F35" i="8"/>
  <c r="F36" i="8"/>
  <c r="F37" i="8"/>
  <c r="F38" i="8"/>
  <c r="F39" i="8"/>
  <c r="F40" i="8"/>
  <c r="F41" i="8"/>
  <c r="F42" i="8"/>
  <c r="F43" i="8"/>
  <c r="F44" i="8"/>
  <c r="F45" i="8"/>
  <c r="F46" i="8"/>
  <c r="F47" i="8"/>
  <c r="F48" i="8"/>
  <c r="F49" i="8"/>
  <c r="F50" i="8"/>
  <c r="F51" i="8"/>
  <c r="F52" i="8"/>
  <c r="F53" i="8"/>
  <c r="F54" i="8"/>
  <c r="F55" i="8"/>
  <c r="F56" i="8"/>
  <c r="F57" i="8"/>
  <c r="F58" i="8"/>
  <c r="F59" i="8"/>
  <c r="F60" i="8"/>
  <c r="F61" i="8"/>
  <c r="F62" i="8"/>
  <c r="F63" i="8"/>
  <c r="F64" i="8"/>
  <c r="F65" i="8"/>
  <c r="F66" i="8"/>
  <c r="F67" i="8"/>
  <c r="F68" i="8"/>
  <c r="F69" i="8"/>
  <c r="F70" i="8"/>
  <c r="F71" i="8"/>
  <c r="F72" i="8"/>
  <c r="F73" i="8"/>
  <c r="F74" i="8"/>
  <c r="F75" i="8"/>
  <c r="F76" i="8"/>
  <c r="F77" i="8"/>
  <c r="F78" i="8"/>
  <c r="F79" i="8"/>
  <c r="F80" i="8"/>
  <c r="F81" i="8"/>
  <c r="F82" i="8"/>
  <c r="F83" i="8"/>
  <c r="F84" i="8"/>
  <c r="F85" i="8"/>
  <c r="F86" i="8"/>
  <c r="F87" i="8"/>
  <c r="F88" i="8"/>
  <c r="F89" i="8"/>
  <c r="F90" i="8"/>
  <c r="F91" i="8"/>
  <c r="F92" i="8"/>
  <c r="F93" i="8"/>
  <c r="F94" i="8"/>
  <c r="F95" i="8"/>
  <c r="F96" i="8"/>
  <c r="F97" i="8"/>
  <c r="F98" i="8"/>
  <c r="F99" i="8"/>
  <c r="F100" i="8"/>
  <c r="F101" i="8"/>
  <c r="F102" i="8"/>
  <c r="F103" i="8"/>
  <c r="F104" i="8"/>
  <c r="F105" i="8"/>
  <c r="F106" i="8"/>
  <c r="F107" i="8"/>
  <c r="F108" i="8"/>
  <c r="F109" i="8"/>
  <c r="F110" i="8"/>
  <c r="F111" i="8"/>
  <c r="F112" i="8"/>
  <c r="F113" i="8"/>
  <c r="F114" i="8"/>
  <c r="F115" i="8"/>
  <c r="F116" i="8"/>
  <c r="F117" i="8"/>
  <c r="F118" i="8"/>
  <c r="F119" i="8"/>
  <c r="F120" i="8"/>
  <c r="F121" i="8"/>
  <c r="F122" i="8"/>
  <c r="F123" i="8"/>
  <c r="F124" i="8"/>
  <c r="F125" i="8"/>
  <c r="F126" i="8"/>
  <c r="F127" i="8"/>
  <c r="F128" i="8"/>
  <c r="F129" i="8"/>
  <c r="F130" i="8"/>
  <c r="F131" i="8"/>
  <c r="F132" i="8"/>
  <c r="F133" i="8"/>
  <c r="F134" i="8"/>
  <c r="F135" i="8"/>
  <c r="F136" i="8"/>
  <c r="F137" i="8"/>
  <c r="F138" i="8"/>
  <c r="F139" i="8"/>
  <c r="F140" i="8"/>
  <c r="F141" i="8"/>
  <c r="F142" i="8"/>
  <c r="F143" i="8"/>
  <c r="F144" i="8"/>
  <c r="F145" i="8"/>
  <c r="F146" i="8"/>
  <c r="F147" i="8"/>
  <c r="F148" i="8"/>
  <c r="F149" i="8"/>
  <c r="F150" i="8"/>
  <c r="F151" i="8"/>
  <c r="F152" i="8"/>
  <c r="F153" i="8"/>
  <c r="F154" i="8"/>
  <c r="F155" i="8"/>
  <c r="F156" i="8"/>
  <c r="F157" i="8"/>
  <c r="F158" i="8"/>
  <c r="F159" i="8"/>
  <c r="F160" i="8"/>
  <c r="F161" i="8"/>
  <c r="F162" i="8"/>
  <c r="F163" i="8"/>
  <c r="F164" i="8"/>
  <c r="F165" i="8"/>
  <c r="F166" i="8"/>
  <c r="F167" i="8"/>
  <c r="F168" i="8"/>
  <c r="F169" i="8"/>
  <c r="F170" i="8"/>
  <c r="F171" i="8"/>
  <c r="F172" i="8"/>
  <c r="F173" i="8"/>
  <c r="F174" i="8"/>
  <c r="F175" i="8"/>
  <c r="F176" i="8"/>
  <c r="F177" i="8"/>
  <c r="F178" i="8"/>
  <c r="F179" i="8"/>
  <c r="F180" i="8"/>
  <c r="F181" i="8"/>
  <c r="F182" i="8"/>
  <c r="F183" i="8"/>
  <c r="F184" i="8"/>
  <c r="F185" i="8"/>
  <c r="F186" i="8"/>
  <c r="F187" i="8"/>
  <c r="F188" i="8"/>
  <c r="F189" i="8"/>
  <c r="F190" i="8"/>
  <c r="F191" i="8"/>
  <c r="F192" i="8"/>
  <c r="F193" i="8"/>
  <c r="F194" i="8"/>
  <c r="F195" i="8"/>
  <c r="F196" i="8"/>
  <c r="F197" i="8"/>
  <c r="F198" i="8"/>
  <c r="F199" i="8"/>
  <c r="F200" i="8"/>
  <c r="F201" i="8"/>
  <c r="F202" i="8"/>
  <c r="F203" i="8"/>
  <c r="F204" i="8"/>
  <c r="F205" i="8"/>
  <c r="F206" i="8"/>
  <c r="F207" i="8"/>
  <c r="F208" i="8"/>
  <c r="F209" i="8"/>
  <c r="F210" i="8"/>
  <c r="F211" i="8"/>
  <c r="F212" i="8"/>
  <c r="F213" i="8"/>
  <c r="F214" i="8"/>
  <c r="F215" i="8"/>
  <c r="F216" i="8"/>
  <c r="F217" i="8"/>
  <c r="F218" i="8"/>
  <c r="F219" i="8"/>
  <c r="F220" i="8"/>
  <c r="F221" i="8"/>
  <c r="F222" i="8"/>
  <c r="F223" i="8"/>
  <c r="F224" i="8"/>
  <c r="F225" i="8"/>
  <c r="F226" i="8"/>
  <c r="F227" i="8"/>
  <c r="F228" i="8"/>
  <c r="F229" i="8"/>
  <c r="F230" i="8"/>
  <c r="F231" i="8"/>
  <c r="F232" i="8"/>
  <c r="F233" i="8"/>
  <c r="F234" i="8"/>
  <c r="F235" i="8"/>
  <c r="F236" i="8"/>
  <c r="F237" i="8"/>
  <c r="F238" i="8"/>
  <c r="F239" i="8"/>
  <c r="F240" i="8"/>
  <c r="F241" i="8"/>
  <c r="F242" i="8"/>
  <c r="F243" i="8"/>
  <c r="F244" i="8"/>
  <c r="F245" i="8"/>
  <c r="F246" i="8"/>
  <c r="F247" i="8"/>
  <c r="F248" i="8"/>
  <c r="F249" i="8"/>
  <c r="F250" i="8"/>
  <c r="F251" i="8"/>
  <c r="F252" i="8"/>
  <c r="F253" i="8"/>
  <c r="F254" i="8"/>
  <c r="F255" i="8"/>
  <c r="F256" i="8"/>
  <c r="F257" i="8"/>
  <c r="F258" i="8"/>
  <c r="F259" i="8"/>
  <c r="F260" i="8"/>
  <c r="F261" i="8"/>
  <c r="F262" i="8"/>
  <c r="F263" i="8"/>
  <c r="F264" i="8"/>
  <c r="F265" i="8"/>
  <c r="F266" i="8"/>
  <c r="F267" i="8"/>
  <c r="F268" i="8"/>
  <c r="F269" i="8"/>
  <c r="F270" i="8"/>
  <c r="F271" i="8"/>
  <c r="F272" i="8"/>
  <c r="F273" i="8"/>
  <c r="F274" i="8"/>
  <c r="F275" i="8"/>
  <c r="F276" i="8"/>
  <c r="F277" i="8"/>
  <c r="F278" i="8"/>
  <c r="F279" i="8"/>
  <c r="F280" i="8"/>
  <c r="F281" i="8"/>
  <c r="F282" i="8"/>
  <c r="F283" i="8"/>
  <c r="F284" i="8"/>
  <c r="F285" i="8"/>
  <c r="F286" i="8"/>
  <c r="F287" i="8"/>
  <c r="F288" i="8"/>
  <c r="F289" i="8"/>
  <c r="F290" i="8"/>
  <c r="F291" i="8"/>
  <c r="F292" i="8"/>
  <c r="F293" i="8"/>
  <c r="F294" i="8"/>
  <c r="F295" i="8"/>
  <c r="F296" i="8"/>
  <c r="F297" i="8"/>
  <c r="F298" i="8"/>
  <c r="F299" i="8"/>
  <c r="F300" i="8"/>
  <c r="F301" i="8"/>
  <c r="F302" i="8"/>
  <c r="F303" i="8"/>
  <c r="F304" i="8"/>
  <c r="F305" i="8"/>
  <c r="F306" i="8"/>
  <c r="F307" i="8"/>
  <c r="F308" i="8"/>
  <c r="F309" i="8"/>
  <c r="F310" i="8"/>
  <c r="F311" i="8"/>
  <c r="F312" i="8"/>
  <c r="F313" i="8"/>
  <c r="F314" i="8"/>
  <c r="F315" i="8"/>
  <c r="F316" i="8"/>
  <c r="F317" i="8"/>
  <c r="F318" i="8"/>
  <c r="F319" i="8"/>
  <c r="F320" i="8"/>
  <c r="F321" i="8"/>
  <c r="F322" i="8"/>
  <c r="F323" i="8"/>
  <c r="F324" i="8"/>
  <c r="F325" i="8"/>
  <c r="F326" i="8"/>
  <c r="F327" i="8"/>
  <c r="F328" i="8"/>
  <c r="F329" i="8"/>
  <c r="F330" i="8"/>
  <c r="F331" i="8"/>
  <c r="F332" i="8"/>
  <c r="F333" i="8"/>
  <c r="F334" i="8"/>
  <c r="F335" i="8"/>
  <c r="F336" i="8"/>
  <c r="F337" i="8"/>
  <c r="F338" i="8"/>
  <c r="F339" i="8"/>
  <c r="F340" i="8"/>
  <c r="F341" i="8"/>
  <c r="F342" i="8"/>
  <c r="F343" i="8"/>
  <c r="F344" i="8"/>
  <c r="F345" i="8"/>
  <c r="F346" i="8"/>
  <c r="F347" i="8"/>
  <c r="F348" i="8"/>
  <c r="F349" i="8"/>
  <c r="F350" i="8"/>
  <c r="F351" i="8"/>
  <c r="F352" i="8"/>
  <c r="F353" i="8"/>
  <c r="F354" i="8"/>
  <c r="F355" i="8"/>
  <c r="F356" i="8"/>
  <c r="F357" i="8"/>
  <c r="F358" i="8"/>
  <c r="F359" i="8"/>
  <c r="F360" i="8"/>
  <c r="F361" i="8"/>
  <c r="F362" i="8"/>
  <c r="F363" i="8"/>
  <c r="F364" i="8"/>
  <c r="F365" i="8"/>
  <c r="F366" i="8"/>
  <c r="F367" i="8"/>
  <c r="F368" i="8"/>
  <c r="F369" i="8"/>
  <c r="F370" i="8"/>
  <c r="F371" i="8"/>
  <c r="F372" i="8"/>
  <c r="F373" i="8"/>
  <c r="F374" i="8"/>
  <c r="F375" i="8"/>
  <c r="F376" i="8"/>
  <c r="F377" i="8"/>
  <c r="F378" i="8"/>
  <c r="F379" i="8"/>
  <c r="F380" i="8"/>
  <c r="F381" i="8"/>
  <c r="F382" i="8"/>
  <c r="F383" i="8"/>
  <c r="F384" i="8"/>
  <c r="F385" i="8"/>
  <c r="F386" i="8"/>
  <c r="F387" i="8"/>
  <c r="F388" i="8"/>
  <c r="F389" i="8"/>
  <c r="F390" i="8"/>
  <c r="F391" i="8"/>
  <c r="F392" i="8"/>
  <c r="F393" i="8"/>
  <c r="F394" i="8"/>
  <c r="F395" i="8"/>
  <c r="F396" i="8"/>
  <c r="F397" i="8"/>
  <c r="F398" i="8"/>
  <c r="F399" i="8"/>
  <c r="F400" i="8"/>
  <c r="F401" i="8"/>
  <c r="F402" i="8"/>
  <c r="F403" i="8"/>
  <c r="F404" i="8"/>
  <c r="F405" i="8"/>
  <c r="F406" i="8"/>
  <c r="F407" i="8"/>
  <c r="F408" i="8"/>
  <c r="F409" i="8"/>
  <c r="F410" i="8"/>
  <c r="F411" i="8"/>
  <c r="F412" i="8"/>
  <c r="F413" i="8"/>
  <c r="F414" i="8"/>
  <c r="F415" i="8"/>
  <c r="F416" i="8"/>
  <c r="F417" i="8"/>
  <c r="F418" i="8"/>
  <c r="F419" i="8"/>
  <c r="F420" i="8"/>
  <c r="F421" i="8"/>
  <c r="F422" i="8"/>
  <c r="F423" i="8"/>
  <c r="F424" i="8"/>
  <c r="F425" i="8"/>
  <c r="F426" i="8"/>
  <c r="F427" i="8"/>
  <c r="F428" i="8"/>
  <c r="F429" i="8"/>
  <c r="F430" i="8"/>
  <c r="F431" i="8"/>
  <c r="F432" i="8"/>
  <c r="F433" i="8"/>
  <c r="F434" i="8"/>
  <c r="F435" i="8"/>
  <c r="F436" i="8"/>
  <c r="F437" i="8"/>
  <c r="F438" i="8"/>
  <c r="F439" i="8"/>
  <c r="F440" i="8"/>
  <c r="F441" i="8"/>
  <c r="F442" i="8"/>
  <c r="F443" i="8"/>
  <c r="F444" i="8"/>
  <c r="F445" i="8"/>
  <c r="F446" i="8"/>
  <c r="F447" i="8"/>
  <c r="F448" i="8"/>
  <c r="F449" i="8"/>
  <c r="F450" i="8"/>
  <c r="F451" i="8"/>
  <c r="F452" i="8"/>
  <c r="F453" i="8"/>
  <c r="F454" i="8"/>
  <c r="F455" i="8"/>
  <c r="F456" i="8"/>
  <c r="F457" i="8"/>
  <c r="F458" i="8"/>
  <c r="F459" i="8"/>
  <c r="F460" i="8"/>
  <c r="F461" i="8"/>
  <c r="F462" i="8"/>
  <c r="F463" i="8"/>
  <c r="F464" i="8"/>
  <c r="F465" i="8"/>
  <c r="F466" i="8"/>
  <c r="F467" i="8"/>
  <c r="F468" i="8"/>
  <c r="F469" i="8"/>
  <c r="F470" i="8"/>
  <c r="F471" i="8"/>
  <c r="F472" i="8"/>
  <c r="F473" i="8"/>
  <c r="F474" i="8"/>
  <c r="F475" i="8"/>
  <c r="F476" i="8"/>
  <c r="F477" i="8"/>
  <c r="F478" i="8"/>
  <c r="F479" i="8"/>
  <c r="F480" i="8"/>
  <c r="F481" i="8"/>
  <c r="F482" i="8"/>
  <c r="F483" i="8"/>
  <c r="F484" i="8"/>
  <c r="F485" i="8"/>
  <c r="F486" i="8"/>
  <c r="F487" i="8"/>
  <c r="F488" i="8"/>
  <c r="F489" i="8"/>
  <c r="F490" i="8"/>
  <c r="F491" i="8"/>
  <c r="F492" i="8"/>
  <c r="F493" i="8"/>
  <c r="F494" i="8"/>
  <c r="F495" i="8"/>
  <c r="F496" i="8"/>
  <c r="F497" i="8"/>
  <c r="F498" i="8"/>
  <c r="F499" i="8"/>
  <c r="F500" i="8"/>
  <c r="F501" i="8"/>
  <c r="F502" i="8"/>
  <c r="F503" i="8"/>
  <c r="F504" i="8"/>
  <c r="F505" i="8"/>
  <c r="F506" i="8"/>
  <c r="F507" i="8"/>
  <c r="F508" i="8"/>
  <c r="F509" i="8"/>
  <c r="F510" i="8"/>
  <c r="F511" i="8"/>
  <c r="F512" i="8"/>
  <c r="F513" i="8"/>
  <c r="F514" i="8"/>
  <c r="F515" i="8"/>
  <c r="F516" i="8"/>
  <c r="F517" i="8"/>
  <c r="F518" i="8"/>
  <c r="F519" i="8"/>
  <c r="F520" i="8"/>
  <c r="F521" i="8"/>
  <c r="F522" i="8"/>
  <c r="F523" i="8"/>
  <c r="F524" i="8"/>
  <c r="F525" i="8"/>
  <c r="F526" i="8"/>
  <c r="F527" i="8"/>
  <c r="F528" i="8"/>
  <c r="F529" i="8"/>
  <c r="F530" i="8"/>
  <c r="F531" i="8"/>
  <c r="F532" i="8"/>
  <c r="F533" i="8"/>
  <c r="F534" i="8"/>
  <c r="F535" i="8"/>
  <c r="F536" i="8"/>
  <c r="F537" i="8"/>
  <c r="F538" i="8"/>
  <c r="F539" i="8"/>
  <c r="F540" i="8"/>
  <c r="F541" i="8"/>
  <c r="F542" i="8"/>
  <c r="F543" i="8"/>
  <c r="F544" i="8"/>
  <c r="F545" i="8"/>
  <c r="F546" i="8"/>
  <c r="F547" i="8"/>
  <c r="F548" i="8"/>
  <c r="F549" i="8"/>
  <c r="F550" i="8"/>
  <c r="F551" i="8"/>
  <c r="F552" i="8"/>
  <c r="F553" i="8"/>
  <c r="F554" i="8"/>
  <c r="F555" i="8"/>
  <c r="F556" i="8"/>
  <c r="F557" i="8"/>
  <c r="F558" i="8"/>
  <c r="F559" i="8"/>
  <c r="F560" i="8"/>
  <c r="F561" i="8"/>
  <c r="F562" i="8"/>
  <c r="F563" i="8"/>
  <c r="F564" i="8"/>
  <c r="F565" i="8"/>
  <c r="F566" i="8"/>
  <c r="F567" i="8"/>
  <c r="F568" i="8"/>
  <c r="F569" i="8"/>
  <c r="F570" i="8"/>
  <c r="F571" i="8"/>
  <c r="F572" i="8"/>
  <c r="F573" i="8"/>
  <c r="F574" i="8"/>
  <c r="F575" i="8"/>
  <c r="F576" i="8"/>
  <c r="F577" i="8"/>
  <c r="F578" i="8"/>
  <c r="F579" i="8"/>
  <c r="F580" i="8"/>
  <c r="F581" i="8"/>
  <c r="F582" i="8"/>
  <c r="F583" i="8"/>
  <c r="F584" i="8"/>
  <c r="F585" i="8"/>
  <c r="F586" i="8"/>
  <c r="F587" i="8"/>
  <c r="F588" i="8"/>
  <c r="F589" i="8"/>
  <c r="F590" i="8"/>
  <c r="F591" i="8"/>
  <c r="F592" i="8"/>
  <c r="F593" i="8"/>
  <c r="F594" i="8"/>
  <c r="F595" i="8"/>
  <c r="F596" i="8"/>
  <c r="F597" i="8"/>
  <c r="F598" i="8"/>
  <c r="F599" i="8"/>
  <c r="F600" i="8"/>
  <c r="F601" i="8"/>
  <c r="F602" i="8"/>
  <c r="F603" i="8"/>
  <c r="F604" i="8"/>
  <c r="F605" i="8"/>
  <c r="F606" i="8"/>
  <c r="F607" i="8"/>
  <c r="F608" i="8"/>
  <c r="F609" i="8"/>
  <c r="F610" i="8"/>
  <c r="F611" i="8"/>
  <c r="F612" i="8"/>
  <c r="F613" i="8"/>
  <c r="F614" i="8"/>
  <c r="F615" i="8"/>
  <c r="F616" i="8"/>
  <c r="F617" i="8"/>
  <c r="F618" i="8"/>
  <c r="F619" i="8"/>
  <c r="F620" i="8"/>
  <c r="F621" i="8"/>
  <c r="F622" i="8"/>
  <c r="F623" i="8"/>
  <c r="F624" i="8"/>
  <c r="F625" i="8"/>
  <c r="F626" i="8"/>
  <c r="F627" i="8"/>
  <c r="F628" i="8"/>
  <c r="F629" i="8"/>
  <c r="F630" i="8"/>
  <c r="F631" i="8"/>
  <c r="F632" i="8"/>
  <c r="F633" i="8"/>
  <c r="F634" i="8"/>
  <c r="F635" i="8"/>
  <c r="F636" i="8"/>
  <c r="F637" i="8"/>
  <c r="F638" i="8"/>
  <c r="F639" i="8"/>
  <c r="F640" i="8"/>
  <c r="F641" i="8"/>
  <c r="F642" i="8"/>
  <c r="F643" i="8"/>
  <c r="F644" i="8"/>
  <c r="F645" i="8"/>
  <c r="F646" i="8"/>
  <c r="F647" i="8"/>
  <c r="F648" i="8"/>
  <c r="F649" i="8"/>
  <c r="F650" i="8"/>
  <c r="F651" i="8"/>
  <c r="F652" i="8"/>
  <c r="F653" i="8"/>
  <c r="F654" i="8"/>
  <c r="F655" i="8"/>
  <c r="F656" i="8"/>
  <c r="F657" i="8"/>
  <c r="F658" i="8"/>
  <c r="F659" i="8"/>
  <c r="F660" i="8"/>
  <c r="F661" i="8"/>
  <c r="F662" i="8"/>
  <c r="F663" i="8"/>
  <c r="F664" i="8"/>
  <c r="F665" i="8"/>
  <c r="F666" i="8"/>
  <c r="F667" i="8"/>
  <c r="F668" i="8"/>
  <c r="F669" i="8"/>
  <c r="F670" i="8"/>
  <c r="F671" i="8"/>
  <c r="F672" i="8"/>
  <c r="F673" i="8"/>
  <c r="F674" i="8"/>
  <c r="F675" i="8"/>
  <c r="F676" i="8"/>
  <c r="F677" i="8"/>
  <c r="F678" i="8"/>
  <c r="F679" i="8"/>
  <c r="F680" i="8"/>
  <c r="F681" i="8"/>
  <c r="F682" i="8"/>
  <c r="F683" i="8"/>
  <c r="F684" i="8"/>
  <c r="F685" i="8"/>
  <c r="F686" i="8"/>
  <c r="F687" i="8"/>
  <c r="F688" i="8"/>
  <c r="F689" i="8"/>
  <c r="F690" i="8"/>
  <c r="F691" i="8"/>
  <c r="F692" i="8"/>
  <c r="F693" i="8"/>
  <c r="F694" i="8"/>
  <c r="F695" i="8"/>
  <c r="F696" i="8"/>
  <c r="F697" i="8"/>
  <c r="F698" i="8"/>
  <c r="F699" i="8"/>
  <c r="F700" i="8"/>
  <c r="F701" i="8"/>
  <c r="F702" i="8"/>
  <c r="F703" i="8"/>
  <c r="F704" i="8"/>
  <c r="F705" i="8"/>
  <c r="F706" i="8"/>
  <c r="F707" i="8"/>
  <c r="F708" i="8"/>
  <c r="F709" i="8"/>
  <c r="F710" i="8"/>
  <c r="F711" i="8"/>
  <c r="F712" i="8"/>
  <c r="F713" i="8"/>
  <c r="F714" i="8"/>
  <c r="F715" i="8"/>
  <c r="F716" i="8"/>
  <c r="F717" i="8"/>
  <c r="F718" i="8"/>
  <c r="F719" i="8"/>
  <c r="F720" i="8"/>
  <c r="F721" i="8"/>
  <c r="F722" i="8"/>
  <c r="F723" i="8"/>
  <c r="F724" i="8"/>
  <c r="F725" i="8"/>
  <c r="F726" i="8"/>
  <c r="F727" i="8"/>
  <c r="F728" i="8"/>
  <c r="F729" i="8"/>
  <c r="F730" i="8"/>
  <c r="F731" i="8"/>
  <c r="F732" i="8"/>
  <c r="F733" i="8"/>
  <c r="F734" i="8"/>
  <c r="F735" i="8"/>
  <c r="F736" i="8"/>
  <c r="F737" i="8"/>
  <c r="F738" i="8"/>
  <c r="F739" i="8"/>
  <c r="F740" i="8"/>
  <c r="F741" i="8"/>
  <c r="F742" i="8"/>
  <c r="F743" i="8"/>
  <c r="F744" i="8"/>
  <c r="F745" i="8"/>
  <c r="F746" i="8"/>
  <c r="F747" i="8"/>
  <c r="F748" i="8"/>
  <c r="F749" i="8"/>
  <c r="F750" i="8"/>
  <c r="F751" i="8"/>
  <c r="F752" i="8"/>
  <c r="F753" i="8"/>
  <c r="F754" i="8"/>
  <c r="F755" i="8"/>
  <c r="F756" i="8"/>
  <c r="F757" i="8"/>
  <c r="F758" i="8"/>
  <c r="F759" i="8"/>
  <c r="F760" i="8"/>
  <c r="F761" i="8"/>
  <c r="F762" i="8"/>
  <c r="F763" i="8"/>
  <c r="F764" i="8"/>
  <c r="F765" i="8"/>
  <c r="F766" i="8"/>
  <c r="F767" i="8"/>
  <c r="F768" i="8"/>
  <c r="F769" i="8"/>
  <c r="F770" i="8"/>
  <c r="F771" i="8"/>
  <c r="F772" i="8"/>
  <c r="F773" i="8"/>
  <c r="F774" i="8"/>
  <c r="F775" i="8"/>
  <c r="F776" i="8"/>
  <c r="F777" i="8"/>
  <c r="F778" i="8"/>
  <c r="F779" i="8"/>
  <c r="F780" i="8"/>
  <c r="F781" i="8"/>
  <c r="F782" i="8"/>
  <c r="F783" i="8"/>
  <c r="F784" i="8"/>
  <c r="F785" i="8"/>
  <c r="F786" i="8"/>
  <c r="F787" i="8"/>
  <c r="F788" i="8"/>
  <c r="F789" i="8"/>
  <c r="F790" i="8"/>
  <c r="F791" i="8"/>
  <c r="F792" i="8"/>
  <c r="F793" i="8"/>
  <c r="F794" i="8"/>
  <c r="F795" i="8"/>
  <c r="F796" i="8"/>
  <c r="F797" i="8"/>
  <c r="F798" i="8"/>
  <c r="F799" i="8"/>
  <c r="F800" i="8"/>
  <c r="F801" i="8"/>
  <c r="F802" i="8"/>
  <c r="F803" i="8"/>
  <c r="F804" i="8"/>
  <c r="F805" i="8"/>
  <c r="F806" i="8"/>
  <c r="F807" i="8"/>
  <c r="F808" i="8"/>
  <c r="F809" i="8"/>
  <c r="F810" i="8"/>
  <c r="F811" i="8"/>
  <c r="F812" i="8"/>
  <c r="F813" i="8"/>
  <c r="F814" i="8"/>
  <c r="F815" i="8"/>
  <c r="F816" i="8"/>
  <c r="F817" i="8"/>
  <c r="F818" i="8"/>
  <c r="F819" i="8"/>
  <c r="F820" i="8"/>
  <c r="F821" i="8"/>
  <c r="F822" i="8"/>
  <c r="F823" i="8"/>
  <c r="F824" i="8"/>
  <c r="F825" i="8"/>
  <c r="F826" i="8"/>
  <c r="F827" i="8"/>
  <c r="F828" i="8"/>
  <c r="F829" i="8"/>
  <c r="F830" i="8"/>
  <c r="F831" i="8"/>
  <c r="F832" i="8"/>
  <c r="F833" i="8"/>
  <c r="F834" i="8"/>
  <c r="F835" i="8"/>
  <c r="F836" i="8"/>
  <c r="F837" i="8"/>
  <c r="F838" i="8"/>
  <c r="F839" i="8"/>
  <c r="F840" i="8"/>
  <c r="F841" i="8"/>
  <c r="F842" i="8"/>
  <c r="F843" i="8"/>
  <c r="F844" i="8"/>
  <c r="F845" i="8"/>
  <c r="F846" i="8"/>
  <c r="F847" i="8"/>
  <c r="F848" i="8"/>
  <c r="F849" i="8"/>
  <c r="F850" i="8"/>
  <c r="F851" i="8"/>
  <c r="F852" i="8"/>
  <c r="F853" i="8"/>
  <c r="F854" i="8"/>
  <c r="F855" i="8"/>
  <c r="F856" i="8"/>
  <c r="F857" i="8"/>
  <c r="F858" i="8"/>
  <c r="F859" i="8"/>
  <c r="F860" i="8"/>
  <c r="F861" i="8"/>
  <c r="F862" i="8"/>
  <c r="F863" i="8"/>
  <c r="F864" i="8"/>
  <c r="F865" i="8"/>
  <c r="F866" i="8"/>
  <c r="F867" i="8"/>
  <c r="F868" i="8"/>
  <c r="F869" i="8"/>
  <c r="F870" i="8"/>
  <c r="F871" i="8"/>
  <c r="F872" i="8"/>
  <c r="F873" i="8"/>
  <c r="F874" i="8"/>
  <c r="F875" i="8"/>
  <c r="F876" i="8"/>
  <c r="F877" i="8"/>
  <c r="F878" i="8"/>
  <c r="F879" i="8"/>
  <c r="F880" i="8"/>
  <c r="F881" i="8"/>
  <c r="F882" i="8"/>
  <c r="F883" i="8"/>
  <c r="F884" i="8"/>
  <c r="F885" i="8"/>
  <c r="F886" i="8"/>
  <c r="F887" i="8"/>
  <c r="F888" i="8"/>
  <c r="F889" i="8"/>
  <c r="F890" i="8"/>
  <c r="F891" i="8"/>
  <c r="F892" i="8"/>
  <c r="F893" i="8"/>
  <c r="F894" i="8"/>
  <c r="F895" i="8"/>
  <c r="F896" i="8"/>
  <c r="F897" i="8"/>
  <c r="F898" i="8"/>
  <c r="F899" i="8"/>
  <c r="F900" i="8"/>
  <c r="F901" i="8"/>
  <c r="F902" i="8"/>
  <c r="F903" i="8"/>
  <c r="F904" i="8"/>
  <c r="F905" i="8"/>
  <c r="F906" i="8"/>
  <c r="F907" i="8"/>
  <c r="F908" i="8"/>
  <c r="F909" i="8"/>
  <c r="F910" i="8"/>
  <c r="F911" i="8"/>
  <c r="F912" i="8"/>
  <c r="F913" i="8"/>
  <c r="F914" i="8"/>
  <c r="F915" i="8"/>
  <c r="F916" i="8"/>
  <c r="F917" i="8"/>
  <c r="F918" i="8"/>
  <c r="F919" i="8"/>
  <c r="F920" i="8"/>
  <c r="F921" i="8"/>
  <c r="F922" i="8"/>
  <c r="F923" i="8"/>
  <c r="F924" i="8"/>
  <c r="F925" i="8"/>
  <c r="F926" i="8"/>
  <c r="F927" i="8"/>
  <c r="F928" i="8"/>
  <c r="F929" i="8"/>
  <c r="F930" i="8"/>
  <c r="F931" i="8"/>
  <c r="F932" i="8"/>
  <c r="F933" i="8"/>
  <c r="F934" i="8"/>
  <c r="F935" i="8"/>
  <c r="F936" i="8"/>
  <c r="F937" i="8"/>
  <c r="F938" i="8"/>
  <c r="F939" i="8"/>
  <c r="F940" i="8"/>
  <c r="F941" i="8"/>
  <c r="F942" i="8"/>
  <c r="F943" i="8"/>
  <c r="F944" i="8"/>
  <c r="F945" i="8"/>
  <c r="F946" i="8"/>
  <c r="F947" i="8"/>
  <c r="F948" i="8"/>
  <c r="F949" i="8"/>
  <c r="F950" i="8"/>
  <c r="F951" i="8"/>
  <c r="F952" i="8"/>
  <c r="F953" i="8"/>
  <c r="F954" i="8"/>
  <c r="F955" i="8"/>
  <c r="F956" i="8"/>
  <c r="F957" i="8"/>
  <c r="F958" i="8"/>
  <c r="F959" i="8"/>
  <c r="F960" i="8"/>
  <c r="F961" i="8"/>
  <c r="F962" i="8"/>
  <c r="F963" i="8"/>
  <c r="F964" i="8"/>
  <c r="F965" i="8"/>
  <c r="F966" i="8"/>
  <c r="F967" i="8"/>
  <c r="F968" i="8"/>
  <c r="F969" i="8"/>
  <c r="F970" i="8"/>
  <c r="F971" i="8"/>
  <c r="F972" i="8"/>
  <c r="F973" i="8"/>
  <c r="F974" i="8"/>
  <c r="F975" i="8"/>
  <c r="F976" i="8"/>
  <c r="F977" i="8"/>
  <c r="F978" i="8"/>
  <c r="F979" i="8"/>
  <c r="F980" i="8"/>
  <c r="F981" i="8"/>
  <c r="F982" i="8"/>
  <c r="F983" i="8"/>
  <c r="F984" i="8"/>
  <c r="F985" i="8"/>
  <c r="F986" i="8"/>
  <c r="F987" i="8"/>
  <c r="F988" i="8"/>
  <c r="F989" i="8"/>
  <c r="F990" i="8"/>
  <c r="F991" i="8"/>
  <c r="F992" i="8"/>
  <c r="F993" i="8"/>
  <c r="F994" i="8"/>
  <c r="F995" i="8"/>
  <c r="F996" i="8"/>
  <c r="F997" i="8"/>
  <c r="F998" i="8"/>
  <c r="F999" i="8"/>
  <c r="F1000" i="8"/>
  <c r="F1001" i="8"/>
  <c r="F1002" i="8"/>
  <c r="F1003" i="8"/>
  <c r="F1004" i="8"/>
  <c r="F1005" i="8"/>
  <c r="F1006" i="8"/>
  <c r="F1007" i="8"/>
  <c r="F1008" i="8"/>
  <c r="F1009" i="8"/>
  <c r="F1010" i="8"/>
  <c r="F1011" i="8"/>
  <c r="F1012" i="8"/>
  <c r="F1013" i="8"/>
  <c r="F1014" i="8"/>
  <c r="F1015" i="8"/>
  <c r="F1016" i="8"/>
  <c r="F1017" i="8"/>
  <c r="F1018" i="8"/>
  <c r="F1019" i="8"/>
  <c r="F1020" i="8"/>
  <c r="F1021" i="8"/>
  <c r="F1022" i="8"/>
  <c r="F1023" i="8"/>
  <c r="F1024" i="8"/>
  <c r="F1025" i="8"/>
  <c r="F1026" i="8"/>
  <c r="F1027" i="8"/>
  <c r="F1028" i="8"/>
  <c r="F1029" i="8"/>
  <c r="F1030" i="8"/>
  <c r="F1031" i="8"/>
  <c r="F1032" i="8"/>
  <c r="F1033" i="8"/>
  <c r="F1034" i="8"/>
  <c r="F1035" i="8"/>
  <c r="F1036" i="8"/>
  <c r="F1037" i="8"/>
  <c r="F1038" i="8"/>
  <c r="F1039" i="8"/>
  <c r="F1040" i="8"/>
  <c r="F1041" i="8"/>
  <c r="F1042" i="8"/>
  <c r="F1043" i="8"/>
  <c r="F1044" i="8"/>
  <c r="F1045" i="8"/>
  <c r="F1046" i="8"/>
  <c r="F1047" i="8"/>
  <c r="F1048" i="8"/>
  <c r="F1049" i="8"/>
  <c r="F1050" i="8"/>
  <c r="F1051" i="8"/>
  <c r="F1052" i="8"/>
  <c r="F1053" i="8"/>
  <c r="F1054" i="8"/>
  <c r="F1055" i="8"/>
  <c r="F1056" i="8"/>
  <c r="F1057" i="8"/>
  <c r="F1058" i="8"/>
  <c r="F1059" i="8"/>
  <c r="F1060" i="8"/>
  <c r="F1061" i="8"/>
  <c r="F1062" i="8"/>
  <c r="F1063" i="8"/>
  <c r="F1064" i="8"/>
  <c r="F1065" i="8"/>
  <c r="F1066" i="8"/>
  <c r="F1067" i="8"/>
  <c r="F1068" i="8"/>
  <c r="F1069" i="8"/>
  <c r="F1070" i="8"/>
  <c r="F1071" i="8"/>
  <c r="F1072" i="8"/>
  <c r="F1073" i="8"/>
  <c r="F1074" i="8"/>
  <c r="F1075" i="8"/>
  <c r="F1076" i="8"/>
  <c r="F1077" i="8"/>
  <c r="F1078" i="8"/>
  <c r="F1079" i="8"/>
  <c r="F1080" i="8"/>
  <c r="F1081" i="8"/>
  <c r="F1082" i="8"/>
  <c r="F1083" i="8"/>
  <c r="F1084" i="8"/>
  <c r="F1085" i="8"/>
  <c r="F1086" i="8"/>
  <c r="F1087" i="8"/>
  <c r="F1088" i="8"/>
  <c r="F1089" i="8"/>
  <c r="F1090" i="8"/>
  <c r="F1091" i="8"/>
  <c r="F1092" i="8"/>
  <c r="F1093" i="8"/>
  <c r="F1094" i="8"/>
  <c r="F1095" i="8"/>
  <c r="F1096" i="8"/>
  <c r="F1097" i="8"/>
  <c r="F1098" i="8"/>
  <c r="F1099" i="8"/>
  <c r="F1100" i="8"/>
  <c r="F1101" i="8"/>
  <c r="F1102" i="8"/>
  <c r="F1103" i="8"/>
  <c r="F1104" i="8"/>
  <c r="F1105" i="8"/>
  <c r="F1106" i="8"/>
  <c r="F1107" i="8"/>
  <c r="F1108" i="8"/>
  <c r="F1109" i="8"/>
  <c r="F1110" i="8"/>
  <c r="F1111" i="8"/>
  <c r="F1112" i="8"/>
  <c r="F1113" i="8"/>
  <c r="F1114" i="8"/>
  <c r="F1115" i="8"/>
  <c r="F1116" i="8"/>
  <c r="F1117" i="8"/>
  <c r="F1118" i="8"/>
  <c r="F1119" i="8"/>
  <c r="F1120" i="8"/>
  <c r="F1121" i="8"/>
  <c r="F1122" i="8"/>
  <c r="F1123" i="8"/>
  <c r="F1124" i="8"/>
  <c r="F1125" i="8"/>
  <c r="F1126" i="8"/>
  <c r="F1127" i="8"/>
  <c r="F1128" i="8"/>
  <c r="F1129" i="8"/>
  <c r="F1130" i="8"/>
  <c r="F1131" i="8"/>
  <c r="F1132" i="8"/>
  <c r="F1133" i="8"/>
  <c r="F1134" i="8"/>
  <c r="F1135" i="8"/>
  <c r="F1136" i="8"/>
  <c r="F1137" i="8"/>
  <c r="F1138" i="8"/>
  <c r="F1139" i="8"/>
  <c r="F1140" i="8"/>
  <c r="F1141" i="8"/>
  <c r="F1142" i="8"/>
  <c r="F1143" i="8"/>
  <c r="F1144" i="8"/>
  <c r="F1145" i="8"/>
  <c r="F1146" i="8"/>
  <c r="F1147" i="8"/>
  <c r="F1148" i="8"/>
  <c r="F1149" i="8"/>
  <c r="F1150" i="8"/>
  <c r="F1151" i="8"/>
  <c r="F1152" i="8"/>
  <c r="F1153" i="8"/>
  <c r="F1154" i="8"/>
  <c r="F1155" i="8"/>
  <c r="F1156" i="8"/>
  <c r="F1157" i="8"/>
  <c r="F1158" i="8"/>
  <c r="F1159" i="8"/>
  <c r="F1160" i="8"/>
  <c r="F1161" i="8"/>
  <c r="F1162" i="8"/>
  <c r="F1163" i="8"/>
  <c r="F1164" i="8"/>
  <c r="F1165" i="8"/>
  <c r="F1166" i="8"/>
  <c r="F1167" i="8"/>
  <c r="F1168" i="8"/>
  <c r="F1169" i="8"/>
  <c r="F1170" i="8"/>
  <c r="F1171" i="8"/>
  <c r="F1172" i="8"/>
  <c r="F1173" i="8"/>
  <c r="F1174" i="8"/>
  <c r="F1175" i="8"/>
  <c r="F1176" i="8"/>
  <c r="F1177" i="8"/>
  <c r="F1178" i="8"/>
  <c r="F1179" i="8"/>
  <c r="F1180" i="8"/>
  <c r="F1181" i="8"/>
  <c r="F1182" i="8"/>
  <c r="F1183" i="8"/>
  <c r="F1184" i="8"/>
  <c r="F1185" i="8"/>
  <c r="F1186" i="8"/>
  <c r="F1187" i="8"/>
  <c r="F1188" i="8"/>
  <c r="F1189" i="8"/>
  <c r="F1190" i="8"/>
  <c r="F1191" i="8"/>
  <c r="F1192" i="8"/>
  <c r="F1193" i="8"/>
  <c r="F1194" i="8"/>
  <c r="F1195" i="8"/>
  <c r="F1196" i="8"/>
  <c r="F1197" i="8"/>
  <c r="F1198" i="8"/>
  <c r="F1199" i="8"/>
  <c r="F1200" i="8"/>
  <c r="F1201" i="8"/>
  <c r="F1202" i="8"/>
  <c r="F1203" i="8"/>
  <c r="F1204" i="8"/>
  <c r="F1205" i="8"/>
  <c r="F1206" i="8"/>
  <c r="F1207" i="8"/>
  <c r="F1208" i="8"/>
  <c r="F1209" i="8"/>
  <c r="F1210" i="8"/>
  <c r="F1211" i="8"/>
  <c r="F1212" i="8"/>
  <c r="F1213" i="8"/>
  <c r="F1214" i="8"/>
  <c r="F1215" i="8"/>
  <c r="F1216" i="8"/>
  <c r="F1217" i="8"/>
  <c r="F1218" i="8"/>
  <c r="F1219" i="8"/>
  <c r="F1220" i="8"/>
  <c r="F1221" i="8"/>
  <c r="F1222" i="8"/>
  <c r="F1223" i="8"/>
  <c r="F1224" i="8"/>
  <c r="F1225" i="8"/>
  <c r="F1226" i="8"/>
  <c r="F1227" i="8"/>
  <c r="F1228" i="8"/>
  <c r="F1229" i="8"/>
  <c r="F1230" i="8"/>
  <c r="F1231" i="8"/>
  <c r="F1232" i="8"/>
  <c r="F1233" i="8"/>
  <c r="F1234" i="8"/>
  <c r="F1235" i="8"/>
  <c r="F1236" i="8"/>
  <c r="F1237" i="8"/>
  <c r="F1238" i="8"/>
  <c r="F1239" i="8"/>
  <c r="F1240" i="8"/>
  <c r="F1241" i="8"/>
  <c r="F1242" i="8"/>
  <c r="F1243" i="8"/>
  <c r="F1244" i="8"/>
  <c r="F1245" i="8"/>
  <c r="F1246" i="8"/>
  <c r="F1247" i="8"/>
  <c r="F1248" i="8"/>
  <c r="F1249" i="8"/>
  <c r="F1250" i="8"/>
  <c r="F1251" i="8"/>
  <c r="F1252" i="8"/>
  <c r="F1253" i="8"/>
  <c r="F1254" i="8"/>
  <c r="F1255" i="8"/>
  <c r="F1256" i="8"/>
  <c r="F1257" i="8"/>
  <c r="F1258" i="8"/>
  <c r="F1259" i="8"/>
  <c r="F1260" i="8"/>
  <c r="F1261" i="8"/>
  <c r="F1262" i="8"/>
  <c r="F1263" i="8"/>
  <c r="F1264" i="8"/>
  <c r="F1265" i="8"/>
  <c r="F1266" i="8"/>
  <c r="F1267" i="8"/>
  <c r="F1268" i="8"/>
  <c r="F1269" i="8"/>
  <c r="F1270" i="8"/>
  <c r="F1271" i="8"/>
  <c r="F1272" i="8"/>
  <c r="F1273" i="8"/>
  <c r="F1274" i="8"/>
  <c r="F1275" i="8"/>
  <c r="F1276" i="8"/>
  <c r="F1277" i="8"/>
  <c r="F1278" i="8"/>
  <c r="F1279" i="8"/>
  <c r="F1280" i="8"/>
  <c r="F1281" i="8"/>
  <c r="F1282" i="8"/>
  <c r="F1283" i="8"/>
  <c r="F1284" i="8"/>
  <c r="F1285" i="8"/>
  <c r="F1286" i="8"/>
  <c r="F1287" i="8"/>
  <c r="F1288" i="8"/>
  <c r="F1289" i="8"/>
  <c r="F1290" i="8"/>
  <c r="F1291" i="8"/>
  <c r="F1292" i="8"/>
  <c r="F1293" i="8"/>
  <c r="F1294" i="8"/>
  <c r="F1295" i="8"/>
  <c r="F1296" i="8"/>
  <c r="F1297" i="8"/>
  <c r="F1298" i="8"/>
  <c r="F1299" i="8"/>
  <c r="F1300" i="8"/>
  <c r="F1301" i="8"/>
  <c r="F1302" i="8"/>
  <c r="F1303" i="8"/>
  <c r="F1304" i="8"/>
  <c r="F1305" i="8"/>
  <c r="F1306" i="8"/>
  <c r="F1307" i="8"/>
  <c r="F1308" i="8"/>
  <c r="F1309" i="8"/>
  <c r="F1310" i="8"/>
  <c r="F1311" i="8"/>
  <c r="F1312" i="8"/>
  <c r="F1313" i="8"/>
  <c r="F1314" i="8"/>
  <c r="F1315" i="8"/>
  <c r="F1316" i="8"/>
  <c r="F1317" i="8"/>
  <c r="F1318" i="8"/>
  <c r="F1319" i="8"/>
  <c r="F1320" i="8"/>
  <c r="F1321" i="8"/>
  <c r="F1322" i="8"/>
  <c r="F1323" i="8"/>
  <c r="F1324" i="8"/>
  <c r="F1325" i="8"/>
  <c r="F1326" i="8"/>
  <c r="F1327" i="8"/>
  <c r="F1328" i="8"/>
  <c r="F1329" i="8"/>
  <c r="F1330" i="8"/>
  <c r="F1331" i="8"/>
  <c r="F1332" i="8"/>
  <c r="F1333" i="8"/>
  <c r="F1334" i="8"/>
  <c r="F1335" i="8"/>
  <c r="F1336" i="8"/>
  <c r="F1337" i="8"/>
  <c r="F1338" i="8"/>
  <c r="F1339" i="8"/>
  <c r="F1340" i="8"/>
  <c r="F1341" i="8"/>
  <c r="F1342" i="8"/>
  <c r="F1343" i="8"/>
  <c r="F1344" i="8"/>
  <c r="F1345" i="8"/>
  <c r="F1346" i="8"/>
  <c r="F1347" i="8"/>
  <c r="F1348" i="8"/>
  <c r="F1349" i="8"/>
  <c r="F1350" i="8"/>
  <c r="F1351" i="8"/>
  <c r="F1352" i="8"/>
  <c r="F1353" i="8"/>
  <c r="F1354" i="8"/>
  <c r="F1355" i="8"/>
  <c r="F1356" i="8"/>
  <c r="F1357" i="8"/>
  <c r="F1358" i="8"/>
  <c r="F1359" i="8"/>
  <c r="F1360" i="8"/>
  <c r="F1361" i="8"/>
  <c r="F1362" i="8"/>
  <c r="F1363" i="8"/>
  <c r="F1364" i="8"/>
  <c r="F1365" i="8"/>
  <c r="F1366" i="8"/>
  <c r="F1367" i="8"/>
  <c r="F1368" i="8"/>
  <c r="F1369" i="8"/>
  <c r="F1370" i="8"/>
  <c r="F1371" i="8"/>
  <c r="F1372" i="8"/>
  <c r="F1373" i="8"/>
  <c r="F1374" i="8"/>
  <c r="F1375" i="8"/>
  <c r="F1376" i="8"/>
  <c r="F1377" i="8"/>
  <c r="F1378" i="8"/>
  <c r="F1379" i="8"/>
  <c r="F1380" i="8"/>
  <c r="F1381" i="8"/>
  <c r="F1382" i="8"/>
  <c r="F1383" i="8"/>
  <c r="F1384" i="8"/>
  <c r="F1385" i="8"/>
  <c r="F1386" i="8"/>
  <c r="F1387" i="8"/>
  <c r="F1388" i="8"/>
  <c r="F1389" i="8"/>
  <c r="F1390" i="8"/>
  <c r="F1391" i="8"/>
  <c r="F1392" i="8"/>
  <c r="F1393" i="8"/>
  <c r="F1394" i="8"/>
  <c r="F1395" i="8"/>
  <c r="F1396" i="8"/>
  <c r="F1397" i="8"/>
  <c r="F1398" i="8"/>
  <c r="F1399" i="8"/>
  <c r="F1400" i="8"/>
  <c r="F1401" i="8"/>
  <c r="F1402" i="8"/>
  <c r="F1403" i="8"/>
  <c r="F1404" i="8"/>
  <c r="F1405" i="8"/>
  <c r="F1406" i="8"/>
  <c r="F1407" i="8"/>
  <c r="F1408" i="8"/>
  <c r="F1409" i="8"/>
  <c r="F1410" i="8"/>
  <c r="F1411" i="8"/>
  <c r="F1412" i="8"/>
  <c r="F1413" i="8"/>
  <c r="F1414" i="8"/>
  <c r="F1415" i="8"/>
  <c r="F1416" i="8"/>
  <c r="F1417" i="8"/>
  <c r="F1418" i="8"/>
  <c r="F1419" i="8"/>
  <c r="F1420" i="8"/>
  <c r="F1421" i="8"/>
  <c r="F1422" i="8"/>
  <c r="F1423" i="8"/>
  <c r="F1424" i="8"/>
  <c r="F1425" i="8"/>
  <c r="F1426" i="8"/>
  <c r="F1427" i="8"/>
  <c r="F1428" i="8"/>
  <c r="F1429" i="8"/>
  <c r="F1430" i="8"/>
  <c r="F1431" i="8"/>
  <c r="F1432" i="8"/>
  <c r="F1433" i="8"/>
  <c r="F1434" i="8"/>
  <c r="F1435" i="8"/>
  <c r="F1436" i="8"/>
  <c r="F1437" i="8"/>
  <c r="F1438" i="8"/>
  <c r="F1439" i="8"/>
  <c r="F1440" i="8"/>
  <c r="F1441" i="8"/>
  <c r="F1442" i="8"/>
  <c r="F1443" i="8"/>
  <c r="F1444" i="8"/>
  <c r="F1445" i="8"/>
  <c r="F1446" i="8"/>
  <c r="F1447" i="8"/>
  <c r="F1448" i="8"/>
  <c r="F1449" i="8"/>
  <c r="F1450" i="8"/>
  <c r="F1451" i="8"/>
  <c r="F1452" i="8"/>
  <c r="F1453" i="8"/>
  <c r="F1454" i="8"/>
  <c r="F1455" i="8"/>
  <c r="F1456" i="8"/>
  <c r="F1457" i="8"/>
  <c r="F1458" i="8"/>
  <c r="F1459" i="8"/>
  <c r="F1460" i="8"/>
  <c r="F1461" i="8"/>
  <c r="F1462" i="8"/>
  <c r="F1463" i="8"/>
  <c r="F1464" i="8"/>
  <c r="F1465" i="8"/>
  <c r="F1466" i="8"/>
  <c r="F1467" i="8"/>
  <c r="F1468" i="8"/>
  <c r="F1469" i="8"/>
  <c r="F1470" i="8"/>
  <c r="F1471" i="8"/>
  <c r="F1472" i="8"/>
  <c r="F1473" i="8"/>
  <c r="F1474" i="8"/>
  <c r="F1475" i="8"/>
  <c r="F1476" i="8"/>
  <c r="F1477" i="8"/>
  <c r="F1478" i="8"/>
  <c r="F1479" i="8"/>
  <c r="F1480" i="8"/>
  <c r="F1481" i="8"/>
  <c r="F1482" i="8"/>
  <c r="F1483" i="8"/>
  <c r="F1484" i="8"/>
  <c r="F1485" i="8"/>
  <c r="F1486" i="8"/>
  <c r="F1487" i="8"/>
  <c r="F1488" i="8"/>
  <c r="F1489" i="8"/>
  <c r="F1490" i="8"/>
  <c r="F1491" i="8"/>
  <c r="F1492" i="8"/>
  <c r="F1493" i="8"/>
  <c r="F1494" i="8"/>
  <c r="F1495" i="8"/>
  <c r="F1496" i="8"/>
  <c r="F1497" i="8"/>
  <c r="F1498" i="8"/>
  <c r="F1499" i="8"/>
  <c r="F1500" i="8"/>
  <c r="F1501" i="8"/>
  <c r="F1502" i="8"/>
  <c r="F1503" i="8"/>
  <c r="F1504" i="8"/>
  <c r="F1505" i="8"/>
  <c r="F1506" i="8"/>
  <c r="F1507" i="8"/>
  <c r="F1508" i="8"/>
  <c r="F1509" i="8"/>
  <c r="F1510" i="8"/>
  <c r="F1511" i="8"/>
  <c r="F1512" i="8"/>
  <c r="F1513" i="8"/>
  <c r="F1514" i="8"/>
  <c r="F1515" i="8"/>
  <c r="F1516" i="8"/>
  <c r="F1517" i="8"/>
  <c r="F1518" i="8"/>
  <c r="F1519" i="8"/>
  <c r="F1520" i="8"/>
  <c r="F1521" i="8"/>
  <c r="F1522" i="8"/>
  <c r="F1523" i="8"/>
  <c r="F1524" i="8"/>
  <c r="F1525" i="8"/>
  <c r="F1526" i="8"/>
  <c r="F1527" i="8"/>
  <c r="F1528" i="8"/>
  <c r="F1529" i="8"/>
  <c r="F1530" i="8"/>
  <c r="F1531" i="8"/>
  <c r="F1532" i="8"/>
  <c r="F1533" i="8"/>
  <c r="F1534" i="8"/>
  <c r="F1535" i="8"/>
  <c r="F1536" i="8"/>
  <c r="F1537" i="8"/>
  <c r="F1538" i="8"/>
  <c r="F1539" i="8"/>
  <c r="F1540" i="8"/>
  <c r="F1541" i="8"/>
  <c r="F1542" i="8"/>
  <c r="F1543" i="8"/>
  <c r="F1544" i="8"/>
  <c r="F1545" i="8"/>
  <c r="F1546" i="8"/>
  <c r="F1547" i="8"/>
  <c r="F1548" i="8"/>
  <c r="F1549" i="8"/>
  <c r="F1550" i="8"/>
  <c r="F1551" i="8"/>
  <c r="F1552" i="8"/>
  <c r="F1553" i="8"/>
  <c r="F1554" i="8"/>
  <c r="F1555" i="8"/>
  <c r="F1556" i="8"/>
  <c r="F1557" i="8"/>
  <c r="F1558" i="8"/>
  <c r="F1559" i="8"/>
  <c r="F1560" i="8"/>
  <c r="D2"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D639" i="8"/>
  <c r="D640" i="8"/>
  <c r="D641" i="8"/>
  <c r="D642" i="8"/>
  <c r="D643" i="8"/>
  <c r="D644" i="8"/>
  <c r="D645" i="8"/>
  <c r="D646" i="8"/>
  <c r="D647" i="8"/>
  <c r="D648" i="8"/>
  <c r="D649" i="8"/>
  <c r="D650" i="8"/>
  <c r="D651" i="8"/>
  <c r="D652" i="8"/>
  <c r="D653" i="8"/>
  <c r="D654" i="8"/>
  <c r="D655" i="8"/>
  <c r="D656" i="8"/>
  <c r="D657" i="8"/>
  <c r="D658" i="8"/>
  <c r="D659" i="8"/>
  <c r="D660" i="8"/>
  <c r="D661" i="8"/>
  <c r="D662" i="8"/>
  <c r="D663" i="8"/>
  <c r="D664" i="8"/>
  <c r="D665" i="8"/>
  <c r="D666" i="8"/>
  <c r="D667" i="8"/>
  <c r="D668" i="8"/>
  <c r="D669" i="8"/>
  <c r="D670" i="8"/>
  <c r="D671" i="8"/>
  <c r="D672" i="8"/>
  <c r="D673" i="8"/>
  <c r="D674" i="8"/>
  <c r="D675" i="8"/>
  <c r="D676" i="8"/>
  <c r="D677" i="8"/>
  <c r="D678" i="8"/>
  <c r="D679" i="8"/>
  <c r="D680" i="8"/>
  <c r="D681" i="8"/>
  <c r="D682" i="8"/>
  <c r="D683" i="8"/>
  <c r="D684" i="8"/>
  <c r="D685" i="8"/>
  <c r="D686" i="8"/>
  <c r="D687" i="8"/>
  <c r="D688" i="8"/>
  <c r="D689" i="8"/>
  <c r="D690" i="8"/>
  <c r="D691" i="8"/>
  <c r="D692" i="8"/>
  <c r="D693" i="8"/>
  <c r="D694" i="8"/>
  <c r="D695" i="8"/>
  <c r="D696" i="8"/>
  <c r="D697" i="8"/>
  <c r="D698" i="8"/>
  <c r="D699" i="8"/>
  <c r="D700" i="8"/>
  <c r="D701" i="8"/>
  <c r="D702" i="8"/>
  <c r="D703" i="8"/>
  <c r="D704" i="8"/>
  <c r="D705" i="8"/>
  <c r="D706" i="8"/>
  <c r="D707" i="8"/>
  <c r="D708" i="8"/>
  <c r="D709" i="8"/>
  <c r="D710" i="8"/>
  <c r="D711" i="8"/>
  <c r="D712" i="8"/>
  <c r="D713" i="8"/>
  <c r="D714" i="8"/>
  <c r="D715" i="8"/>
  <c r="D716" i="8"/>
  <c r="D717" i="8"/>
  <c r="D718" i="8"/>
  <c r="D719" i="8"/>
  <c r="D720" i="8"/>
  <c r="D721" i="8"/>
  <c r="D722" i="8"/>
  <c r="D723" i="8"/>
  <c r="D724" i="8"/>
  <c r="D725" i="8"/>
  <c r="D726" i="8"/>
  <c r="D727" i="8"/>
  <c r="D728" i="8"/>
  <c r="D729" i="8"/>
  <c r="D730" i="8"/>
  <c r="D731" i="8"/>
  <c r="D732" i="8"/>
  <c r="D733" i="8"/>
  <c r="D734" i="8"/>
  <c r="D735" i="8"/>
  <c r="D736" i="8"/>
  <c r="D737" i="8"/>
  <c r="D738" i="8"/>
  <c r="D739" i="8"/>
  <c r="D740" i="8"/>
  <c r="D741" i="8"/>
  <c r="D742" i="8"/>
  <c r="D743" i="8"/>
  <c r="D744" i="8"/>
  <c r="D745" i="8"/>
  <c r="D746" i="8"/>
  <c r="D747" i="8"/>
  <c r="D748" i="8"/>
  <c r="D749" i="8"/>
  <c r="D750" i="8"/>
  <c r="D751" i="8"/>
  <c r="D752" i="8"/>
  <c r="D753" i="8"/>
  <c r="D754" i="8"/>
  <c r="D755" i="8"/>
  <c r="D756" i="8"/>
  <c r="D757" i="8"/>
  <c r="D758" i="8"/>
  <c r="D759" i="8"/>
  <c r="D760" i="8"/>
  <c r="D761" i="8"/>
  <c r="D762" i="8"/>
  <c r="D763" i="8"/>
  <c r="D764" i="8"/>
  <c r="D765" i="8"/>
  <c r="D766" i="8"/>
  <c r="D767" i="8"/>
  <c r="D768" i="8"/>
  <c r="D769" i="8"/>
  <c r="D770" i="8"/>
  <c r="D771" i="8"/>
  <c r="D772" i="8"/>
  <c r="D773" i="8"/>
  <c r="D774" i="8"/>
  <c r="D775" i="8"/>
  <c r="D776" i="8"/>
  <c r="D777" i="8"/>
  <c r="D778" i="8"/>
  <c r="D779" i="8"/>
  <c r="D780" i="8"/>
  <c r="D781" i="8"/>
  <c r="D782" i="8"/>
  <c r="D783" i="8"/>
  <c r="D784" i="8"/>
  <c r="D785" i="8"/>
  <c r="D786" i="8"/>
  <c r="D787" i="8"/>
  <c r="D788" i="8"/>
  <c r="D789" i="8"/>
  <c r="D790" i="8"/>
  <c r="D791" i="8"/>
  <c r="D792" i="8"/>
  <c r="D793" i="8"/>
  <c r="D794" i="8"/>
  <c r="D795" i="8"/>
  <c r="D796" i="8"/>
  <c r="D797" i="8"/>
  <c r="D798" i="8"/>
  <c r="D799" i="8"/>
  <c r="D800" i="8"/>
  <c r="D801" i="8"/>
  <c r="D802" i="8"/>
  <c r="D803" i="8"/>
  <c r="D804" i="8"/>
  <c r="D805" i="8"/>
  <c r="D806" i="8"/>
  <c r="D807" i="8"/>
  <c r="D808" i="8"/>
  <c r="D809" i="8"/>
  <c r="D810" i="8"/>
  <c r="D811" i="8"/>
  <c r="D812" i="8"/>
  <c r="D813" i="8"/>
  <c r="D814" i="8"/>
  <c r="D815" i="8"/>
  <c r="D816" i="8"/>
  <c r="D817" i="8"/>
  <c r="D818" i="8"/>
  <c r="D819" i="8"/>
  <c r="D820" i="8"/>
  <c r="D821" i="8"/>
  <c r="D822" i="8"/>
  <c r="D823" i="8"/>
  <c r="D824" i="8"/>
  <c r="D825" i="8"/>
  <c r="D826" i="8"/>
  <c r="D827" i="8"/>
  <c r="D828" i="8"/>
  <c r="D829" i="8"/>
  <c r="D830" i="8"/>
  <c r="D831" i="8"/>
  <c r="D832" i="8"/>
  <c r="D833" i="8"/>
  <c r="D834" i="8"/>
  <c r="D835" i="8"/>
  <c r="D836" i="8"/>
  <c r="D837" i="8"/>
  <c r="D838" i="8"/>
  <c r="D839" i="8"/>
  <c r="D840" i="8"/>
  <c r="D841" i="8"/>
  <c r="D842" i="8"/>
  <c r="D843" i="8"/>
  <c r="D844" i="8"/>
  <c r="D845" i="8"/>
  <c r="D846" i="8"/>
  <c r="D847" i="8"/>
  <c r="D848" i="8"/>
  <c r="D849" i="8"/>
  <c r="D850" i="8"/>
  <c r="D851" i="8"/>
  <c r="D852" i="8"/>
  <c r="D853" i="8"/>
  <c r="D854" i="8"/>
  <c r="D855" i="8"/>
  <c r="D856" i="8"/>
  <c r="D857" i="8"/>
  <c r="D858" i="8"/>
  <c r="D859" i="8"/>
  <c r="D860" i="8"/>
  <c r="D861" i="8"/>
  <c r="D862" i="8"/>
  <c r="D863" i="8"/>
  <c r="D864" i="8"/>
  <c r="D865" i="8"/>
  <c r="D866" i="8"/>
  <c r="D867" i="8"/>
  <c r="D868" i="8"/>
  <c r="D869" i="8"/>
  <c r="D870" i="8"/>
  <c r="D871" i="8"/>
  <c r="D872" i="8"/>
  <c r="D873" i="8"/>
  <c r="D874" i="8"/>
  <c r="D875" i="8"/>
  <c r="D876" i="8"/>
  <c r="D877" i="8"/>
  <c r="D878" i="8"/>
  <c r="D879" i="8"/>
  <c r="D880" i="8"/>
  <c r="D881" i="8"/>
  <c r="D882" i="8"/>
  <c r="D883" i="8"/>
  <c r="D884" i="8"/>
  <c r="D885" i="8"/>
  <c r="D886" i="8"/>
  <c r="D887" i="8"/>
  <c r="D888" i="8"/>
  <c r="D889" i="8"/>
  <c r="D890" i="8"/>
  <c r="D891" i="8"/>
  <c r="D892" i="8"/>
  <c r="D893" i="8"/>
  <c r="D894" i="8"/>
  <c r="D895" i="8"/>
  <c r="D896" i="8"/>
  <c r="D897" i="8"/>
  <c r="D898" i="8"/>
  <c r="D899" i="8"/>
  <c r="D900" i="8"/>
  <c r="D901" i="8"/>
  <c r="D902" i="8"/>
  <c r="D903" i="8"/>
  <c r="D904" i="8"/>
  <c r="D905" i="8"/>
  <c r="D906" i="8"/>
  <c r="D907" i="8"/>
  <c r="D908" i="8"/>
  <c r="D909" i="8"/>
  <c r="D910" i="8"/>
  <c r="D911" i="8"/>
  <c r="D912" i="8"/>
  <c r="D913" i="8"/>
  <c r="D914" i="8"/>
  <c r="D915" i="8"/>
  <c r="D916" i="8"/>
  <c r="D917" i="8"/>
  <c r="D918" i="8"/>
  <c r="D919" i="8"/>
  <c r="D920" i="8"/>
  <c r="D921" i="8"/>
  <c r="D922" i="8"/>
  <c r="D923" i="8"/>
  <c r="D924" i="8"/>
  <c r="D925" i="8"/>
  <c r="D926" i="8"/>
  <c r="D927" i="8"/>
  <c r="D928" i="8"/>
  <c r="D929" i="8"/>
  <c r="D930" i="8"/>
  <c r="D931" i="8"/>
  <c r="D932" i="8"/>
  <c r="D933" i="8"/>
  <c r="D934" i="8"/>
  <c r="D935" i="8"/>
  <c r="D936" i="8"/>
  <c r="D937" i="8"/>
  <c r="D938" i="8"/>
  <c r="D939" i="8"/>
  <c r="D940" i="8"/>
  <c r="D941" i="8"/>
  <c r="D942" i="8"/>
  <c r="D943" i="8"/>
  <c r="D944" i="8"/>
  <c r="D945" i="8"/>
  <c r="D946" i="8"/>
  <c r="D947" i="8"/>
  <c r="D948" i="8"/>
  <c r="D949" i="8"/>
  <c r="D950" i="8"/>
  <c r="D951" i="8"/>
  <c r="D952" i="8"/>
  <c r="D953" i="8"/>
  <c r="D954" i="8"/>
  <c r="D955" i="8"/>
  <c r="D956" i="8"/>
  <c r="D957" i="8"/>
  <c r="D958" i="8"/>
  <c r="D959" i="8"/>
  <c r="D960" i="8"/>
  <c r="D961" i="8"/>
  <c r="D962" i="8"/>
  <c r="D963" i="8"/>
  <c r="D964" i="8"/>
  <c r="D965" i="8"/>
  <c r="D966" i="8"/>
  <c r="D967" i="8"/>
  <c r="D968" i="8"/>
  <c r="D969" i="8"/>
  <c r="D970" i="8"/>
  <c r="D971" i="8"/>
  <c r="D972" i="8"/>
  <c r="D973" i="8"/>
  <c r="D974" i="8"/>
  <c r="D975" i="8"/>
  <c r="D976" i="8"/>
  <c r="D977" i="8"/>
  <c r="D978" i="8"/>
  <c r="D979" i="8"/>
  <c r="D980" i="8"/>
  <c r="D981" i="8"/>
  <c r="D982" i="8"/>
  <c r="D983" i="8"/>
  <c r="D984" i="8"/>
  <c r="D985" i="8"/>
  <c r="D986" i="8"/>
  <c r="D987" i="8"/>
  <c r="D988" i="8"/>
  <c r="D989" i="8"/>
  <c r="D990" i="8"/>
  <c r="D991" i="8"/>
  <c r="D992" i="8"/>
  <c r="D993" i="8"/>
  <c r="D994" i="8"/>
  <c r="D995" i="8"/>
  <c r="D996" i="8"/>
  <c r="D997" i="8"/>
  <c r="D998" i="8"/>
  <c r="D999" i="8"/>
  <c r="D1000" i="8"/>
  <c r="D1001" i="8"/>
  <c r="D1002" i="8"/>
  <c r="D1003" i="8"/>
  <c r="D1004" i="8"/>
  <c r="D1005" i="8"/>
  <c r="D1006" i="8"/>
  <c r="D1007" i="8"/>
  <c r="D1008" i="8"/>
  <c r="D1009" i="8"/>
  <c r="D1010" i="8"/>
  <c r="D1011" i="8"/>
  <c r="D1012" i="8"/>
  <c r="D1013" i="8"/>
  <c r="D1014" i="8"/>
  <c r="D1015" i="8"/>
  <c r="D1016" i="8"/>
  <c r="D1017" i="8"/>
  <c r="D1018" i="8"/>
  <c r="D1019" i="8"/>
  <c r="D1020" i="8"/>
  <c r="D1021" i="8"/>
  <c r="D1022" i="8"/>
  <c r="D1023" i="8"/>
  <c r="D1024" i="8"/>
  <c r="D1025" i="8"/>
  <c r="D1026" i="8"/>
  <c r="D1027" i="8"/>
  <c r="D1028" i="8"/>
  <c r="D1029" i="8"/>
  <c r="D1030" i="8"/>
  <c r="D1031" i="8"/>
  <c r="D1032" i="8"/>
  <c r="D1033" i="8"/>
  <c r="D1034" i="8"/>
  <c r="D1035" i="8"/>
  <c r="D1036" i="8"/>
  <c r="D1037" i="8"/>
  <c r="D1038" i="8"/>
  <c r="D1039" i="8"/>
  <c r="D1040" i="8"/>
  <c r="D1041" i="8"/>
  <c r="D1042" i="8"/>
  <c r="D1043" i="8"/>
  <c r="D1044" i="8"/>
  <c r="D1045" i="8"/>
  <c r="D1046" i="8"/>
  <c r="D1047" i="8"/>
  <c r="D1048" i="8"/>
  <c r="D1049" i="8"/>
  <c r="D1050" i="8"/>
  <c r="D1051" i="8"/>
  <c r="D1052" i="8"/>
  <c r="D1053" i="8"/>
  <c r="D1054" i="8"/>
  <c r="D1055" i="8"/>
  <c r="D1056" i="8"/>
  <c r="D1057" i="8"/>
  <c r="D1058" i="8"/>
  <c r="D1059" i="8"/>
  <c r="D1060" i="8"/>
  <c r="D1061" i="8"/>
  <c r="D1062" i="8"/>
  <c r="D1063" i="8"/>
  <c r="D1064" i="8"/>
  <c r="D1065" i="8"/>
  <c r="D1066" i="8"/>
  <c r="D1067" i="8"/>
  <c r="D1068" i="8"/>
  <c r="D1069" i="8"/>
  <c r="D1070" i="8"/>
  <c r="D1071" i="8"/>
  <c r="D1072" i="8"/>
  <c r="D1073" i="8"/>
  <c r="D1074" i="8"/>
  <c r="D1075" i="8"/>
  <c r="D1076" i="8"/>
  <c r="D1077" i="8"/>
  <c r="D1078" i="8"/>
  <c r="D1079" i="8"/>
  <c r="D1080" i="8"/>
  <c r="D1081" i="8"/>
  <c r="D1082" i="8"/>
  <c r="D1083" i="8"/>
  <c r="D1084" i="8"/>
  <c r="D1085" i="8"/>
  <c r="D1086" i="8"/>
  <c r="D1087" i="8"/>
  <c r="D1088" i="8"/>
  <c r="D1089" i="8"/>
  <c r="D1090" i="8"/>
  <c r="D1091" i="8"/>
  <c r="D1092" i="8"/>
  <c r="D1093" i="8"/>
  <c r="D1094" i="8"/>
  <c r="D1095" i="8"/>
  <c r="D1096" i="8"/>
  <c r="D1097" i="8"/>
  <c r="D1098" i="8"/>
  <c r="D1099" i="8"/>
  <c r="D1100" i="8"/>
  <c r="D1101" i="8"/>
  <c r="D1102" i="8"/>
  <c r="D1103" i="8"/>
  <c r="D1104" i="8"/>
  <c r="D1105" i="8"/>
  <c r="D1106" i="8"/>
  <c r="D1107" i="8"/>
  <c r="D1108" i="8"/>
  <c r="D1109" i="8"/>
  <c r="D1110" i="8"/>
  <c r="D1111" i="8"/>
  <c r="D1112" i="8"/>
  <c r="D1113" i="8"/>
  <c r="D1114" i="8"/>
  <c r="D1115" i="8"/>
  <c r="D1116" i="8"/>
  <c r="D1117" i="8"/>
  <c r="D1118" i="8"/>
  <c r="D1119" i="8"/>
  <c r="D1120" i="8"/>
  <c r="D1121" i="8"/>
  <c r="D1122" i="8"/>
  <c r="D1123" i="8"/>
  <c r="D1124" i="8"/>
  <c r="D1125" i="8"/>
  <c r="D1126" i="8"/>
  <c r="D1127" i="8"/>
  <c r="D1128" i="8"/>
  <c r="D1129" i="8"/>
  <c r="D1130" i="8"/>
  <c r="D1131" i="8"/>
  <c r="D1132" i="8"/>
  <c r="D1133" i="8"/>
  <c r="D1134" i="8"/>
  <c r="D1135" i="8"/>
  <c r="D1136" i="8"/>
  <c r="D1137" i="8"/>
  <c r="D1138" i="8"/>
  <c r="D1139" i="8"/>
  <c r="D1140" i="8"/>
  <c r="D1141" i="8"/>
  <c r="D1142" i="8"/>
  <c r="D1143" i="8"/>
  <c r="D1144" i="8"/>
  <c r="D1145" i="8"/>
  <c r="D1146" i="8"/>
  <c r="D1147" i="8"/>
  <c r="D1148" i="8"/>
  <c r="D1149" i="8"/>
  <c r="D1150" i="8"/>
  <c r="D1151" i="8"/>
  <c r="D1152" i="8"/>
  <c r="D1153" i="8"/>
  <c r="D1154" i="8"/>
  <c r="D1155" i="8"/>
  <c r="D1156" i="8"/>
  <c r="D1157" i="8"/>
  <c r="D1158" i="8"/>
  <c r="D1159" i="8"/>
  <c r="D1160" i="8"/>
  <c r="D1161" i="8"/>
  <c r="D1162" i="8"/>
  <c r="D1163" i="8"/>
  <c r="D1164" i="8"/>
  <c r="D1165" i="8"/>
  <c r="D1166" i="8"/>
  <c r="D1167" i="8"/>
  <c r="D1168" i="8"/>
  <c r="D1169" i="8"/>
  <c r="D1170" i="8"/>
  <c r="D1171" i="8"/>
  <c r="D1172" i="8"/>
  <c r="D1173" i="8"/>
  <c r="D1174" i="8"/>
  <c r="D1175" i="8"/>
  <c r="D1176" i="8"/>
  <c r="D1177" i="8"/>
  <c r="D1178" i="8"/>
  <c r="D1179" i="8"/>
  <c r="D1180" i="8"/>
  <c r="D1181" i="8"/>
  <c r="D1182" i="8"/>
  <c r="D1183" i="8"/>
  <c r="D1184" i="8"/>
  <c r="D1185" i="8"/>
  <c r="D1186" i="8"/>
  <c r="D1187" i="8"/>
  <c r="D1188" i="8"/>
  <c r="D1189" i="8"/>
  <c r="D1190" i="8"/>
  <c r="D1191" i="8"/>
  <c r="D1192" i="8"/>
  <c r="D1193" i="8"/>
  <c r="D1194" i="8"/>
  <c r="D1195" i="8"/>
  <c r="D1196" i="8"/>
  <c r="D1197" i="8"/>
  <c r="D1198" i="8"/>
  <c r="D1199" i="8"/>
  <c r="D1200" i="8"/>
  <c r="D1201" i="8"/>
  <c r="D1202" i="8"/>
  <c r="D1203" i="8"/>
  <c r="D1204" i="8"/>
  <c r="D1205" i="8"/>
  <c r="D1206" i="8"/>
  <c r="D1207" i="8"/>
  <c r="D1208" i="8"/>
  <c r="D1209" i="8"/>
  <c r="D1210" i="8"/>
  <c r="D1211" i="8"/>
  <c r="D1212" i="8"/>
  <c r="D1213" i="8"/>
  <c r="D1214" i="8"/>
  <c r="D1215" i="8"/>
  <c r="D1216" i="8"/>
  <c r="D1217" i="8"/>
  <c r="D1218" i="8"/>
  <c r="D1219" i="8"/>
  <c r="D1220" i="8"/>
  <c r="D1221" i="8"/>
  <c r="D1222" i="8"/>
  <c r="D1223" i="8"/>
  <c r="D1224" i="8"/>
  <c r="D1225" i="8"/>
  <c r="D1226" i="8"/>
  <c r="D1227" i="8"/>
  <c r="D1228" i="8"/>
  <c r="D1229" i="8"/>
  <c r="D1230" i="8"/>
  <c r="D1231" i="8"/>
  <c r="D1232" i="8"/>
  <c r="D1233" i="8"/>
  <c r="D1234" i="8"/>
  <c r="D1235" i="8"/>
  <c r="D1236" i="8"/>
  <c r="D1237" i="8"/>
  <c r="D1238" i="8"/>
  <c r="D1239" i="8"/>
  <c r="D1240" i="8"/>
  <c r="D1241" i="8"/>
  <c r="D1242" i="8"/>
  <c r="D1243" i="8"/>
  <c r="D1244" i="8"/>
  <c r="D1245" i="8"/>
  <c r="D1246" i="8"/>
  <c r="D1247" i="8"/>
  <c r="D1248" i="8"/>
  <c r="D1249" i="8"/>
  <c r="D1250" i="8"/>
  <c r="D1251" i="8"/>
  <c r="D1252" i="8"/>
  <c r="D1253" i="8"/>
  <c r="D1254" i="8"/>
  <c r="D1255" i="8"/>
  <c r="D1256" i="8"/>
  <c r="D1257" i="8"/>
  <c r="D1258" i="8"/>
  <c r="D1259" i="8"/>
  <c r="D1260" i="8"/>
  <c r="D1261" i="8"/>
  <c r="D1262" i="8"/>
  <c r="D1263" i="8"/>
  <c r="D1264" i="8"/>
  <c r="D1265" i="8"/>
  <c r="D1266" i="8"/>
  <c r="D1267" i="8"/>
  <c r="D1268" i="8"/>
  <c r="D1269" i="8"/>
  <c r="D1270" i="8"/>
  <c r="D1271" i="8"/>
  <c r="D1272" i="8"/>
  <c r="D1273" i="8"/>
  <c r="D1274" i="8"/>
  <c r="D1275" i="8"/>
  <c r="D1276" i="8"/>
  <c r="D1277" i="8"/>
  <c r="D1278" i="8"/>
  <c r="D1279" i="8"/>
  <c r="D1280" i="8"/>
  <c r="D1281" i="8"/>
  <c r="D1282" i="8"/>
  <c r="D1283" i="8"/>
  <c r="D1284" i="8"/>
  <c r="D1285" i="8"/>
  <c r="D1286" i="8"/>
  <c r="D1287" i="8"/>
  <c r="D1288" i="8"/>
  <c r="D1289" i="8"/>
  <c r="D1290" i="8"/>
  <c r="D1291" i="8"/>
  <c r="D1292" i="8"/>
  <c r="D1293" i="8"/>
  <c r="D1294" i="8"/>
  <c r="D1295" i="8"/>
  <c r="D1296" i="8"/>
  <c r="D1297" i="8"/>
  <c r="D1298" i="8"/>
  <c r="D1299" i="8"/>
  <c r="D1300" i="8"/>
  <c r="D1301" i="8"/>
  <c r="D1302" i="8"/>
  <c r="D1303" i="8"/>
  <c r="D1304" i="8"/>
  <c r="D1305" i="8"/>
  <c r="D1306" i="8"/>
  <c r="D1307" i="8"/>
  <c r="D1308" i="8"/>
  <c r="D1309" i="8"/>
  <c r="D1310" i="8"/>
  <c r="D1311" i="8"/>
  <c r="D1312" i="8"/>
  <c r="D1313" i="8"/>
  <c r="D1314" i="8"/>
  <c r="D1315" i="8"/>
  <c r="D1316" i="8"/>
  <c r="D1317" i="8"/>
  <c r="D1318" i="8"/>
  <c r="D1319" i="8"/>
  <c r="D1320" i="8"/>
  <c r="D1321" i="8"/>
  <c r="D1322" i="8"/>
  <c r="D1323" i="8"/>
  <c r="D1324" i="8"/>
  <c r="D1325" i="8"/>
  <c r="D1326" i="8"/>
  <c r="D1327" i="8"/>
  <c r="D1328" i="8"/>
  <c r="D1329" i="8"/>
  <c r="D1330" i="8"/>
  <c r="D1331" i="8"/>
  <c r="D1332" i="8"/>
  <c r="D1333" i="8"/>
  <c r="D1334" i="8"/>
  <c r="D1335" i="8"/>
  <c r="D1336" i="8"/>
  <c r="D1337" i="8"/>
  <c r="D1338" i="8"/>
  <c r="D1339" i="8"/>
  <c r="D1340" i="8"/>
  <c r="D1341" i="8"/>
  <c r="D1342" i="8"/>
  <c r="D1343" i="8"/>
  <c r="D1344" i="8"/>
  <c r="D1345" i="8"/>
  <c r="D1346" i="8"/>
  <c r="D1347" i="8"/>
  <c r="D1348" i="8"/>
  <c r="D1349" i="8"/>
  <c r="D1350" i="8"/>
  <c r="D1351" i="8"/>
  <c r="D1352" i="8"/>
  <c r="D1353" i="8"/>
  <c r="D1354" i="8"/>
  <c r="D1355" i="8"/>
  <c r="D1356" i="8"/>
  <c r="D1357" i="8"/>
  <c r="D1358" i="8"/>
  <c r="D1359" i="8"/>
  <c r="D1360" i="8"/>
  <c r="D1361" i="8"/>
  <c r="D1362" i="8"/>
  <c r="D1363" i="8"/>
  <c r="D1364" i="8"/>
  <c r="D1365" i="8"/>
  <c r="D1366" i="8"/>
  <c r="D1367" i="8"/>
  <c r="D1368" i="8"/>
  <c r="D1369" i="8"/>
  <c r="D1370" i="8"/>
  <c r="D1371" i="8"/>
  <c r="D1372" i="8"/>
  <c r="D1373" i="8"/>
  <c r="D1374" i="8"/>
  <c r="D1375" i="8"/>
  <c r="D1376" i="8"/>
  <c r="D1377" i="8"/>
  <c r="D1378" i="8"/>
  <c r="D1379" i="8"/>
  <c r="D1380" i="8"/>
  <c r="D1381" i="8"/>
  <c r="D1382" i="8"/>
  <c r="D1383" i="8"/>
  <c r="D1384" i="8"/>
  <c r="D1385" i="8"/>
  <c r="D1386" i="8"/>
  <c r="D1387" i="8"/>
  <c r="D1388" i="8"/>
  <c r="D1389" i="8"/>
  <c r="D1390" i="8"/>
  <c r="D1391" i="8"/>
  <c r="D1392" i="8"/>
  <c r="D1393" i="8"/>
  <c r="D1394" i="8"/>
  <c r="D1395" i="8"/>
  <c r="D1396" i="8"/>
  <c r="D1397" i="8"/>
  <c r="D1398" i="8"/>
  <c r="D1399" i="8"/>
  <c r="D1400" i="8"/>
  <c r="D1401" i="8"/>
  <c r="D1402" i="8"/>
  <c r="D1403" i="8"/>
  <c r="D1404" i="8"/>
  <c r="D1405" i="8"/>
  <c r="D1406" i="8"/>
  <c r="D1407" i="8"/>
  <c r="D1408" i="8"/>
  <c r="D1409" i="8"/>
  <c r="D1410" i="8"/>
  <c r="D1411" i="8"/>
  <c r="D1412" i="8"/>
  <c r="D1413" i="8"/>
  <c r="D1414" i="8"/>
  <c r="D1415" i="8"/>
  <c r="D1416" i="8"/>
  <c r="D1417" i="8"/>
  <c r="D1418" i="8"/>
  <c r="D1419" i="8"/>
  <c r="D1420" i="8"/>
  <c r="D1421" i="8"/>
  <c r="D1422" i="8"/>
  <c r="D1423" i="8"/>
  <c r="D1424" i="8"/>
  <c r="D1425" i="8"/>
  <c r="D1426" i="8"/>
  <c r="D1427" i="8"/>
  <c r="D1428" i="8"/>
  <c r="D1429" i="8"/>
  <c r="D1430" i="8"/>
  <c r="D1431" i="8"/>
  <c r="D1432" i="8"/>
  <c r="D1433" i="8"/>
  <c r="D1434" i="8"/>
  <c r="D1435" i="8"/>
  <c r="D1436" i="8"/>
  <c r="D1437" i="8"/>
  <c r="D1438" i="8"/>
  <c r="D1439" i="8"/>
  <c r="D1440" i="8"/>
  <c r="D1441" i="8"/>
  <c r="D1442" i="8"/>
  <c r="D1443" i="8"/>
  <c r="D1444" i="8"/>
  <c r="D1445" i="8"/>
  <c r="D1446" i="8"/>
  <c r="D1447" i="8"/>
  <c r="D1448" i="8"/>
  <c r="D1449" i="8"/>
  <c r="D1450" i="8"/>
  <c r="D1451" i="8"/>
  <c r="D1452" i="8"/>
  <c r="D1453" i="8"/>
  <c r="D1454" i="8"/>
  <c r="D1455" i="8"/>
  <c r="D1456" i="8"/>
  <c r="D1457" i="8"/>
  <c r="D1458" i="8"/>
  <c r="D1459" i="8"/>
  <c r="D1460" i="8"/>
  <c r="D1461" i="8"/>
  <c r="D1462" i="8"/>
  <c r="D1463" i="8"/>
  <c r="D1464" i="8"/>
  <c r="D1465" i="8"/>
  <c r="D1466" i="8"/>
  <c r="D1467" i="8"/>
  <c r="D1468" i="8"/>
  <c r="D1469" i="8"/>
  <c r="D1470" i="8"/>
  <c r="D1471" i="8"/>
  <c r="D1472" i="8"/>
  <c r="D1473" i="8"/>
  <c r="D1474" i="8"/>
  <c r="D1475" i="8"/>
  <c r="D1476" i="8"/>
  <c r="D1477" i="8"/>
  <c r="D1478" i="8"/>
  <c r="D1479" i="8"/>
  <c r="D1480" i="8"/>
  <c r="D1481" i="8"/>
  <c r="D1482" i="8"/>
  <c r="D1483" i="8"/>
  <c r="D1484" i="8"/>
  <c r="D1485" i="8"/>
  <c r="D1486" i="8"/>
  <c r="D1487" i="8"/>
  <c r="D1488" i="8"/>
  <c r="D1489" i="8"/>
  <c r="D1490" i="8"/>
  <c r="D1491" i="8"/>
  <c r="D1492" i="8"/>
  <c r="D1493" i="8"/>
  <c r="D1494" i="8"/>
  <c r="D1495" i="8"/>
  <c r="D1496" i="8"/>
  <c r="D1497" i="8"/>
  <c r="D1498" i="8"/>
  <c r="D1499" i="8"/>
  <c r="D1500" i="8"/>
  <c r="D1501" i="8"/>
  <c r="D1502" i="8"/>
  <c r="D1503" i="8"/>
  <c r="D1504" i="8"/>
  <c r="D1505" i="8"/>
  <c r="D1506" i="8"/>
  <c r="D1507" i="8"/>
  <c r="D1508" i="8"/>
  <c r="D1509" i="8"/>
  <c r="D1510" i="8"/>
  <c r="D1511" i="8"/>
  <c r="D1512" i="8"/>
  <c r="D1513" i="8"/>
  <c r="D1514" i="8"/>
  <c r="D1515" i="8"/>
  <c r="D1516" i="8"/>
  <c r="D1517" i="8"/>
  <c r="D1518" i="8"/>
  <c r="D1519" i="8"/>
  <c r="D1520" i="8"/>
  <c r="D1521" i="8"/>
  <c r="D1522" i="8"/>
  <c r="D1523" i="8"/>
  <c r="D1524" i="8"/>
  <c r="D1525" i="8"/>
  <c r="D1526" i="8"/>
  <c r="D1527" i="8"/>
  <c r="D1528" i="8"/>
  <c r="D1529" i="8"/>
  <c r="D1530" i="8"/>
  <c r="D1531" i="8"/>
  <c r="D1532" i="8"/>
  <c r="D1533" i="8"/>
  <c r="D1534" i="8"/>
  <c r="D1535" i="8"/>
  <c r="D1536" i="8"/>
  <c r="D1537" i="8"/>
  <c r="D1538" i="8"/>
  <c r="D1539" i="8"/>
  <c r="D1540" i="8"/>
  <c r="D1541" i="8"/>
  <c r="D1542" i="8"/>
  <c r="D1543" i="8"/>
  <c r="D1544" i="8"/>
  <c r="D1545" i="8"/>
  <c r="D1546" i="8"/>
  <c r="D1547" i="8"/>
  <c r="D1548" i="8"/>
  <c r="D1549" i="8"/>
  <c r="D1550" i="8"/>
  <c r="D1551" i="8"/>
  <c r="D1552" i="8"/>
  <c r="D1553" i="8"/>
  <c r="D1554" i="8"/>
  <c r="D1555" i="8"/>
  <c r="D1556" i="8"/>
  <c r="D1557" i="8"/>
  <c r="D1558" i="8"/>
  <c r="D1559" i="8"/>
  <c r="D1560" i="8"/>
  <c r="G2" i="5"/>
  <c r="H2" i="5" s="1"/>
  <c r="G3" i="5"/>
  <c r="H3" i="5" s="1"/>
  <c r="G4" i="5"/>
  <c r="H4" i="5" s="1"/>
  <c r="G5" i="5"/>
  <c r="H5" i="5" s="1"/>
  <c r="G6" i="5"/>
  <c r="H6" i="5" s="1"/>
  <c r="G7" i="5"/>
  <c r="H7" i="5" s="1"/>
  <c r="G8" i="5"/>
  <c r="H8" i="5" s="1"/>
  <c r="G9" i="5"/>
  <c r="H9" i="5" s="1"/>
  <c r="G10" i="5"/>
  <c r="H10" i="5" s="1"/>
  <c r="G11" i="5"/>
  <c r="H11" i="5" s="1"/>
  <c r="G12" i="5"/>
  <c r="H12" i="5" s="1"/>
  <c r="G13" i="5"/>
  <c r="H13" i="5" s="1"/>
  <c r="G14" i="5"/>
  <c r="H14" i="5" s="1"/>
  <c r="G15" i="5"/>
  <c r="H15" i="5" s="1"/>
  <c r="G16" i="5"/>
  <c r="H16" i="5" s="1"/>
  <c r="G17" i="5"/>
  <c r="H17" i="5" s="1"/>
  <c r="G18" i="5"/>
  <c r="H18" i="5" s="1"/>
  <c r="G19" i="5"/>
  <c r="H19" i="5" s="1"/>
  <c r="G20" i="5"/>
  <c r="H20" i="5" s="1"/>
  <c r="G21" i="5"/>
  <c r="H21" i="5" s="1"/>
  <c r="G22" i="5"/>
  <c r="H22" i="5" s="1"/>
  <c r="G23" i="5"/>
  <c r="H23" i="5" s="1"/>
  <c r="G24" i="5"/>
  <c r="H24" i="5" s="1"/>
  <c r="G25" i="5"/>
  <c r="H25" i="5" s="1"/>
  <c r="G26" i="5"/>
  <c r="H26" i="5" s="1"/>
  <c r="G27" i="5"/>
  <c r="H27" i="5" s="1"/>
  <c r="G28" i="5"/>
  <c r="H28" i="5" s="1"/>
  <c r="G29" i="5"/>
  <c r="H29" i="5" s="1"/>
  <c r="G30" i="5"/>
  <c r="H30" i="5" s="1"/>
  <c r="G31" i="5"/>
  <c r="H31" i="5" s="1"/>
  <c r="G32" i="5"/>
  <c r="H32" i="5" s="1"/>
  <c r="G33" i="5"/>
  <c r="H33" i="5" s="1"/>
  <c r="G34" i="5"/>
  <c r="H34" i="5" s="1"/>
  <c r="G35" i="5"/>
  <c r="H35" i="5" s="1"/>
  <c r="G36" i="5"/>
  <c r="H36" i="5" s="1"/>
  <c r="G37" i="5"/>
  <c r="H37" i="5" s="1"/>
  <c r="G38" i="5"/>
  <c r="H38" i="5" s="1"/>
  <c r="G39" i="5"/>
  <c r="H39" i="5" s="1"/>
  <c r="G40" i="5"/>
  <c r="H40" i="5" s="1"/>
  <c r="G41" i="5"/>
  <c r="H41" i="5" s="1"/>
  <c r="G42" i="5"/>
  <c r="H42" i="5" s="1"/>
  <c r="G43" i="5"/>
  <c r="H43" i="5" s="1"/>
  <c r="G44" i="5"/>
  <c r="H44" i="5" s="1"/>
  <c r="G45" i="5"/>
  <c r="H45" i="5" s="1"/>
  <c r="G46" i="5"/>
  <c r="H46" i="5" s="1"/>
  <c r="G47" i="5"/>
  <c r="H47" i="5" s="1"/>
  <c r="G48" i="5"/>
  <c r="H48" i="5" s="1"/>
  <c r="G49" i="5"/>
  <c r="H49" i="5" s="1"/>
  <c r="G50" i="5"/>
  <c r="H50" i="5" s="1"/>
  <c r="G51" i="5"/>
  <c r="H51" i="5" s="1"/>
  <c r="G52" i="5"/>
  <c r="H52" i="5" s="1"/>
  <c r="G53" i="5"/>
  <c r="H53" i="5" s="1"/>
  <c r="G54" i="5"/>
  <c r="H54" i="5" s="1"/>
  <c r="G55" i="5"/>
  <c r="H55" i="5" s="1"/>
  <c r="G56" i="5"/>
  <c r="H56" i="5" s="1"/>
  <c r="G57" i="5"/>
  <c r="H57" i="5" s="1"/>
  <c r="G58" i="5"/>
  <c r="H58" i="5" s="1"/>
  <c r="G59" i="5"/>
  <c r="H59" i="5" s="1"/>
  <c r="G60" i="5"/>
  <c r="H60" i="5" s="1"/>
  <c r="G61" i="5"/>
  <c r="H61" i="5" s="1"/>
  <c r="G62" i="5"/>
  <c r="H62" i="5" s="1"/>
  <c r="G63" i="5"/>
  <c r="H63" i="5" s="1"/>
  <c r="G64" i="5"/>
  <c r="H64" i="5" s="1"/>
  <c r="G65" i="5"/>
  <c r="H65" i="5" s="1"/>
  <c r="G66" i="5"/>
  <c r="H66" i="5" s="1"/>
  <c r="G67" i="5"/>
  <c r="H67" i="5" s="1"/>
  <c r="G68" i="5"/>
  <c r="H68" i="5" s="1"/>
  <c r="G69" i="5"/>
  <c r="H69" i="5" s="1"/>
  <c r="G70" i="5"/>
  <c r="H70" i="5" s="1"/>
  <c r="G71" i="5"/>
  <c r="H71" i="5" s="1"/>
  <c r="G72" i="5"/>
  <c r="H72" i="5" s="1"/>
  <c r="G73" i="5"/>
  <c r="H73" i="5" s="1"/>
  <c r="G74" i="5"/>
  <c r="H74" i="5" s="1"/>
  <c r="G75" i="5"/>
  <c r="H75" i="5" s="1"/>
  <c r="G76" i="5"/>
  <c r="H76" i="5" s="1"/>
  <c r="G77" i="5"/>
  <c r="H77" i="5" s="1"/>
  <c r="G78" i="5"/>
  <c r="H78" i="5" s="1"/>
  <c r="G79" i="5"/>
  <c r="H79" i="5" s="1"/>
  <c r="G80" i="5"/>
  <c r="H80" i="5" s="1"/>
  <c r="G81" i="5"/>
  <c r="H81" i="5" s="1"/>
  <c r="G82" i="5"/>
  <c r="H82" i="5" s="1"/>
  <c r="G83" i="5"/>
  <c r="H83" i="5" s="1"/>
  <c r="G84" i="5"/>
  <c r="H84" i="5" s="1"/>
  <c r="G85" i="5"/>
  <c r="H85" i="5" s="1"/>
  <c r="G86" i="5"/>
  <c r="H86" i="5" s="1"/>
  <c r="G87" i="5"/>
  <c r="H87" i="5" s="1"/>
  <c r="G88" i="5"/>
  <c r="H88" i="5" s="1"/>
  <c r="G89" i="5"/>
  <c r="H89" i="5" s="1"/>
  <c r="G90" i="5"/>
  <c r="H90" i="5" s="1"/>
  <c r="G91" i="5"/>
  <c r="H91" i="5" s="1"/>
  <c r="G92" i="5"/>
  <c r="H92" i="5" s="1"/>
  <c r="G93" i="5"/>
  <c r="H93" i="5" s="1"/>
  <c r="G94" i="5"/>
  <c r="H94" i="5" s="1"/>
  <c r="G95" i="5"/>
  <c r="H95" i="5" s="1"/>
  <c r="G96" i="5"/>
  <c r="H96" i="5" s="1"/>
  <c r="G97" i="5"/>
  <c r="H97" i="5" s="1"/>
  <c r="G98" i="5"/>
  <c r="H98" i="5" s="1"/>
  <c r="G99" i="5"/>
  <c r="H99" i="5" s="1"/>
  <c r="G100" i="5"/>
  <c r="H100" i="5" s="1"/>
  <c r="G101" i="5"/>
  <c r="H101" i="5" s="1"/>
  <c r="G102" i="5"/>
  <c r="H102" i="5" s="1"/>
  <c r="G103" i="5"/>
  <c r="H103" i="5" s="1"/>
  <c r="G104" i="5"/>
  <c r="H104" i="5" s="1"/>
  <c r="G105" i="5"/>
  <c r="H105" i="5" s="1"/>
  <c r="G106" i="5"/>
  <c r="H106" i="5" s="1"/>
  <c r="G107" i="5"/>
  <c r="H107" i="5" s="1"/>
  <c r="G108" i="5"/>
  <c r="H108" i="5" s="1"/>
  <c r="G109" i="5"/>
  <c r="H109" i="5" s="1"/>
  <c r="G110" i="5"/>
  <c r="H110" i="5" s="1"/>
  <c r="G111" i="5"/>
  <c r="H111" i="5" s="1"/>
  <c r="G112" i="5"/>
  <c r="H112" i="5" s="1"/>
  <c r="G113" i="5"/>
  <c r="H113" i="5" s="1"/>
  <c r="G114" i="5"/>
  <c r="H114" i="5" s="1"/>
  <c r="G115" i="5"/>
  <c r="H115" i="5" s="1"/>
  <c r="G116" i="5"/>
  <c r="H116" i="5" s="1"/>
  <c r="G117" i="5"/>
  <c r="H117" i="5" s="1"/>
  <c r="G118" i="5"/>
  <c r="H118" i="5" s="1"/>
  <c r="G119" i="5"/>
  <c r="H119" i="5" s="1"/>
  <c r="G120" i="5"/>
  <c r="H120" i="5" s="1"/>
  <c r="G121" i="5"/>
  <c r="H121" i="5" s="1"/>
  <c r="G122" i="5"/>
  <c r="H122" i="5" s="1"/>
  <c r="G123" i="5"/>
  <c r="H123" i="5" s="1"/>
  <c r="G124" i="5"/>
  <c r="H124" i="5" s="1"/>
  <c r="G125" i="5"/>
  <c r="H125" i="5" s="1"/>
  <c r="G126" i="5"/>
  <c r="H126" i="5" s="1"/>
  <c r="G127" i="5"/>
  <c r="H127" i="5" s="1"/>
  <c r="G128" i="5"/>
  <c r="H128" i="5" s="1"/>
  <c r="G129" i="5"/>
  <c r="H129" i="5" s="1"/>
  <c r="G130" i="5"/>
  <c r="H130" i="5" s="1"/>
  <c r="G131" i="5"/>
  <c r="H131" i="5" s="1"/>
  <c r="G132" i="5"/>
  <c r="H132" i="5" s="1"/>
  <c r="G133" i="5"/>
  <c r="H133" i="5" s="1"/>
  <c r="G134" i="5"/>
  <c r="H134" i="5" s="1"/>
  <c r="G135" i="5"/>
  <c r="H135" i="5" s="1"/>
  <c r="G136" i="5"/>
  <c r="H136" i="5" s="1"/>
  <c r="G137" i="5"/>
  <c r="H137" i="5" s="1"/>
  <c r="G138" i="5"/>
  <c r="H138" i="5" s="1"/>
  <c r="G139" i="5"/>
  <c r="H139" i="5" s="1"/>
  <c r="G140" i="5"/>
  <c r="H140" i="5" s="1"/>
  <c r="G141" i="5"/>
  <c r="H141" i="5" s="1"/>
  <c r="G142" i="5"/>
  <c r="H142" i="5" s="1"/>
  <c r="G143" i="5"/>
  <c r="H143" i="5" s="1"/>
  <c r="G144" i="5"/>
  <c r="H144" i="5" s="1"/>
  <c r="G145" i="5"/>
  <c r="H145" i="5" s="1"/>
  <c r="G146" i="5"/>
  <c r="H146" i="5" s="1"/>
  <c r="G147" i="5"/>
  <c r="H147" i="5" s="1"/>
  <c r="G148" i="5"/>
  <c r="H148" i="5" s="1"/>
  <c r="G149" i="5"/>
  <c r="H149" i="5" s="1"/>
  <c r="G150" i="5"/>
  <c r="H150" i="5" s="1"/>
  <c r="G151" i="5"/>
  <c r="H151" i="5" s="1"/>
  <c r="G152" i="5"/>
  <c r="H152" i="5" s="1"/>
  <c r="G153" i="5"/>
  <c r="H153" i="5" s="1"/>
  <c r="G154" i="5"/>
  <c r="H154" i="5" s="1"/>
  <c r="G155" i="5"/>
  <c r="H155" i="5" s="1"/>
  <c r="G156" i="5"/>
  <c r="H156" i="5" s="1"/>
  <c r="G157" i="5"/>
  <c r="H157" i="5" s="1"/>
  <c r="G158" i="5"/>
  <c r="H158" i="5" s="1"/>
  <c r="G159" i="5"/>
  <c r="H159" i="5" s="1"/>
  <c r="G160" i="5"/>
  <c r="H160" i="5" s="1"/>
  <c r="G161" i="5"/>
  <c r="H161" i="5" s="1"/>
  <c r="G162" i="5"/>
  <c r="H162" i="5" s="1"/>
  <c r="G163" i="5"/>
  <c r="H163" i="5" s="1"/>
  <c r="G164" i="5"/>
  <c r="H164" i="5" s="1"/>
  <c r="G165" i="5"/>
  <c r="H165" i="5" s="1"/>
  <c r="B2" i="5"/>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alcChain>
</file>

<file path=xl/sharedStrings.xml><?xml version="1.0" encoding="utf-8"?>
<sst xmlns="http://schemas.openxmlformats.org/spreadsheetml/2006/main" count="14016" uniqueCount="2677">
  <si>
    <t>kategori</t>
  </si>
  <si>
    <t>kbli1</t>
  </si>
  <si>
    <t>kbli5</t>
  </si>
  <si>
    <t>judul</t>
  </si>
  <si>
    <t>contoh_usaha</t>
  </si>
  <si>
    <t>kata_kunci</t>
  </si>
  <si>
    <t>E</t>
  </si>
  <si>
    <t>PENGOLAHAN DAN PENYEDIAAN AIR MINUM</t>
  </si>
  <si>
    <t>PENAMPUNGAN DAN PENYEDIAAN AIR BAKU</t>
  </si>
  <si>
    <t>AKTIVITAS PENUNJANG PENYEDIAAN AIR</t>
  </si>
  <si>
    <t>PENGUMPULAN AIR LIMBAH</t>
  </si>
  <si>
    <t>PENGUMPULAN LIMBAH ATAU SAMPAH TIDAK BERBAHAYA</t>
  </si>
  <si>
    <t>PRODUKSI KOMPOS SAMPAH ORGANIK</t>
  </si>
  <si>
    <t>PENGOLAHAN DAN PEMBUANGAN LIMBAH ATAU SAMPAH TIDAK</t>
  </si>
  <si>
    <t>PEMULIHAN MATERIAL BARANG LOGAM</t>
  </si>
  <si>
    <t>PEMULIHAN MATERIAL BARANG PLASTIK</t>
  </si>
  <si>
    <t>H</t>
  </si>
  <si>
    <t>AKTIVITAS POS</t>
  </si>
  <si>
    <t>AKTIVITAS KURIR</t>
  </si>
  <si>
    <t>I</t>
  </si>
  <si>
    <t>AKTIVITAS HOTEL BINTANG LIMA</t>
  </si>
  <si>
    <t>AKTIVITAS HOTEL BINTANG EMPAT</t>
  </si>
  <si>
    <t>AKTIVITAS HOTEL BINTANG TIGA</t>
  </si>
  <si>
    <t>AKTIVITAS HOTEL BINTANG DUA</t>
  </si>
  <si>
    <t>AKTIVITAS HOTEL BINTANG SATU</t>
  </si>
  <si>
    <t>AKTIVITAS HOTEL NONBINTANG</t>
  </si>
  <si>
    <t>AKTIVITAS RUMAH TINGGAL SEWA (HOMESTAY)</t>
  </si>
  <si>
    <t>J</t>
  </si>
  <si>
    <t>PENERBITAN SURAT KABAR</t>
  </si>
  <si>
    <t>AKTIVITAS PRODUKSI FILM, VIDEO, DAN PROGRAM TELEVISI OLEH SWASTA</t>
  </si>
  <si>
    <t>AKTIVITAS PEMUTARAN FILM</t>
  </si>
  <si>
    <t>AKTIVITAS PEREKAMAN SUARA</t>
  </si>
  <si>
    <t>AKTIVITAS PENYIARAN RADIO ANALOG</t>
  </si>
  <si>
    <t>AKTIVITAS PENYIARAN DAN PEMROGRAMAN TELEVISI ANALOG</t>
  </si>
  <si>
    <t>AKTIVITAS KANTOR BERITA OLEH PEMERINTAH</t>
  </si>
  <si>
    <t>K</t>
  </si>
  <si>
    <t>AKTIVITAS TELEKOMUNIKASI DENGAN KABEL</t>
  </si>
  <si>
    <t>AKTIVITAS TELEKOMUNIKASI DENGAN NIRKABEL</t>
  </si>
  <si>
    <t>AKTIVITAS JASA AKSES INTERNET (INTERNET SERVICE PROVIDER)</t>
  </si>
  <si>
    <t>AKTIVITIAS JASA TELEVISI PROTOKOL INTERNET (IPTV)</t>
  </si>
  <si>
    <t>AKTIVITAS JASA TELEPONI DASAR</t>
  </si>
  <si>
    <t>AKTIVITAS PENJUALAN KEMBALI DAN JASA INTERMEDIASI UNTUK TELEKOMUNIKASI LAINNYA</t>
  </si>
  <si>
    <t>AKTIVITAS JASA TELEKOMUNIKASI KHUSUS BERBASIS SATELIT</t>
  </si>
  <si>
    <t>AKTIVITAS PEMROGRAMAN KOMPUTER LAINNYA YTDL</t>
  </si>
  <si>
    <t>AKTIVITAS JASA TEKNOLOGI INFORMASI DAN KOMPUTER LAINNYA</t>
  </si>
  <si>
    <t>AKTIVITAS PENGOLAHAN DATA</t>
  </si>
  <si>
    <t>Q</t>
  </si>
  <si>
    <t>PENDIDIKAN TAMAN KANAK-KANAK UMUM PEMERINTAH</t>
  </si>
  <si>
    <t>PENDIDIKAN TAMAN KANAK-KANAK UMUM SWASTA</t>
  </si>
  <si>
    <t>PENDIDIKAN PRASEKOLAH KEAGAMAAN ISLAM</t>
  </si>
  <si>
    <t>PENDIDIKAN PRASEKOLAH KEAGAMAAN PROTESTAN, KATOLIK, HINDU,</t>
  </si>
  <si>
    <t>PENDIDIKAN DASAR UMUM PEMERINTAH</t>
  </si>
  <si>
    <t>PENDIDIKAN DASAR UMUM SWASTA</t>
  </si>
  <si>
    <t>PENDIDIKAN DASAR KEAGAMAAN ISLAM</t>
  </si>
  <si>
    <t>PENDIDIKAN DASAR KEAGAMAAN PROTESTAN, KATOLIK, HINDU,</t>
  </si>
  <si>
    <t>PENDIDIKAN MENENGAH PERTAMA UMUM PEMERINTAH</t>
  </si>
  <si>
    <t>PENDIDIKAN MENENGAH PERTAMA UMUM SWASTA</t>
  </si>
  <si>
    <t>PENDIDIKAN MENENGAH PERTAMA KEAGAMAAN ISLAM</t>
  </si>
  <si>
    <t>PENDIDIKAN MENENGAH PERTAMA KEAGAMAAN PROTESTAN, KATOLIK,</t>
  </si>
  <si>
    <t>PENDIDIKAN MENENGAH ATAS UMUM PEMERINTAH</t>
  </si>
  <si>
    <t>PENDIDIKAN MENENGAH ATAS UMUM SWASTA</t>
  </si>
  <si>
    <t>PENDIDIKAN MENENGAH ATAS KEAGAMAAN ISLAM</t>
  </si>
  <si>
    <t>PENDIDIKAN MENENGAH ATAS KEAGAMAAN PROTESTAN, KATOLIK,</t>
  </si>
  <si>
    <t>PENDIDIKAN MENENGAH KEJURUAN UMUM PEMERINTAH</t>
  </si>
  <si>
    <t>PENDIDIKAN MENENGAH KEJURUAN UMUM SWASTA</t>
  </si>
  <si>
    <t>PENDIDIKAN TINGGI UMUM PEMERINTAH</t>
  </si>
  <si>
    <t>PENDIDIKAN TINGGI UMUM SWASTA</t>
  </si>
  <si>
    <t>PENDIDIKAN TINGGI KEAGAMAAN PEMERINTAH</t>
  </si>
  <si>
    <t>PENDIDIKAN TINGGI KEAGAMAAN SWASTA</t>
  </si>
  <si>
    <t>PENDIDIKAN OLAHRAGA DAN REKREASI</t>
  </si>
  <si>
    <t>PENDIDIKAN KEBUDAYAAN</t>
  </si>
  <si>
    <t>KEGIATAN SEKOLAH MENGEMUDI</t>
  </si>
  <si>
    <t>PENDIDIKAN PESANTREN LAINNYA</t>
  </si>
  <si>
    <t>PENDIDIKAN KEAGAMAAN ISLAM NONFORMAL</t>
  </si>
  <si>
    <t>PENDIDIKAN KEAGAMAAN LAINNYA YTDL</t>
  </si>
  <si>
    <t>PENDIDIKAN LAINNYA PEMERINTAH</t>
  </si>
  <si>
    <t>PELATIHAN KERJA PEMERINTAH</t>
  </si>
  <si>
    <t>PELATIHAN KERJA TEKNOLOGI INFORMASI DAN KOMUNIKASI SWASTA</t>
  </si>
  <si>
    <t>PELATIHAN KERJA INDUSTRI KREATIF SWASTA</t>
  </si>
  <si>
    <t>PENDIDIKAN DAN PELATIHAN PERSONEL PENERBANGAN</t>
  </si>
  <si>
    <t>PELATIHAN KERJA SWASTA LAINNYA</t>
  </si>
  <si>
    <t>PENDIDIKAN KOMPUTER (TEKNOLOGI INFORMASI DAN KOMUNIKASI)</t>
  </si>
  <si>
    <t>PENDIDIKAN BAHASA SWASTA</t>
  </si>
  <si>
    <t>PENDIDIKAN BIMBINGAN BELAJAR DAN KONSELING SWASTA</t>
  </si>
  <si>
    <t>PENDIDIKAN KERAJINAN DAN INDUSTRI</t>
  </si>
  <si>
    <t>PENDIDIKAN LAINNYA SWASTA</t>
  </si>
  <si>
    <t>R</t>
  </si>
  <si>
    <t>AKTIVITAS RUMAH SAKIT PEMERINTAH</t>
  </si>
  <si>
    <t>AKTIVITAS PUSKESMAS</t>
  </si>
  <si>
    <t>AKTIVITAS RUMAH SAKIT SWASTA</t>
  </si>
  <si>
    <t>AKTIVITAS KLINIK SWASTA</t>
  </si>
  <si>
    <t>AKTIVITAS PRAKTIK DOKTER</t>
  </si>
  <si>
    <t>AKTIVITAS PRAKTIK DOKTER SPESIALIS</t>
  </si>
  <si>
    <t>AKTIVITAS PRAKTIK DOKTER GIGI</t>
  </si>
  <si>
    <t>AKTIVITAS PELAYANAN PENUNJANG KESEHATAN</t>
  </si>
  <si>
    <t>AKTIVITAS SOSIAL PENGUMPULAN DANA KEISLAMAN</t>
  </si>
  <si>
    <t>PENDIDIKAN KELOMPOK BERMAIN</t>
  </si>
  <si>
    <t>PENDIDIKAN TAMAN PENITIPAN ANAK</t>
  </si>
  <si>
    <t>S</t>
  </si>
  <si>
    <t>AKTIVITAS PENCIPTAAN KARYA SASTRA</t>
  </si>
  <si>
    <t>AKTIVITAS PENCIPTAAN KOMPOSISI MUSIK</t>
  </si>
  <si>
    <t>AKTIVITAS PENCIPTAAN KARYA SENI RUPA</t>
  </si>
  <si>
    <t>AKTIVITAS PENCIPTAAN KARYA SENI LAINNYA</t>
  </si>
  <si>
    <t>AKTIVITAS SENI PERTUNJUKAN</t>
  </si>
  <si>
    <t>PENYELENGGARAAN KEGIATAN KESENIAN DAN KEBUDAYAAN</t>
  </si>
  <si>
    <t>AKTIVITAS PENUNJANG PENCIPTAAN KARYA SENI DAN SENI</t>
  </si>
  <si>
    <t>AKTIVITAS PERPUSTAKAAN PEMERINTAH</t>
  </si>
  <si>
    <t>MUSEUM YANG DIKELOLA PEMERINTAH</t>
  </si>
  <si>
    <t>AKTIVITAS SITUS BERSEJARAH DAN MONUMEN YANG DIKELOLA</t>
  </si>
  <si>
    <t>T</t>
  </si>
  <si>
    <t>AKTIVITAS JASA PERORANGAN LAINNYA YTDL</t>
  </si>
  <si>
    <t>Esensial</t>
  </si>
  <si>
    <t>TK Negeri; TK Pembina;</t>
  </si>
  <si>
    <t>pendidikan swasta; kursus komputer; kursus public speaking; kursus robotic;</t>
  </si>
  <si>
    <t>RS pemerintah; RSUD; RS Bhayangkara;</t>
  </si>
  <si>
    <t>praktik dokter Dasril Efendi Penyakit Dalam; Praktik Dokter Hotber Spesialis Anak;</t>
  </si>
  <si>
    <t>Umum Ditemukan</t>
  </si>
  <si>
    <t xml:space="preserve">studio rekaman suara; Mansionpro Music Studio &amp; Recording; </t>
  </si>
  <si>
    <t>A</t>
  </si>
  <si>
    <t>'01111</t>
  </si>
  <si>
    <t>PERTANIAN JAGUNG</t>
  </si>
  <si>
    <t>'01112</t>
  </si>
  <si>
    <t>PERTANIAN SEREALIA SELAIN PADI DAN JAGUNG</t>
  </si>
  <si>
    <t>'01113</t>
  </si>
  <si>
    <t>PERTANIAN KEDELAI</t>
  </si>
  <si>
    <t>'01114</t>
  </si>
  <si>
    <t>PERTANIAN KACANG TANAH</t>
  </si>
  <si>
    <t>'01115</t>
  </si>
  <si>
    <t>PERTANIAN KACANG HIJAU</t>
  </si>
  <si>
    <t>'01116</t>
  </si>
  <si>
    <t>PERTANIAN ANEKA KACANG SELAIN KEDELAI, KACANG TANAH, DAN</t>
  </si>
  <si>
    <t>'01117</t>
  </si>
  <si>
    <t>PERTANIAN BIJI-BIJIAN PENGHASIL MINYAK MAKAN</t>
  </si>
  <si>
    <t>'01118</t>
  </si>
  <si>
    <t>PERTANIAN BIJI-BIJIAN PENGHASIL MINYAK SELAIN MINYAK MAKAN</t>
  </si>
  <si>
    <t>'01121</t>
  </si>
  <si>
    <t>PERTANIAN PADI HIBRIDA</t>
  </si>
  <si>
    <t>'01122</t>
  </si>
  <si>
    <t>PERTANIAN PADI INBRIDA</t>
  </si>
  <si>
    <t>'01131</t>
  </si>
  <si>
    <t>PERTANIAN SAYURAN DAUN</t>
  </si>
  <si>
    <t>'01132</t>
  </si>
  <si>
    <t>PERTANIAN BUAH SEMUSIM</t>
  </si>
  <si>
    <t>'01133</t>
  </si>
  <si>
    <t>PERTANIAN SAYURAN BUAH</t>
  </si>
  <si>
    <t>'01134</t>
  </si>
  <si>
    <t>PERTANIAN SAYURAN UMBI</t>
  </si>
  <si>
    <t>'01135</t>
  </si>
  <si>
    <t>PERTANIAN UBI KAYU</t>
  </si>
  <si>
    <t>'01136</t>
  </si>
  <si>
    <t>PERTANIAN JAMUR</t>
  </si>
  <si>
    <t>'01137</t>
  </si>
  <si>
    <t>PERTANIAN BIT GULA DAN TANAMAN PEMANIS SELAIN TEBU</t>
  </si>
  <si>
    <t>'01138</t>
  </si>
  <si>
    <t>PERTANIAN CABAI</t>
  </si>
  <si>
    <t>'01139</t>
  </si>
  <si>
    <t>PERTANIAN UMBI LAINNYA</t>
  </si>
  <si>
    <t>'01140</t>
  </si>
  <si>
    <t>PERTANIAN TEBU</t>
  </si>
  <si>
    <t>'01150</t>
  </si>
  <si>
    <t>PERTANIAN TEMBAKAU</t>
  </si>
  <si>
    <t>'01160</t>
  </si>
  <si>
    <t>PERTANIAN TANAMAN BERSERAT</t>
  </si>
  <si>
    <t>'01191</t>
  </si>
  <si>
    <t>PERTANIAN TANAMAN PAKAN TERNAK</t>
  </si>
  <si>
    <t>'01192</t>
  </si>
  <si>
    <t>PEMBENIHAN TANAMAN PAKAN TERNAK DAN PEMBENIHAN BIT (BUKAN</t>
  </si>
  <si>
    <t>'01193</t>
  </si>
  <si>
    <t>PERTANIAN TANAMAN BUNGA</t>
  </si>
  <si>
    <t>'01194</t>
  </si>
  <si>
    <t>PERTANIAN PEMBENIHAN TANAMAN BUNGA</t>
  </si>
  <si>
    <t>'01199</t>
  </si>
  <si>
    <t>PERTANIAN TANAMAN SEMUSIM LAINNYA YTDL</t>
  </si>
  <si>
    <t>'01210</t>
  </si>
  <si>
    <t>PERTANIAN BUAH ANGGUR</t>
  </si>
  <si>
    <t>'01220</t>
  </si>
  <si>
    <t>PERTANIAN BUAH-BUAHAN TROPIS DAN SUBTROPIS</t>
  </si>
  <si>
    <t>'01230</t>
  </si>
  <si>
    <t>PERTANIAN BUAH JERUK</t>
  </si>
  <si>
    <t>'01240</t>
  </si>
  <si>
    <t>PERTANIAN BUAH APEL DAN BUAH BATU (POME AND STONE FRUITS)</t>
  </si>
  <si>
    <t>'01251</t>
  </si>
  <si>
    <t>PERTANIAN BUAH BERI</t>
  </si>
  <si>
    <t>'01252</t>
  </si>
  <si>
    <t>PERTANIAN BUAH BIJI KACANG-KACANGAN</t>
  </si>
  <si>
    <t>'01253</t>
  </si>
  <si>
    <t>PERTANIAN SAYURAN TAHUNAN</t>
  </si>
  <si>
    <t>'01259</t>
  </si>
  <si>
    <t>PERTANIAN BUAH SEMAK LAINNYA</t>
  </si>
  <si>
    <t>'01261</t>
  </si>
  <si>
    <t>PERTANIAN KELAPA</t>
  </si>
  <si>
    <t>'01262</t>
  </si>
  <si>
    <t>PERTANIAN KELAPA SAWIT</t>
  </si>
  <si>
    <t>'01269</t>
  </si>
  <si>
    <t>PERTANIAN BUAH OLEAGIN LAINNYA</t>
  </si>
  <si>
    <t>'01271</t>
  </si>
  <si>
    <t>PERTANIAN KOPI</t>
  </si>
  <si>
    <t>'01272</t>
  </si>
  <si>
    <t>PERTANIAN TANAMAN TEH</t>
  </si>
  <si>
    <t>'01273</t>
  </si>
  <si>
    <t>PERTANIAN KAKAO</t>
  </si>
  <si>
    <t>'01279</t>
  </si>
  <si>
    <t>PERTANIAN TANAMAN UNTUK BAHAN MINUMAN LAINNYA</t>
  </si>
  <si>
    <t>'01281</t>
  </si>
  <si>
    <t>PERTANIAN LADA</t>
  </si>
  <si>
    <t>'01282</t>
  </si>
  <si>
    <t>PERTANIAN CENGKIH</t>
  </si>
  <si>
    <t>'01283</t>
  </si>
  <si>
    <t>PERTANIAN PALA</t>
  </si>
  <si>
    <t>'01284</t>
  </si>
  <si>
    <t>PERTANIAN TANAMAN AROMATIK/PENYEGAR</t>
  </si>
  <si>
    <t>'01285</t>
  </si>
  <si>
    <t>PERTANIAN TANAMAN OBAT RIMPANG</t>
  </si>
  <si>
    <t>'01286</t>
  </si>
  <si>
    <t>PERTANIAN TANAMAN OBAT NONRIMPANG</t>
  </si>
  <si>
    <t>'01287</t>
  </si>
  <si>
    <t>PERTANIAN TANAMAN NARKOTIKA DAN TANAMAN OBAT TERLARANG</t>
  </si>
  <si>
    <t>'01289</t>
  </si>
  <si>
    <t>PERTANIAN TANAMAN REMPAH-REMPAH DAN AROMATIK/PENYEGAR</t>
  </si>
  <si>
    <t>'01291</t>
  </si>
  <si>
    <t>PERTANIAN POHON KARET DAN TANAMAN PENGHASIL GETAH LAINNYA</t>
  </si>
  <si>
    <t>'01299</t>
  </si>
  <si>
    <t>PERTANIAN TANAMAN TAHUNAN LAINNYA YTDL</t>
  </si>
  <si>
    <t>'01301</t>
  </si>
  <si>
    <t>PERTANIAN TANAMAN HIAS</t>
  </si>
  <si>
    <t>'01302</t>
  </si>
  <si>
    <t>PENANGKARAN TUMBUHAN LIAR</t>
  </si>
  <si>
    <t>'01309</t>
  </si>
  <si>
    <t>PEMBIAKAN TANAMAN LAINNYA</t>
  </si>
  <si>
    <t>'01411</t>
  </si>
  <si>
    <t>BUDI DAYA DAN PEMBIBITAN SAPI POTONG</t>
  </si>
  <si>
    <t>'01412</t>
  </si>
  <si>
    <t>BUDI DAYA DAN PEMBIBITAN SAPI PERAH</t>
  </si>
  <si>
    <t>'01413</t>
  </si>
  <si>
    <t>BUDI DAYA DAN PEMBIBITAN KERBAU POTONG</t>
  </si>
  <si>
    <t>'01414</t>
  </si>
  <si>
    <t>BUDI DAYA DAN PEMBIBITAN KERBAU PERAH</t>
  </si>
  <si>
    <t>'01420</t>
  </si>
  <si>
    <t>PETERNAKAN KUDA DAN SEJENISNYA</t>
  </si>
  <si>
    <t>'01430</t>
  </si>
  <si>
    <t>PETERNAKAN UNTA DAN SEJENISNYA</t>
  </si>
  <si>
    <t>'01441</t>
  </si>
  <si>
    <t>BUDI DAYA DAN PEMBIBITAN DOMBA POTONG</t>
  </si>
  <si>
    <t>'01442</t>
  </si>
  <si>
    <t>BUDI DAYA DAN PEMBIBITAN KAMBING POTONG</t>
  </si>
  <si>
    <t>'01443</t>
  </si>
  <si>
    <t>BUDI DAYA DAN PEMBIBITAN KAMBING PERAH</t>
  </si>
  <si>
    <t>'01444</t>
  </si>
  <si>
    <t>BUDI DAYA DAN PEMBIBITAN DOMBA PERAH</t>
  </si>
  <si>
    <t>'01445</t>
  </si>
  <si>
    <t>PRODUKSI BULU DOMBA MENTAH/RAW WOOL</t>
  </si>
  <si>
    <t>'01450</t>
  </si>
  <si>
    <t>PETERNAKAN BABI</t>
  </si>
  <si>
    <t>'01461</t>
  </si>
  <si>
    <t>BUDI DAYA AYAM RAS PEDAGING</t>
  </si>
  <si>
    <t>'01462</t>
  </si>
  <si>
    <t>BUDI DAYA AYAM RAS PETELUR</t>
  </si>
  <si>
    <t>'01463</t>
  </si>
  <si>
    <t>PEMBIBITAN AYAM LOKAL DAN PERSILANGANNYA</t>
  </si>
  <si>
    <t>'01464</t>
  </si>
  <si>
    <t>BUDI DAYA AYAM LOKAL DAN PERSILANGANNYA</t>
  </si>
  <si>
    <t>'01465</t>
  </si>
  <si>
    <t>BUDI DAYA DAN PEMBIBITAN ITIK DAN BEBEK</t>
  </si>
  <si>
    <t>'01466</t>
  </si>
  <si>
    <t>BUDI DAYA DAN PEMBIBITAN BURUNG PUYUH</t>
  </si>
  <si>
    <t>'01467</t>
  </si>
  <si>
    <t>BUDI DAYA DAN PEMBIBITAN BURUNG MERPATI</t>
  </si>
  <si>
    <t>'01468</t>
  </si>
  <si>
    <t>PEMBIBITAN AYAM RAS</t>
  </si>
  <si>
    <t>'01469</t>
  </si>
  <si>
    <t>BUDI DAYA DAN PEMBIBITAN UNGGAS LAINNYA</t>
  </si>
  <si>
    <t>'01491</t>
  </si>
  <si>
    <t>BUDI DAYA DAN PEMBIBITAN BURUNG UNTA</t>
  </si>
  <si>
    <t>'01492</t>
  </si>
  <si>
    <t>BUDI DAYA DAN PEMBIBITAN ULAT SUTRA</t>
  </si>
  <si>
    <t>'01493</t>
  </si>
  <si>
    <t>BUDI DAYA DAN PEMBIBITAN LEBAH</t>
  </si>
  <si>
    <t>'01494</t>
  </si>
  <si>
    <t>BUDI DAYA DAN PEMBIBITAN RUSA</t>
  </si>
  <si>
    <t>'01495</t>
  </si>
  <si>
    <t>BUDI DAYA DAN PEMBIBITAN KELINCI</t>
  </si>
  <si>
    <t>'01496</t>
  </si>
  <si>
    <t>BUDI DAYA DAN PEMBIBITAN CACING</t>
  </si>
  <si>
    <t>'01497</t>
  </si>
  <si>
    <t>BUDI DAYA DAN PEMBIBITAN BURUNG WALET</t>
  </si>
  <si>
    <t>'01498</t>
  </si>
  <si>
    <t>PENANGKARAN SATWA LIAR</t>
  </si>
  <si>
    <t>'01499</t>
  </si>
  <si>
    <t>BUDI DAYA DAN PEMBIBITAN HEWAN LAINNYA</t>
  </si>
  <si>
    <t>'01611</t>
  </si>
  <si>
    <t>JASA PENGOLAHAN LAHAN</t>
  </si>
  <si>
    <t>'01612</t>
  </si>
  <si>
    <t>JASA PEMUPUKAN</t>
  </si>
  <si>
    <t>'01613</t>
  </si>
  <si>
    <t>JASA PEMANENAN</t>
  </si>
  <si>
    <t>'01614</t>
  </si>
  <si>
    <t>JASA PENYEMPROTAN DAN PENYERBUKAN MELALUI UDARA</t>
  </si>
  <si>
    <t>'01615</t>
  </si>
  <si>
    <t>JASA PENGENDALIAN ORGANISME PENGGANGGU TUMBUHAN (OPT)</t>
  </si>
  <si>
    <t>'01616</t>
  </si>
  <si>
    <t>JASA PENANAMAN BENIH</t>
  </si>
  <si>
    <t>'01619</t>
  </si>
  <si>
    <t>JASA PENUNJANG PERTANIAN LAINNYA</t>
  </si>
  <si>
    <t>'01621</t>
  </si>
  <si>
    <t>JASA PERKAWINAN TERNAK</t>
  </si>
  <si>
    <t>'01622</t>
  </si>
  <si>
    <t>JASA PENETASAN TELUR</t>
  </si>
  <si>
    <t>'01629</t>
  </si>
  <si>
    <t>JASA PENUNJANG PETERNAKAN LAINNYA</t>
  </si>
  <si>
    <t>'01630</t>
  </si>
  <si>
    <t>JASA PASCAPANEN</t>
  </si>
  <si>
    <t>'01640</t>
  </si>
  <si>
    <t>PEMILIHAN BENIH TANAMAN UNTUK PEMBIAKAN</t>
  </si>
  <si>
    <t>'01700</t>
  </si>
  <si>
    <t>PERBURUAN, PENANGKAPAN, DAN KEGIATAN JASA TERKAIT</t>
  </si>
  <si>
    <t>'02101</t>
  </si>
  <si>
    <t>PENGELOLAAN HUTAN</t>
  </si>
  <si>
    <t>'02102</t>
  </si>
  <si>
    <t>PEMANFAATAN KAYU HUTAN</t>
  </si>
  <si>
    <t>'02103</t>
  </si>
  <si>
    <t>PEMBENIHAN TANAMAN KEHUTANAN</t>
  </si>
  <si>
    <t>'02201</t>
  </si>
  <si>
    <t>PEMANENAN KAYU</t>
  </si>
  <si>
    <t>'02202</t>
  </si>
  <si>
    <t>PEMUNGUTAN KAYU</t>
  </si>
  <si>
    <t>'02300</t>
  </si>
  <si>
    <t>PEMUNGUTAN HASIL HUTAN BUKAN KAYU</t>
  </si>
  <si>
    <t>'02401</t>
  </si>
  <si>
    <t>JASA LINGKUNGAN HUTAN</t>
  </si>
  <si>
    <t>'02402</t>
  </si>
  <si>
    <t>JASA PENGGUNAAN KAWASAN KEHUTANAN</t>
  </si>
  <si>
    <t>'02409</t>
  </si>
  <si>
    <t>JASA PENUNJANG KEHUTANAN LAINNYA</t>
  </si>
  <si>
    <t>'03110</t>
  </si>
  <si>
    <t>PENANGKAPAN IKAN DAN BIOTA AIR LAINNYA DI LAUT</t>
  </si>
  <si>
    <t>'03120</t>
  </si>
  <si>
    <t>PENANGKAPAN IKAN DAN BIOTA AIR LAINNYA DI PERAIRAN AIR TAWAR</t>
  </si>
  <si>
    <t>'03211</t>
  </si>
  <si>
    <t>PEMBUDIDAYAAN IKAN BERSIRIP (SELAIN IKAN HIAS) DAN BIOTA AIR</t>
  </si>
  <si>
    <t>'03212</t>
  </si>
  <si>
    <t>PEMBUDIDAYAAN IKAN HIAS AIR LAUT YANG TIDAK DILINDUNGI</t>
  </si>
  <si>
    <t>'03213</t>
  </si>
  <si>
    <t>PEMBUDIDAYAAN TUMBUHAN AIR LAUT YANG TIDAK DILINDUNGI</t>
  </si>
  <si>
    <t>'03214</t>
  </si>
  <si>
    <t>PENGEMBANGBIAKAN IKAN DAN BIOTA AIR LAUT YANG DILINDUNGI</t>
  </si>
  <si>
    <t>'03221</t>
  </si>
  <si>
    <t>'03222</t>
  </si>
  <si>
    <t>PEMBUDIDAYAAN IKAN HIAS AIR TAWAR YANG TIDAK DILINDUNGI</t>
  </si>
  <si>
    <t>'03223</t>
  </si>
  <si>
    <t>PEMBUDIDAYAAN TUMBUHAN AIR TAWAR YANG TIDAK DILINDUNGI</t>
  </si>
  <si>
    <t>'03224</t>
  </si>
  <si>
    <t>PENGEMBANGBIAKAN BIOTA AIR TAWAR YANG DILINDUNGI</t>
  </si>
  <si>
    <t>'03231</t>
  </si>
  <si>
    <t>'03232</t>
  </si>
  <si>
    <t>PEMBUDIDAYAAN IKAN HIAS AIR PAYAU YANG TIDAK DILINDUNGI</t>
  </si>
  <si>
    <t>'03233</t>
  </si>
  <si>
    <t>PEMBUDIDAYAAN TUMBUHAN AIR PAYAU YANG TIDAK DILINDUNGI</t>
  </si>
  <si>
    <t>'03234</t>
  </si>
  <si>
    <t>PENGEMBANGBIAKAN BIOTA AIR PAYAU YANG DILINDUNGI</t>
  </si>
  <si>
    <t>'03300</t>
  </si>
  <si>
    <t>JASA PENUNJANG KEGIATAN PENANGKAPAN DAN PEMBUDIDAYAAN IKAN</t>
  </si>
  <si>
    <t>B</t>
  </si>
  <si>
    <t>'05101</t>
  </si>
  <si>
    <t>PERTAMBANGAN BATU BARA</t>
  </si>
  <si>
    <t>'05102</t>
  </si>
  <si>
    <t>BENEFISIASI ATAU PENINGKATAN KUALITAS BATU BARA</t>
  </si>
  <si>
    <t>'05200</t>
  </si>
  <si>
    <t>PERTAMBANGAN LIGNIT</t>
  </si>
  <si>
    <t>'06100</t>
  </si>
  <si>
    <t>PERTAMBANGAN MINYAK BUMI</t>
  </si>
  <si>
    <t>'06201</t>
  </si>
  <si>
    <t>PERTAMBANGAN GAS ALAM</t>
  </si>
  <si>
    <t>'06202</t>
  </si>
  <si>
    <t>PENGUSAHAAN TENAGA PANAS BUMI</t>
  </si>
  <si>
    <t>'07101</t>
  </si>
  <si>
    <t>PERTAMBANGAN PASIR BESI</t>
  </si>
  <si>
    <t>'07102</t>
  </si>
  <si>
    <t>PERTAMBANGAN BIJIH BESI</t>
  </si>
  <si>
    <t>'07210</t>
  </si>
  <si>
    <t>PERTAMBANGAN BIJIH URANIUM DAN TORIUM</t>
  </si>
  <si>
    <t>'07221</t>
  </si>
  <si>
    <t>PERTAMBANGAN EMAS DAN PERAK</t>
  </si>
  <si>
    <t>'07229</t>
  </si>
  <si>
    <t>PERTAMBANGAN BIJIH LOGAM MULIA LAINNYA</t>
  </si>
  <si>
    <t>'07291</t>
  </si>
  <si>
    <t>PERTAMBANGAN BIJIH TIMAH</t>
  </si>
  <si>
    <t>'07292</t>
  </si>
  <si>
    <t>PERTAMBANGAN BIJIH TIMAH HITAM</t>
  </si>
  <si>
    <t>'07293</t>
  </si>
  <si>
    <t>PERTAMBANGAN BIJIH BAUKSIT</t>
  </si>
  <si>
    <t>'07294</t>
  </si>
  <si>
    <t>PERTAMBANGAN BIJIH TEMBAGA</t>
  </si>
  <si>
    <t>'07295</t>
  </si>
  <si>
    <t>PERTAMBANGAN BIJIH NIKEL</t>
  </si>
  <si>
    <t>'07296</t>
  </si>
  <si>
    <t>PERTAMBANGAN BIJIH MANGAN</t>
  </si>
  <si>
    <t>'07299</t>
  </si>
  <si>
    <t>PERTAMBANGAN BAHAN GALIAN LAINNYA YANG TIDAK MENGANDUNG</t>
  </si>
  <si>
    <t>'08101</t>
  </si>
  <si>
    <t>PENGGALIAN BATU HIAS DAN BATU BANGUNAN</t>
  </si>
  <si>
    <t>'08102</t>
  </si>
  <si>
    <t>PENGGALIAN BATU KAPUR/GAMPING</t>
  </si>
  <si>
    <t>'08103</t>
  </si>
  <si>
    <t>PENGGALIAN KERIKIL/SIRTU</t>
  </si>
  <si>
    <t>'08104</t>
  </si>
  <si>
    <t>PENGGALIAN PASIR</t>
  </si>
  <si>
    <t>'08105</t>
  </si>
  <si>
    <t>PENGGALIAN TANAH DAN TANAH LIAT</t>
  </si>
  <si>
    <t>'08106</t>
  </si>
  <si>
    <t>PENGGALIAN GIPS</t>
  </si>
  <si>
    <t>'08107</t>
  </si>
  <si>
    <t>PENGGALIAN TRAS</t>
  </si>
  <si>
    <t>'08108</t>
  </si>
  <si>
    <t>PENGGALIAN BATU APUNG</t>
  </si>
  <si>
    <t>'08109</t>
  </si>
  <si>
    <t>PENGGALIAN BATU, PASIR, DAN TANAH LIAT LAINNYA</t>
  </si>
  <si>
    <t>'08911</t>
  </si>
  <si>
    <t>PERTAMBANGAN BELERANG</t>
  </si>
  <si>
    <t>'08912</t>
  </si>
  <si>
    <t>PERTAMBANGAN FOSFAT</t>
  </si>
  <si>
    <t>'08913</t>
  </si>
  <si>
    <t>PERTAMBANGAN NITRAT</t>
  </si>
  <si>
    <t>'08914</t>
  </si>
  <si>
    <t>PERTAMBANGAN YODIUM</t>
  </si>
  <si>
    <t>'08915</t>
  </si>
  <si>
    <t>PERTAMBANGAN POTASH (KALIUM KARBONAT)</t>
  </si>
  <si>
    <t>'08919</t>
  </si>
  <si>
    <t>PERTAMBANGAN MINERAL, BAHAN KIMIA, DAN BAHAN PUPUK LAINNYA</t>
  </si>
  <si>
    <t>'08920</t>
  </si>
  <si>
    <t>EKSTRAKSI TANAH GAMBUT (PEAT)</t>
  </si>
  <si>
    <t>'08930</t>
  </si>
  <si>
    <t>EKSTRAKSI GARAM</t>
  </si>
  <si>
    <t>'08991</t>
  </si>
  <si>
    <t>PERTAMBANGAN BATU MULIA</t>
  </si>
  <si>
    <t>'08992</t>
  </si>
  <si>
    <t>PENGGALIAN FELDSPAR DAN KALSIT</t>
  </si>
  <si>
    <t>'08993</t>
  </si>
  <si>
    <t>PERTAMBANGAN ASPAL ALAM</t>
  </si>
  <si>
    <t>'08994</t>
  </si>
  <si>
    <t>PENGGALIAN ASBES</t>
  </si>
  <si>
    <t>'08995</t>
  </si>
  <si>
    <t>PENGGALIAN KUARSA/PASIR KUARSA</t>
  </si>
  <si>
    <t>'08996</t>
  </si>
  <si>
    <t>PERTAMBANGAN BIJIH LOGAM TANAH JARANG</t>
  </si>
  <si>
    <t>'08999</t>
  </si>
  <si>
    <t>PERTAMBANGAN DAN PENGGALIAN LAINNYA YTDL</t>
  </si>
  <si>
    <t>'09100</t>
  </si>
  <si>
    <t>AKTIVITAS PENUNJANG PERTAMBANGAN MINYAK BUMI DAN GAS ALAM</t>
  </si>
  <si>
    <t>'09900</t>
  </si>
  <si>
    <t>AKTIVITAS PENUNJANG PERTAMBANGAN DAN PENGGALIAN LAINNYA</t>
  </si>
  <si>
    <t>C</t>
  </si>
  <si>
    <t>KEGIATAN RUMAH POTONG HEWAN RUMINANSIA</t>
  </si>
  <si>
    <t>KEGIATAN RUMAH POTONG BABI</t>
  </si>
  <si>
    <t>KEGIATAN RUMAH POTONG UNGGAS</t>
  </si>
  <si>
    <t>KEGIATAN RUMAH POTONG HEWAN LAINNYA</t>
  </si>
  <si>
    <t>PENGOLAHAN DAN PENGAWETAN DAGING DAN PRODUK DAGING</t>
  </si>
  <si>
    <t>PENGOLAHAN DAN PENGAWETAN IKAN DENGAN PENGGARAMAN ATAU</t>
  </si>
  <si>
    <t>PENGOLAHAN DAN PENGAWETAN IKAN DENGAN PENGASAPAN ATAU</t>
  </si>
  <si>
    <t>PENGOLAHAN DAN PENGAWETAN IKAN DENGAN PEMBEKUAN</t>
  </si>
  <si>
    <t>PENGOLAHAN DAN PENGAWETAN IKAN DENGAN PEMINDANGAN</t>
  </si>
  <si>
    <t>PENGOLAHAN DAN PENGAWETAN IKAN DENGAN FERMENTASI</t>
  </si>
  <si>
    <t>PENGOLAHAN DAN PENGAWETAN IKAN DENGAN PELUMATAN</t>
  </si>
  <si>
    <t>PENGOLAHAN DAN PENGAWETAN IKAN DENGAN PENGALENGAN</t>
  </si>
  <si>
    <t>PENGOLAHAN DAN PENGAWETAN IKAN MENJADI PRODUK OLAHAN</t>
  </si>
  <si>
    <t>PENGOLAHAN DAN PENGAWETAN IKAN DENGAN METODE LAINNYA</t>
  </si>
  <si>
    <t>PENGOLAHAN DAN PENGAWETAN BIOTA AIR LAINNYA DENGAN</t>
  </si>
  <si>
    <t>PENGOLAHAN DAN PENGAWETAN RUMPUT LAUT</t>
  </si>
  <si>
    <t>PENGOLAHAN DAN PENGAWETAN BIOTA AIR LAINNYA DENGAN METODE</t>
  </si>
  <si>
    <t>PENGASINAN BUAH-BUAHAN DAN SAYURAN</t>
  </si>
  <si>
    <t>PELUMATAN BUAH-BUAHAN DAN SAYURAN</t>
  </si>
  <si>
    <t>PENGERINGAN BUAH-BUAHAN DAN SAYURAN</t>
  </si>
  <si>
    <t>PEMBEKUAN BUAH-BUAHAN DAN SAYURAN</t>
  </si>
  <si>
    <t>PENGALENGAN BUAH-BUAHAN DAN SAYURAN</t>
  </si>
  <si>
    <t>PENGOLAHAN SARI BUAH-BUAHAN DAN SAYURAN</t>
  </si>
  <si>
    <t>PEMBUATAN TEMPE KEDELAI</t>
  </si>
  <si>
    <t>PEMBUATAN TAHU KEDELAI</t>
  </si>
  <si>
    <t>PENGOLAHAN DAN PENGAWETAN LAINNYA UNTUK BUAH-BUAHAN DAN</t>
  </si>
  <si>
    <t>INDUSTRI MINYAK MENTAH DAN LEMAK NABATI BUKAN KELAPA DAN</t>
  </si>
  <si>
    <t>INDUSTRI MARGARIN</t>
  </si>
  <si>
    <t>INDUSTRI MINYAK MENTAH DAN LEMAK DARI HEWAN SELAIN IKAN</t>
  </si>
  <si>
    <t>INDUSTRI MINYAK IKAN</t>
  </si>
  <si>
    <t>INDUSTRI MINYAK GORENG DAN MINYAK MAKAN BUKAN MINYAK</t>
  </si>
  <si>
    <t>INDUSTRI MINYAK MENTAH DAN LEMAK NABATI DAN HEWANI BUKAN</t>
  </si>
  <si>
    <t>INDUSTRI KOPRA</t>
  </si>
  <si>
    <t>INDUSTRI MINYAK MENTAH KELAPA</t>
  </si>
  <si>
    <t>INDUSTRI MINYAK GORENG KELAPA</t>
  </si>
  <si>
    <t>INDUSTRI MINYAK MENTAH KELAPA SAWIT (CRUDE PALM OIL)</t>
  </si>
  <si>
    <t>INDUSTRI MINYAK MENTAH INTI KELAPA SAWIT (CRUDE PALM KERNEL</t>
  </si>
  <si>
    <t>INDUSTRI PEMISAHAN/FRAKSINASI MINYAK MENTAH KELAPA SAWIT</t>
  </si>
  <si>
    <t>INDUSTRI PEMURNIAN MINYAK MENTAH KELAPA SAWIT DAN MINYAK</t>
  </si>
  <si>
    <t>INDUSTRI PEMISAHAN/FRAKSINASI MINYAK MURNI KELAPA SAWIT</t>
  </si>
  <si>
    <t>INDUSTRI PEMISAHAN/FRAKSINASI MINYAK MURNI INTI KELAPA SAWIT</t>
  </si>
  <si>
    <t>INDUSTRI MINYAK GORENG KELAPA SAWIT</t>
  </si>
  <si>
    <t>INDUSTRI SUSU SEGAR DAN KRIM</t>
  </si>
  <si>
    <t>INDUSTRI SUSU BUBUK DAN SUSU KENTAL</t>
  </si>
  <si>
    <t>INDUSTRI ES KRIM</t>
  </si>
  <si>
    <t>INDUSTRI ES YANG DAPAT DIMAKAN DAN ES PENCUCI MULUT</t>
  </si>
  <si>
    <t>INDUSTRI PRODUK SUSU LAINNYA</t>
  </si>
  <si>
    <t>INDUSTRI PRODUK GILINGAN GANDUM (SELAIN TEPUNG TERIGU) DAN</t>
  </si>
  <si>
    <t>INDUSTRI PRODUK GILINGAN ANEKA KACANG</t>
  </si>
  <si>
    <t>INDUSTRI PRODUK GILINGAN ANEKA UMBI, TANAMAN RIMPANG, DAN</t>
  </si>
  <si>
    <t>INDUSTRI TEPUNG CAMPURAN DAN ADONAN TEPUNG</t>
  </si>
  <si>
    <t>INDUSTRI MAKANAN SEREAL</t>
  </si>
  <si>
    <t>INDUSTRI TEPUNG TERIGU</t>
  </si>
  <si>
    <t>INDUSTRI PATI UBI KAYU</t>
  </si>
  <si>
    <t>INDUSTRI BERBAGAI MACAM PATI PALEM</t>
  </si>
  <si>
    <t>INDUSTRI GLUKOSA DAN SEJENISNYA</t>
  </si>
  <si>
    <t>INDUSTRI PATI DAN PRODUK PATI LAINNYA</t>
  </si>
  <si>
    <t>INDUSTRI PENGGILINGAN PADI DAN PENYOSOHAN BERAS</t>
  </si>
  <si>
    <t>INDUSTRI PEMIPILAN JAGUNG</t>
  </si>
  <si>
    <t>INDUSTRI TEPUNG BERAS DAN TEPUNG JAGUNG</t>
  </si>
  <si>
    <t>INDUSTRI PATI BERAS DAN JAGUNG</t>
  </si>
  <si>
    <t>INDUSTRI PEMANIS DARI BERAS DAN JAGUNG</t>
  </si>
  <si>
    <t>INDUSTRI MINYAK DARI BERAS DAN JAGUNG</t>
  </si>
  <si>
    <t>INDUSTRI PRODUK BAKERI</t>
  </si>
  <si>
    <t>INDUSTRI GULA PASIR</t>
  </si>
  <si>
    <t>INDUSTRI GULA MERAH</t>
  </si>
  <si>
    <t>INDUSTRI SIROP</t>
  </si>
  <si>
    <t>INDUSTRI GULA LAINNYA</t>
  </si>
  <si>
    <t>INDUSTRI PENGOLAHAN KAKAO</t>
  </si>
  <si>
    <t>INDUSTRI COKELAT DAN KEMBANG GULA DARI COKELAT</t>
  </si>
  <si>
    <t>INDUSTRI MANISAN BUAH-BUAHAN DAN SAYURAN KERING</t>
  </si>
  <si>
    <t>INDUSTRI KEMBANG GULA LAINNYA</t>
  </si>
  <si>
    <t>INDUSTRI MAKARONI, MI, COUSCOUS, DAN PRODUK SEJENISNYA</t>
  </si>
  <si>
    <t>INDUSTRI MAKANAN DAN MASAKAN OLAHAN</t>
  </si>
  <si>
    <t>PENGOLAHAN KOPI</t>
  </si>
  <si>
    <t>PENGOLAHAN TEH</t>
  </si>
  <si>
    <t>INDUSTRI KECAP</t>
  </si>
  <si>
    <t>INDUSTRI GARAM KONSUMSI BERYODIUM</t>
  </si>
  <si>
    <t>INDUSTRI GARAM INDUSTRI ANEKA PANGAN</t>
  </si>
  <si>
    <t>INDUSTRI BUMBU MASAKAN LAINNYA</t>
  </si>
  <si>
    <t>INDUSTRI MAKANAN BAYI DAN MAKANAN KHUSUS</t>
  </si>
  <si>
    <t>INDUSTRI KUE BASAH</t>
  </si>
  <si>
    <t>INDUSTRI PRODUK MAKANAN DARI KELAPA</t>
  </si>
  <si>
    <t>INDUSTRI KERUPUK, KERIPIK, PEYEK, DAN SEJENISNYA</t>
  </si>
  <si>
    <t>INDUSTRI SARI NABATI DAN KRIMER NABATI</t>
  </si>
  <si>
    <t>INDUSTRI DODOL</t>
  </si>
  <si>
    <t>INDUSTRI INFUSI HERBAL/HERB INFUSION</t>
  </si>
  <si>
    <t>INDUSTRI BAHAN MAKANAN DARI RUMPUT LAUT</t>
  </si>
  <si>
    <t>INDUSTRI PRODUK MAKANAN LAINNYA YTDL</t>
  </si>
  <si>
    <t>INDUSTRI RANSUM PAKAN HEWAN</t>
  </si>
  <si>
    <t>INDUSTRI KONSENTRAT PAKAN HEWAN</t>
  </si>
  <si>
    <t>INDUSTRI PENYULINGAN, PEMURNIAN, DAN PENCAMPURAN MINUMAN</t>
  </si>
  <si>
    <t>INDUSTRI MINUMAN BERALKOHOL HASIL FERMENTASI ANGGUR DAN</t>
  </si>
  <si>
    <t>INDUSTRI MINUMAN BERALKOHOL HASIL FERMENTASI MALT</t>
  </si>
  <si>
    <t>INDUSTRI MALT</t>
  </si>
  <si>
    <t>INDUSTRI AIR KEMASAN</t>
  </si>
  <si>
    <t>INDUSTRI AIR MINUM ISI ULANG</t>
  </si>
  <si>
    <t>INDUSTRI MINUMAN RINGAN</t>
  </si>
  <si>
    <t>INDUSTRI MINUMAN LAINNYA</t>
  </si>
  <si>
    <t>INDUSTRI SIGARET KRETEK TANGAN</t>
  </si>
  <si>
    <t>INDUSTRI SIGARET KRETEK MESIN</t>
  </si>
  <si>
    <t>INDUSTRI ROKOK PUTIH</t>
  </si>
  <si>
    <t>INDUSTRI PENGERINGAN DAN PENGOLAHAN TEMBAKAU</t>
  </si>
  <si>
    <t>INDUSTRI BUMBU ROKOK</t>
  </si>
  <si>
    <t>INDUSTRI PRODUK TEMBAKAU LAINNYA</t>
  </si>
  <si>
    <t>PERSIAPAN SERAT TEKSTIL</t>
  </si>
  <si>
    <t>PEMINTALAN BENANG SELAIN BENANG JAHIT</t>
  </si>
  <si>
    <t>PEMINTALAN BENANG JAHIT</t>
  </si>
  <si>
    <t>PERTENUNAN TEKSTIL DENGAN MESIN</t>
  </si>
  <si>
    <t>PERTENUNAN TEKSTIL BUKAN DENGAN MESIN</t>
  </si>
  <si>
    <t>PENYEMPURNAAN BENANG</t>
  </si>
  <si>
    <t>PENYEMPURNAAN BASAH KAIN</t>
  </si>
  <si>
    <t>INDUSTRI KAIN BATIK</t>
  </si>
  <si>
    <t>PENYEMPURNAAN TEKSTIL LAINNYA</t>
  </si>
  <si>
    <t>INDUSTRI KAIN RAJUTAN</t>
  </si>
  <si>
    <t>INDUSTRI KAIN CROCHETED</t>
  </si>
  <si>
    <t>INDUSTRI BULU TIRUAN RAJUTAN</t>
  </si>
  <si>
    <t>INDUSTRI BARANG TEKSTIL UNTUK KEPERLUAN RUMAH TANGGA</t>
  </si>
  <si>
    <t>INDUSTRI BARANG TEKSTIL DENGAN BAHAN PENGISI</t>
  </si>
  <si>
    <t>INDUSTRI KARUNG GONI</t>
  </si>
  <si>
    <t>INDUSTRI KARUNG SELAIN KARUNG GONI</t>
  </si>
  <si>
    <t>INDUSTRI BARANG TEKSTIL BUKAN PAKAIAN JADI LAINNYA</t>
  </si>
  <si>
    <t>INDUSTRI KARPET DAN PERMADANI</t>
  </si>
  <si>
    <t>INDUSTRI TALI</t>
  </si>
  <si>
    <t>INDUSTRI BARANG DARI TALI</t>
  </si>
  <si>
    <t>INDUSTRI KAIN NARROW</t>
  </si>
  <si>
    <t>INDUSTRI KAIN YANG DILAPISI DAN SEJENISNYA</t>
  </si>
  <si>
    <t>INDUSTRI KAIN NIRTENUN/NONWOVEN</t>
  </si>
  <si>
    <t>INDUSTRI KAIN BAN</t>
  </si>
  <si>
    <t>INDUSTRI KAPUK</t>
  </si>
  <si>
    <t>INDUSTRI KAIN TULE, KAIN JARING, DAN KAIN BORDIR</t>
  </si>
  <si>
    <t>INDUSTRI TEKSTIL LAINNYA YTDL</t>
  </si>
  <si>
    <t>INDUSTRI PAKAIAN JADI (KONFEKSI) DARI TEKSTIL</t>
  </si>
  <si>
    <t>INDUSTRI PAKAIAN JADI (KONFEKSI) DARI KULIT DAN TIRUAN KULIT</t>
  </si>
  <si>
    <t>INDUSTRI PENJAHITAN DAN PEMBUATAN (BUKAN KONFEKSI) PAKAIAN</t>
  </si>
  <si>
    <t>INDUSTRI PERLENGKAPAN PAKAIAN DARI TEKSTIL</t>
  </si>
  <si>
    <t>INDUSTRI PERLENGKAPAN PAKAIAN DARI KULIT DAN TIRUAN KULIT</t>
  </si>
  <si>
    <t>INDUSTRI BARANG DARI KULIT BERBULU</t>
  </si>
  <si>
    <t>INDUSTRI PAKAIAN JADI DAN PERLENGKAPANNYA DARI RAJUTAN DAN</t>
  </si>
  <si>
    <t>INDUSTRI HOSIERY RAJUTAN DAN CROCHETED</t>
  </si>
  <si>
    <t>PENGAWETAN KULIT</t>
  </si>
  <si>
    <t>PENYAMAKAN KULIT</t>
  </si>
  <si>
    <t>PEWARNAAN KULIT BERBULU</t>
  </si>
  <si>
    <t>INDUSTRI KULIT KOMPOSISI</t>
  </si>
  <si>
    <t>INDUSTRI KOPER, TAS TANGAN, DAN SEJENISNYA</t>
  </si>
  <si>
    <t>INDUSTRI PELANA, ALAT PENGEKANG/HARNESS, DAN BARANG LAINNYA</t>
  </si>
  <si>
    <t>INDUSTRI BARANG LAINNYA DARI KULIT DAN KULIT KOMPOSISI</t>
  </si>
  <si>
    <t>INDUSTRI ALAS KAKI UNTUK KEPERLUAN SEHARI-HARI</t>
  </si>
  <si>
    <t>INDUSTRI SEPATU OLAHRAGA</t>
  </si>
  <si>
    <t>INDUSTRI SEPATU TEKNIK LAPANGAN/KEPERLUAN INDUSTRI</t>
  </si>
  <si>
    <t>INDUSTRI ALAS KAKI LAINNYA</t>
  </si>
  <si>
    <t>PENGGERGAJIAN DAN PENGHALUSAN KAYU</t>
  </si>
  <si>
    <t>PENGAWETAN KAYU</t>
  </si>
  <si>
    <t>PENGAWETAN ROTAN, BAMBU, DAN SEJENISNYA</t>
  </si>
  <si>
    <t>PENGOLAHAN ROTAN</t>
  </si>
  <si>
    <t>INDUSTRI PARTIKEL KAYU DAN SEJENISNYA</t>
  </si>
  <si>
    <t>INDUSTRI KAYU LAPIS</t>
  </si>
  <si>
    <t>INDUSTRI VENIR</t>
  </si>
  <si>
    <t>INDUSTRI KAYU LAMINASI</t>
  </si>
  <si>
    <t>INDUSTRI PANEL KAYU LAINNYA</t>
  </si>
  <si>
    <t>INDUSTRI BARANG BANGUNAN DARI KAYU</t>
  </si>
  <si>
    <t>INDUSTRI BANGUNAN PRAFABRIKASI DARI KAYU DAN SEJENISNYA</t>
  </si>
  <si>
    <t>INDUSTRI WADAH DARI KAYU</t>
  </si>
  <si>
    <t>INDUSTRI BARANG ANYAMAN DARI ROTAN DAN BAMBU</t>
  </si>
  <si>
    <t>INDUSTRI BARANG ANYAMAN DARI TANAMAN SELAIN ROTAN DAN</t>
  </si>
  <si>
    <t>INDUSTRI KERAJINAN UKIRAN DARI KAYU BUKAN FURNITUR</t>
  </si>
  <si>
    <t>INDUSTRI ALAT DAPUR DAN ALAT MAKAN DARI KAYU, ROTAN, DAN</t>
  </si>
  <si>
    <t>INDUSTRI KAYU BAKAR DAN PELET DARI KAYU DAN BIOMASSA LAINNYA</t>
  </si>
  <si>
    <t>INDUSTRI BARANG LAINNYA DARI KAYU; INDUSTRI BARANG DARI</t>
  </si>
  <si>
    <t>INDUSTRI BUBUR KERTAS (PULP)</t>
  </si>
  <si>
    <t>INDUSTRI KERTAS BUDAYA</t>
  </si>
  <si>
    <t>INDUSTRI KERTAS BERHARGA</t>
  </si>
  <si>
    <t>INDUSTRI KERTAS KHUSUS</t>
  </si>
  <si>
    <t>INDUSTRI KERTAS LAINNYA</t>
  </si>
  <si>
    <t>INDUSTRI KERTAS DAN PAPAN KERTAS BERGELOMBANG</t>
  </si>
  <si>
    <t>INDUSTRI KEMASAN DAN KOTAK DARI KERTAS DAN KARTON</t>
  </si>
  <si>
    <t>INDUSTRI KERTAS TISU</t>
  </si>
  <si>
    <t>INDUSTRI BARANG DARI KERTAS DAN PAPAN KERTAS LAINNYA YTDL</t>
  </si>
  <si>
    <t>PENCETAKAN UMUM</t>
  </si>
  <si>
    <t>PENCETAKAN KHUSUS</t>
  </si>
  <si>
    <t>PENCETAKAN TIGA DIMENSI (3D)</t>
  </si>
  <si>
    <t>KEGIATAN JASA PENUNJANG PENCETAKAN</t>
  </si>
  <si>
    <t>REPRODUKSI MEDIA REKAMAN SUARA DAN PERANGKAT LUNAK</t>
  </si>
  <si>
    <t>REPRODUKSI MEDIA REKAMAN FILM DAN VIDEO</t>
  </si>
  <si>
    <t>INDUSTRI PRODUK TANUR KOKAS</t>
  </si>
  <si>
    <t>INDUSTRI BAHAN BAKAR DARI PEMURNIAN DAN PENGILANGAN MINYAK</t>
  </si>
  <si>
    <t>INDUSTRI MINYAK PELUMAS</t>
  </si>
  <si>
    <t>INDUSTRI PRODUK DARI BAHAN LIMBAH MINYAK PELUMAS</t>
  </si>
  <si>
    <t>INDUSTRI MINYAK PELUMAS DASAR (BAHAN BAKU PELUMAS)</t>
  </si>
  <si>
    <t>INDUSTRI BRIKET</t>
  </si>
  <si>
    <t>INDUSTRI PRODUK DARI PENCAMPURAN HASIL KILANG MINYAK BUMI</t>
  </si>
  <si>
    <t>INDUSTRI PRODUK LAINNYA DARI HASIL KILANG MINYAK BUMI</t>
  </si>
  <si>
    <t>INDUSTRI ASAM, BASA, DAN GARAM ANORGANIK</t>
  </si>
  <si>
    <t>INDUSTRI GAS INDUSTRI</t>
  </si>
  <si>
    <t>INDUSTRI KIMIA DASAR ZAT WARNA DAN PIGMEN</t>
  </si>
  <si>
    <t>INDUSTRI KIMIA DASAR RADIOAKTIF</t>
  </si>
  <si>
    <t>INDUSTRI KIMIA DASAR ORGANIK DARI SUMBER DAYA ALAM HAYATI</t>
  </si>
  <si>
    <t>INDUSTRI KIMIA DASAR DARI MINYAK BUMI, GAS ALAM, DAN BATU</t>
  </si>
  <si>
    <t>INDUSTRI KIMIA DASAR ANORGANIK LAINNYA</t>
  </si>
  <si>
    <t>INDUSTRI SENYAWA NITROGEN; PUPUK NITROGEN, FOSFAT, DAN</t>
  </si>
  <si>
    <t>INDUSTRI PUPUK HARA MAKRO PRIMER LAINNYA</t>
  </si>
  <si>
    <t>INDUSTRI PUPUK HARA MIKRO</t>
  </si>
  <si>
    <t>INDUSTRI PUPUK ORGANIK, PUPUK HAYATI, DAN MEDIA TANAM</t>
  </si>
  <si>
    <t>INDUSTRI BIOSTIMULAN</t>
  </si>
  <si>
    <t>INDUSTRI DAMAR BUATAN (RESIN SINTETIS) DAN BAHAN BAKU PLASTIK</t>
  </si>
  <si>
    <t>INDUSTRI KARET BUATAN</t>
  </si>
  <si>
    <t>INDUSTRI BAHAN BAKU PEMBERANTAS HAMA (BAHAN AKTIF)</t>
  </si>
  <si>
    <t>INDUSTRI PEMBERANTAS HAMA (FORMULASI)</t>
  </si>
  <si>
    <t>INDUSTRI ZAT PENGATUR TUMBUH</t>
  </si>
  <si>
    <t>INDUSTRI CAT</t>
  </si>
  <si>
    <t>INDUSTRI PERNIS</t>
  </si>
  <si>
    <t>INDUSTRI DEMPUL</t>
  </si>
  <si>
    <t>INDUSTRI SEDIAAN PEWARNA DAN PELAPIS LAINNYA</t>
  </si>
  <si>
    <t>INDUSTRI BAHAN DAN PRODUK PEMBERSIH</t>
  </si>
  <si>
    <t>INDUSTRI KOSMETIK UNTUK MANUSIA, CAIRAN LENSA KONTAK</t>
  </si>
  <si>
    <t>INDUSTRI KOSMETIK UNTUK HEWAN</t>
  </si>
  <si>
    <t>INDUSTRI PEREKAT GIGI</t>
  </si>
  <si>
    <t>INDUSTRI PARFUM SESUAI PESANAN</t>
  </si>
  <si>
    <t>INDUSTRI PEREKAT/LEM</t>
  </si>
  <si>
    <t>INDUSTRI BAHAN PELEDAK</t>
  </si>
  <si>
    <t>INDUSTRI TINTA</t>
  </si>
  <si>
    <t>INDUSTRI MINYAK ASIRI HULU</t>
  </si>
  <si>
    <t>INDUSTRI KOREK API</t>
  </si>
  <si>
    <t>INDUSTRI MINYAK ASIRI RANTAI TENGAH</t>
  </si>
  <si>
    <t>INDUSTRI BIOFUEL CAIR</t>
  </si>
  <si>
    <t>INDUSTRI CAIRAN ROKOK ELEKTRIK</t>
  </si>
  <si>
    <t>INDUSTRI BARANG KIMIA LAINNYA YTDL</t>
  </si>
  <si>
    <t>INDUSTRI SERAT FILAMEN DAN STRIP BUATAN</t>
  </si>
  <si>
    <t>INDUSTRI SERAT STAPEL BUATAN</t>
  </si>
  <si>
    <t>INDUSTRI BAHAN BAKU FARMASI UNTUK MANUSIA</t>
  </si>
  <si>
    <t>INDUSTRI PRODUK FARMASI UNTUK MANUSIA</t>
  </si>
  <si>
    <t>INDUSTRI PRODUK FARMASI UNTUK HEWAN</t>
  </si>
  <si>
    <t>INDUSTRI BAHAN BAKU FARMASI UNTUK HEWAN</t>
  </si>
  <si>
    <t>INDUSTRI ALAT DIAGNOSIS MEDIS, PERBAN, KASA, DAN PENUNJANG</t>
  </si>
  <si>
    <t>INDUSTRI BAHAN BAKU OBAT BAHAN ALAM UNTUK MANUSIA</t>
  </si>
  <si>
    <t>INDUSTRI PRODUK OBAT BAHAN ALAM UNTUK MANUSIA</t>
  </si>
  <si>
    <t>INDUSTRI PRODUK OBAT BAHAN ALAM UNTUK HEWAN</t>
  </si>
  <si>
    <t>INDUSTRI BAHAN BAKU OBAT BAHAN ALAM UNTUK HEWAN</t>
  </si>
  <si>
    <t>INDUSTRI BAN LUAR DAN BAN DALAM</t>
  </si>
  <si>
    <t>INDUSTRI PEMBENTUKAN KEMBALI BAN DAN VULKANISASI BAN</t>
  </si>
  <si>
    <t>INDUSTRI KARET ASAP</t>
  </si>
  <si>
    <t>INDUSTRI KARET LEMBARAN DAN CREPE RUBBER</t>
  </si>
  <si>
    <t>INDUSTRI KARET REMAH (CRUMB RUBBER)</t>
  </si>
  <si>
    <t>INDUSTRI KARET SETENGAH JADI LAINNYA</t>
  </si>
  <si>
    <t>INDUSTRI BARANG DARI KARET UNTUK KEPERLUAN RUMAH TANGGA</t>
  </si>
  <si>
    <t>INDUSTRI BARANG DARI KARET UNTUK KEPERLUAN INDUSTRI</t>
  </si>
  <si>
    <t>INDUSTRI BARANG DARI KARET UNTUK KEPERLUAN INFRASTRUKTUR</t>
  </si>
  <si>
    <t>INDUSTRI BARANG DARI KARET UNTUK KESEHATAN</t>
  </si>
  <si>
    <t>INDUSTRI BARANG LAINNYA DARI KARET YTDL</t>
  </si>
  <si>
    <t>INDUSTRI BARANG DARI PLASTIK UNTUK BANGUNAN</t>
  </si>
  <si>
    <t>INDUSTRI BARANG DARI PLASTIK DAN BIOPLASTIK UNTUK</t>
  </si>
  <si>
    <t>INDUSTRI PIPA PLASTIK DAN PERLENGKAPANNYA</t>
  </si>
  <si>
    <t>INDUSTRI PLASTIK LEMBARAN</t>
  </si>
  <si>
    <t>INDUSTRI PERLENGKAPAN DAN PERALATAN RUMAH TANGGA DARI</t>
  </si>
  <si>
    <t>INDUSTRI BARANG DAN PERALATAN TEKNIK/INDUSTRI DARI PLASTIK</t>
  </si>
  <si>
    <t>INDUSTRI BARANG LAINNYA DARI PLASTIK</t>
  </si>
  <si>
    <t>INDUSTRI KACA LEMBARAN</t>
  </si>
  <si>
    <t>INDUSTRI KACA PENGAMAN</t>
  </si>
  <si>
    <t>INDUSTRI KACA LAINNYA</t>
  </si>
  <si>
    <t>INDUSTRI PERLENGKAPAN DAN PERALATAN RUMAH TANGGA DARI KACA</t>
  </si>
  <si>
    <t>INDUSTRI PERALATAN LABORATORIUM DAN KESEHATAN DARI KACA</t>
  </si>
  <si>
    <t>INDUSTRI PRODUK LAINNYA DARI KACA</t>
  </si>
  <si>
    <t>INDUSTRI BATA, MORTAR, SEMEN, DAN SEJENISNYA YANG TAHAN API</t>
  </si>
  <si>
    <t>INDUSTRI PRODUK REFRAKTORI (TAHAN API) LAINNYA</t>
  </si>
  <si>
    <t>INDUSTRI BATU BATA DARI TANAH LIAT ATAU KERAMIK</t>
  </si>
  <si>
    <t>INDUSTRI GENTENG DARI TANAH LIAT ATAU KERAMIK</t>
  </si>
  <si>
    <t>INDUSTRI BAHAN BANGUNAN LAINNYA DARI TANAH LIAT ATAU KERAMIK</t>
  </si>
  <si>
    <t>INDUSTRI PERLENGKAPAN RUMAH TANGGA DARI PORSELEN</t>
  </si>
  <si>
    <t>INDUSTRI PERLENGKAPAN RUMAH TANGGA DARI TANAH LIAT ATAU</t>
  </si>
  <si>
    <t>INDUSTRI ALAT LABORATORIUM DAN ALAT LISTRIK ATAU TEKNIK DARI</t>
  </si>
  <si>
    <t>INDUSTRI PERALATAN SANITASI DARI PORSELEN</t>
  </si>
  <si>
    <t>INDUSTRI PERALATAN SANITASI DARI TANAH LIAT ATAU KERAMIK</t>
  </si>
  <si>
    <t>INDUSTRI PRODUK BUKAN BAHAN BANGUNAN LAINNYA DARI TANAH</t>
  </si>
  <si>
    <t>INDUSTRI SEMEN</t>
  </si>
  <si>
    <t>INDUSTRI KAPUR</t>
  </si>
  <si>
    <t>INDUSTRI GIPS</t>
  </si>
  <si>
    <t>INDUSTRI BARANG DARI SEMEN</t>
  </si>
  <si>
    <t>INDUSTRI BARANG DARI KAPUR</t>
  </si>
  <si>
    <t>INDUSTRI BARANG DARI GIPS</t>
  </si>
  <si>
    <t>INDUSTRI BARANG DARI ASBES</t>
  </si>
  <si>
    <t>INDUSTRI MORTAR, ACIAN, DAN BETON SIAP PAKAI</t>
  </si>
  <si>
    <t>INDUSTRI BARANG DARI BATU MARMER</t>
  </si>
  <si>
    <t>INDUSTRI BARANG DARI BATU GRANIT</t>
  </si>
  <si>
    <t>INDUSTRI BARANG DARI BATU LAINNYA</t>
  </si>
  <si>
    <t>INDUSTRI PRODUK ABRASIF</t>
  </si>
  <si>
    <t>INDUSTRI BATUAN ASPAL DAN BARANG DARI ASPAL ATAU MATERIAL</t>
  </si>
  <si>
    <t>INDUSTRI PRODUK HASIL PEMURNIAN MINERAL NONLOGAM</t>
  </si>
  <si>
    <t>INDUSTRI PRODUK MINERAL NONLOGAM LAINNYA YTDL</t>
  </si>
  <si>
    <t>INDUSTRI BESI DAN BAJA DASAR</t>
  </si>
  <si>
    <t>PENGGILINGAN BAJA</t>
  </si>
  <si>
    <t>INDUSTRI PIPA DAN SAMBUNGAN PIPA DARI BESI DAN BAJA</t>
  </si>
  <si>
    <t>INDUSTRI LOGAM DASAR MULIA</t>
  </si>
  <si>
    <t>INDUSTRI LOGAM DASAR BUKAN BESI LAINNYA</t>
  </si>
  <si>
    <t>PENGGILINGAN LOGAM BUKAN BESI</t>
  </si>
  <si>
    <t>EKSTRUSI LOGAM BUKAN BESI</t>
  </si>
  <si>
    <t>INDUSTRI PIPA DAN SAMBUNGAN PIPA DARI LOGAM BUKAN BESI DAN</t>
  </si>
  <si>
    <t>INDUSTRI BAHAN BAKAR NUKLIR</t>
  </si>
  <si>
    <t>PENGECORAN BESI DAN BAJA</t>
  </si>
  <si>
    <t>PENGECORAN LOGAM BUKAN BESI DAN BAJA</t>
  </si>
  <si>
    <t>INDUSTRI PRODUK LOGAM STRUKTURAL BUKAN ALUMINIUM UNTUK</t>
  </si>
  <si>
    <t>INDUSTRI PRODUK LOGAM STRUKTURAL ALUMINIUM UNTUK</t>
  </si>
  <si>
    <t>INDUSTRI PRODUK LOGAM STRUKTURAL BAJA UNTUK KONSTRUKSI</t>
  </si>
  <si>
    <t>INDUSTRI PRODUK LOGAM STRUKTURAL LAINNYA</t>
  </si>
  <si>
    <t>INDUSTRI TANGKI, TANDON AIR, DAN WADAH SEJENISNYA DARI LOGAM</t>
  </si>
  <si>
    <t>INDUSTRI GENERATOR UAP BUKAN KETEL PEMANAS</t>
  </si>
  <si>
    <t>INDUSTRI SENJATA DAN AMUNISI</t>
  </si>
  <si>
    <t>PENEMPAAN, PENGEPRESAN, PENCETAKAN, DAN PEMBENTUKAN LOGAM;</t>
  </si>
  <si>
    <t>PENGERJAAN DAN PELAPISAN LOGAM</t>
  </si>
  <si>
    <t>INDUSTRI PERKAKAS TANGAN</t>
  </si>
  <si>
    <t>INDUSTRI ALAT POTONG</t>
  </si>
  <si>
    <t>INDUSTRI ALAT MAKAN DARI LOGAM</t>
  </si>
  <si>
    <t>INDUSTRI PERALATAN UMUM</t>
  </si>
  <si>
    <t>INDUSTRI EMBER, KALENG, DRUM DAN WADAH SEJENISNYA DARI</t>
  </si>
  <si>
    <t>INDUSTRI BARANG DARI KAWAT LOGAM BUKAN KABEL</t>
  </si>
  <si>
    <t>INDUSTRI PAKU, MUR, DAN BAUT LOGAM</t>
  </si>
  <si>
    <t>INDUSTRI BRANKAS, FILLING KANTOR, DAN SEJENISNYA</t>
  </si>
  <si>
    <t>INDUSTRI PERALATAN DAPUR DAN PERALATAN MEJA DARI LOGAM</t>
  </si>
  <si>
    <t>INDUSTRI PRODUK RUMAH TANGGA DARI LOGAM BUKAN PERALATAN</t>
  </si>
  <si>
    <t>INDUSTRI PROFIL LOGAM</t>
  </si>
  <si>
    <t>INDUSTRI LAMPU DARI LOGAM</t>
  </si>
  <si>
    <t>INDUSTRI PRODUK LOGAM LAINNYA YTDL</t>
  </si>
  <si>
    <t>INDUSTRI SEL SURYA, PANEL SURYA, DAN INVERTER FOTOVOLTAIK</t>
  </si>
  <si>
    <t>INDUSTRI TABUNG ELEKTRON DAN KONEKTOR ELEKTRONIK</t>
  </si>
  <si>
    <t>INDUSTRI KOMPONEN DAN PAPAN ELEKTRONIK LAINNYA YTDL</t>
  </si>
  <si>
    <t>INDUSTRI KOMPUTER DAN PERAKITAN KOMPUTER</t>
  </si>
  <si>
    <t>INDUSTRI PERLENGKAPAN KOMPUTER</t>
  </si>
  <si>
    <t>INDUSTRI PERALATAN TELEPON DAN FAKSIMILI</t>
  </si>
  <si>
    <t>INDUSTRI PERALATAN KOMUNIKASI TANPA KABEL (WIRELESS)</t>
  </si>
  <si>
    <t>INDUSTRI KARTU CERDAS (SMART CARD)</t>
  </si>
  <si>
    <t>INDUSTRI PERALATAN KOMUNIKASI LAINNYA</t>
  </si>
  <si>
    <t>INDUSTRI TELEVISI, MONITOR TELEVISI, DAN DISPLAI</t>
  </si>
  <si>
    <t>INDUSTRI PERALATAN PEREKAM, PENERIMA, DAN PENGGANDA AUDIO</t>
  </si>
  <si>
    <t>INDUSTRI PERALATAN AUDIO DAN VIDEO ELEKTRONIK LAINNYA</t>
  </si>
  <si>
    <t>INDUSTRI ALAT UKUR DAN ALAT UJI MANUAL</t>
  </si>
  <si>
    <t>INDUSTRI ALAT UKUR DAN ALAT UJI ELEKTRIK</t>
  </si>
  <si>
    <t>INDUSTRI ALAT UKUR DAN ALAT UJI ELEKTRONIK</t>
  </si>
  <si>
    <t>INDUSTRI ALAT UKUR, ALAT UJI, DAN PERALATAN NAVIGASI DAN</t>
  </si>
  <si>
    <t>INDUSTRI ALAT UKUR WAKTU</t>
  </si>
  <si>
    <t>INDUSTRI PERALATAN IRADIASI, PERLENGKAPAN, DAN SEJENISNYA</t>
  </si>
  <si>
    <t>INDUSTRI PERALATAN ELEKTROMEDIK DAN ELEKTROTERAPI</t>
  </si>
  <si>
    <t>INDUSTRI PERALATAN FOTOGRAFI</t>
  </si>
  <si>
    <t>INDUSTRI PERALATAN SINEMATOGRAFI</t>
  </si>
  <si>
    <t>INDUSTRI LENSA BUKAN KACAMATA</t>
  </si>
  <si>
    <t>INDUSTRI PERALATAN FOTOGRAFI DAN INSTRUMEN OPTIK BUKAN</t>
  </si>
  <si>
    <t>INDUSTRI MEDIA MAGNETIK DAN MEDIA OPTIK</t>
  </si>
  <si>
    <t>INDUSTRI MOTOR LISTRIK</t>
  </si>
  <si>
    <t>INDUSTRI GENERATOR PEMBANGKIT LISTRIK</t>
  </si>
  <si>
    <t>INDUSTRI PENGUBAH TEGANGAN/TRANSFORMATOR DAN PENGUBAH</t>
  </si>
  <si>
    <t>INDUSTRI PERALATAN PENGONTROL DAN PENDISTRIBUSIAN LISTRIK</t>
  </si>
  <si>
    <t>INDUSTRI BATU BATERAI</t>
  </si>
  <si>
    <t>INDUSTRI AKUMULATOR LISTRIK</t>
  </si>
  <si>
    <t>INDUSTRI BATERAI KENDARAAN LISTRIK</t>
  </si>
  <si>
    <t>INDUSTRI KABEL SERAT OPTIK</t>
  </si>
  <si>
    <t>INDUSTRI KABEL DAN KAWAT LISTRIK DAN ELEKTRONIK LAINNYA</t>
  </si>
  <si>
    <t>INDUSTRI PERLENGKAPAN KABEL</t>
  </si>
  <si>
    <t>INDUSTRI BOLA LAMPU PIJAR, LAMPU SOROT, DAN LAMPU ULTRAVIOLET</t>
  </si>
  <si>
    <t>INDUSTRI LAMPU GAS DAN DISCHARGE</t>
  </si>
  <si>
    <t>INDUSTRI PERALATAN PENERANGAN UNTUK KENDARAAN</t>
  </si>
  <si>
    <t>INDUSTRI LAMPU LED</t>
  </si>
  <si>
    <t>INDUSTRI PERALATAN PENERANGAN LAINNYA</t>
  </si>
  <si>
    <t>INDUSTRI PERALATAN LISTRIK RUMAH TANGGA</t>
  </si>
  <si>
    <t>INDUSTRI PERALATAN ELEKTROTERMAL RUMAH TANGGA</t>
  </si>
  <si>
    <t>INDUSTRI PERALATAN RUMAH TANGGA BUKAN LISTRIK</t>
  </si>
  <si>
    <t>INDUSTRI PERALATAN LISTRIK LAINNYA</t>
  </si>
  <si>
    <t>INDUSTRI MESIN UAP, TURBIN, DAN KINCIR</t>
  </si>
  <si>
    <t>INDUSTRI MOTOR PEMBAKARAN DALAM</t>
  </si>
  <si>
    <t>INDUSTRI KOMPONEN DAN SUKU CADANG MESIN DAN TURBIN</t>
  </si>
  <si>
    <t>INDUSTRI PERALATAN TENAGA ZAT CAIR DAN GAS</t>
  </si>
  <si>
    <t>INDUSTRI POMPA LAINNYA, KOMPRESOR, KERAN, DAN KLEP/KATUP</t>
  </si>
  <si>
    <t>INDUSTRI BEARING, RODA GIGI, DAN ELEMEN PENGGERAK MESIN</t>
  </si>
  <si>
    <t>INDUSTRI OVEN, PERAPIAN DAN TUNGKU PEMBAKAR SEJENIS YANG</t>
  </si>
  <si>
    <t>INDUSTRI ALAT PENGANGKAT DAN PEMINDAH</t>
  </si>
  <si>
    <t>INDUSTRI MESIN KANTOR DAN AKUNTANSI MANUAL</t>
  </si>
  <si>
    <t>INDUSTRI MESIN KANTOR DAN AKUNTANSI ELEKTRIK</t>
  </si>
  <si>
    <t>INDUSTRI MESIN KANTOR DAN AKUNTANSI ELEKTRONIK</t>
  </si>
  <si>
    <t>INDUSTRI PERALATAN KANTOR</t>
  </si>
  <si>
    <t>INDUSTRI PERKAKAS TANGAN YANG DIGERAKKAN TENAGA</t>
  </si>
  <si>
    <t>INDUSTRI MESIN UNTUK PEMBUNGKUS, PEMBOTOLAN, DAN</t>
  </si>
  <si>
    <t>INDUSTRI MESIN TIMBANGAN</t>
  </si>
  <si>
    <t>INDUSTRI MESIN PENDINGIN</t>
  </si>
  <si>
    <t>INDUSTRI MESIN UNTUK KEPERLUAN UMUM LAINNYA YTDL</t>
  </si>
  <si>
    <t>INDUSTRI MESIN PERTANIAN DAN KEHUTANAN</t>
  </si>
  <si>
    <t>INDUSTRI MESIN DAN PERKAKAS MESIN UNTUK PENGERJAAN LOGAM</t>
  </si>
  <si>
    <t>INDUSTRI MESIN METALURGI</t>
  </si>
  <si>
    <t>INDUSTRI MESIN PENAMBANGAN, PENGGALIAN DAN KONSTRUKSI</t>
  </si>
  <si>
    <t>INDUSTRI MESIN PENGOLAHAN MAKANAN, MINUMAN DAN TEMBAKAU</t>
  </si>
  <si>
    <t>INDUSTRI MESIN JAHIT, MESIN CUCI, DAN MESIN PENGERING UNTUK</t>
  </si>
  <si>
    <t>INDUSTRI MESIN TEKSTIL</t>
  </si>
  <si>
    <t>INDUSTRI MESIN PENYIAPAN DAN PEMBUATAN PRODUK KULIT</t>
  </si>
  <si>
    <t>INDUSTRI MESIN PERCETAKAN</t>
  </si>
  <si>
    <t>INDUSTRI MESIN PABRIK KERTAS</t>
  </si>
  <si>
    <t>INDUSTRI MESIN KEPERLUAN KHUSUS LAINNYA YTDL</t>
  </si>
  <si>
    <t>INDUSTRI KENDARAAN BERMOTOR RODA EMPAT ATAU LEBIH</t>
  </si>
  <si>
    <t>INDUSTRI KAROSERI KENDARAAN BERMOTOR RODA EMPAT ATAU LEBIH;</t>
  </si>
  <si>
    <t>INDUSTRI SUKU CADANG DAN AKSESORI KENDARAAN BERMOTOR RODA</t>
  </si>
  <si>
    <t>INDUSTRI KENDARAAN AIR DAN BAWAH AIR BERAWAK</t>
  </si>
  <si>
    <t>INDUSTRI BANGUNAN LEPAS PANTAI DAN BANGUNAN TERAPUNG</t>
  </si>
  <si>
    <t>INDUSTRI KENDARAAN AIR DAN BAWAH AIR TANPA AWAK</t>
  </si>
  <si>
    <t>INDUSTRI KAPAL DAN PERAHU UNTUK TUJUAN WISATA ATAU REKREASI</t>
  </si>
  <si>
    <t>INDUSTRI LOKOMOTIF DAN GERBONG KERETA</t>
  </si>
  <si>
    <t>INDUSTRI PESAWAT UDARA BERAWAK DAN MESIN TERKAIT</t>
  </si>
  <si>
    <t>INDUSTRI PESAWAT UDARA TANPA AWAK DAN MESIN TERKAIT</t>
  </si>
  <si>
    <t>INDUSTRI WAHANA ANTARIKSA DAN MESIN TERKAIT</t>
  </si>
  <si>
    <t>INDUSTRI KENDARAAN TEMPUR MILITER</t>
  </si>
  <si>
    <t>INDUSTRI SEPEDA MOTOR RODA DUA DAN TIGA</t>
  </si>
  <si>
    <t>INDUSTRI KOMPONEN DAN PERLENGKAPAN SEPEDA MOTOR RODA DUA</t>
  </si>
  <si>
    <t>INDUSTRI SEPEDA DAN KURSI RODA TERMASUK BECAK</t>
  </si>
  <si>
    <t>INDUSTRI PERLENGKAPAN SEPEDA DAN KURSI RODA TERMASUK BECAK</t>
  </si>
  <si>
    <t>INDUSTRI ALAT ANGKUTAN LAINNYA YTDL</t>
  </si>
  <si>
    <t>INDUSTRI FURNITUR DARI KAYU</t>
  </si>
  <si>
    <t>INDUSTRI FURNITUR DARI ROTAN DAN BAMBU</t>
  </si>
  <si>
    <t>INDUSTRI FURNITUR DARI PLASTIK</t>
  </si>
  <si>
    <t>INDUSTRI FURNITUR DARI LOGAM</t>
  </si>
  <si>
    <t>INDUSTRI FURNITUR DARI BAHAN LAINNYA YTDL</t>
  </si>
  <si>
    <t>INDUSTRI PERMATA</t>
  </si>
  <si>
    <t>INDUSTRI PERHIASAN DARI LOGAM MULIA</t>
  </si>
  <si>
    <t>INDUSTRI BARANG BERHARGA DARI LOGAM MULIA BUKAN PERHIASAN</t>
  </si>
  <si>
    <t>INDUSTRI PERHIASAN DARI MUTIARA</t>
  </si>
  <si>
    <t>INDUSTRI BARANG BERHARGA LAINNYA DARI LOGAM MULIA</t>
  </si>
  <si>
    <t>INDUSTRI PERHIASAN IMITASI DAN BARANG SEJENIS</t>
  </si>
  <si>
    <t>INDUSTRI ALAT MUSIK TRADISIONAL</t>
  </si>
  <si>
    <t>INDUSTRI ALAT MUSIK NONTRADISIONAL</t>
  </si>
  <si>
    <t>INDUSTRI PERALATAN DAN PERLENGKAPAN OLAHRAGA</t>
  </si>
  <si>
    <t>INDUSTRI ALAT PERMAINAN</t>
  </si>
  <si>
    <t>INDUSTRI MAINAN TERMASUK DRONE REKREASI</t>
  </si>
  <si>
    <t>INDUSTRI FURNITUR UNTUK OPERASI, PERAWATAN KEDOKTERAN, DAN</t>
  </si>
  <si>
    <t>INDUSTRI PERALATAN KEDOKTERAN DAN KEDOKTERAN GIGI, SERTA</t>
  </si>
  <si>
    <t>INDUSTRI KACAMATA</t>
  </si>
  <si>
    <t>INDUSTRI ALAT TULIS DAN GAMBAR TERMASUK PERLENGKAPANNYA</t>
  </si>
  <si>
    <t>INDUSTRI PITA MESIN TULIS ATAU GAMBAR</t>
  </si>
  <si>
    <t>INDUSTRI KERAJINAN YTDL</t>
  </si>
  <si>
    <t>INDUSTRI PERALATAN UNTUK PELINDUNG KESELAMATAN</t>
  </si>
  <si>
    <t>INDUSTRI SERAT SABUT KELAPA</t>
  </si>
  <si>
    <t>INDUSTRI RAMBUT, JANGGUT, DAN BULU MATA PALSU</t>
  </si>
  <si>
    <t>INDUSTRI KANCING DAN RITSLETING</t>
  </si>
  <si>
    <t>INDUSTRI PEMANTIK API/LIGHTER</t>
  </si>
  <si>
    <t>INDUSTRI PRODUK LAINNYA YTDL</t>
  </si>
  <si>
    <t>REPARASI DAN PEMELIHARAAN PRODUK LOGAM STRUKTURAL, TANGKI,</t>
  </si>
  <si>
    <t>REPARASI DAN PEMELIHARAAN PRODUK SENJATA DAN AMUNISI</t>
  </si>
  <si>
    <t>REPARASI DAN PEMELIHARAAN PRODUK LOGAM PABRIKASI LAINNYA</t>
  </si>
  <si>
    <t>REPARASI DAN PEMELIHARAAN MESIN UNTUK KEPERLUAN UMUM</t>
  </si>
  <si>
    <t>REPARASI DAN PEMELIHARAAN MESIN UNTUK KEPERLUAN KHUSUS</t>
  </si>
  <si>
    <t>REPARASI DAN PEMELIHARAAN ALAT UKUR, ALAT UJI, SERTA PERALATAN</t>
  </si>
  <si>
    <t>REPARASI DAN PEMELIHARAAN PERALATAN IRADIASI, ELEKTROMEDIK,</t>
  </si>
  <si>
    <t>REPARASI DAN PEMELIHARAAN PERALATAN FOTOGRAFI DAN OPTIK</t>
  </si>
  <si>
    <t>REPARASI DAN PEMELIHARAAN MOTOR LISTRIK, GENERATOR, DAN</t>
  </si>
  <si>
    <t>REPARASI DAN PEMELIHARAAN BATERAI DAN AKUMULATOR LISTRIK</t>
  </si>
  <si>
    <t>REPARASI DAN PEMELIHARAAN PERALATAN LISTRIK LAINNYA</t>
  </si>
  <si>
    <t>REPARASI DAN PEMELIHARAAN KAPAL, PERAHU, DAN BANGUNAN</t>
  </si>
  <si>
    <t>REPARASI DAN PEMELIHARAAN LOKOMOTIF DAN GERBONG KERETA</t>
  </si>
  <si>
    <t>REPARASI DAN PEMELIHARAAN PESAWAT UDARA</t>
  </si>
  <si>
    <t>REPARASI DAN PEMELIHARAAN ALAT ANGKUTAN LAINNYA, BUKAN</t>
  </si>
  <si>
    <t>REPARASI DAN PEMELIHARAAN PERALATAN LAINNYA</t>
  </si>
  <si>
    <t>INSTALASI/PEMASANGAN DAN PERANGKAIAN/INTEGRASI MESIN,</t>
  </si>
  <si>
    <t>PEMBONGKARAN MESIN, PERALATAN, DAN SISTEM INDUSTRI</t>
  </si>
  <si>
    <t>PEMASANGAN PERLENGKAPAN METEOROLOGI, KLIMATOLOGI, DAN</t>
  </si>
  <si>
    <t>D</t>
  </si>
  <si>
    <t>PEMBANGKITAN TENAGA LISTRIK DARI SUMBER ENERGI TIDAK</t>
  </si>
  <si>
    <t>PEMBANGKITAN TENAGA LISTRIK DARI SUMBER ENERGI TERBARUKAN</t>
  </si>
  <si>
    <t>AKTIVITAS PENYALURAN TENAGA LISTRIK</t>
  </si>
  <si>
    <t>AKTIVITAS PENYIMPANAN TENAGA LISTRIK</t>
  </si>
  <si>
    <t>PENGOPERASIAN FASILITAS ATAU STASIUN PENGISIAN DAYA UNTUK</t>
  </si>
  <si>
    <t>PENYEDIAAN TENAGA LISTRIK DALAM SATU KESATUAN USAHA</t>
  </si>
  <si>
    <t>PENGOPERASIAN INSTALASI PENYEDIAAN TENAGA LISTRIK</t>
  </si>
  <si>
    <t>PENGOPERASIAN INSTALASI PEMANFAATAN TENAGA LISTRIK</t>
  </si>
  <si>
    <t>AKTIVITAS PENUNJANG TENAGA LISTRIK LAINNYA</t>
  </si>
  <si>
    <t>PRODUKSI GAS ALAM DAN BUATAN</t>
  </si>
  <si>
    <t>DISTRIBUSI GAS ALAM DAN BUATAN MELALUI JARINGAN</t>
  </si>
  <si>
    <t>PENGADAAN UAP/AIR PANAS DAN UDARA DINGIN</t>
  </si>
  <si>
    <t>PRODUKSI ES</t>
  </si>
  <si>
    <t>AKTIVITAS BROKER DAN AGEN PENJUALAN TENAGA LISTRIK</t>
  </si>
  <si>
    <t>AKTIVITAS BROKER DAN AGEN PENJUALAN GAS ALAM</t>
  </si>
  <si>
    <t>PENGOLAHAN DAN PEMBUANGAN AIR LIMBAH</t>
  </si>
  <si>
    <t>PENGUMPULAN LIMBAH BERBAHAYA SELAIN LIMBAH RADIOKATIF</t>
  </si>
  <si>
    <t>PENGUMPULAN LIMBAH RADIOAKTIF</t>
  </si>
  <si>
    <t>PENGOLAHAN SAMPAH TIDAK BERBAHAYA UNTUK MENGHASILKAN</t>
  </si>
  <si>
    <t>PENGOLAHAN DAN PEMBUANGAN LIMBAH ATAU SAMPAH BERBAHAYA</t>
  </si>
  <si>
    <t>PENGOLAHAN DAN PEMBUANGAN LIMBAH RADIOAKTIF</t>
  </si>
  <si>
    <t>PEMULIHAN MATERIAL LAINNYA</t>
  </si>
  <si>
    <t>AKTIVITAS PENANGKAPAN KARBON</t>
  </si>
  <si>
    <t>AKTIVITAS PENYIMPANAN KARBON</t>
  </si>
  <si>
    <t>AKTIVITAS REMEDIASI DAN PENGELOLAAN LIMBAH ATAU SAMPAH</t>
  </si>
  <si>
    <t>F</t>
  </si>
  <si>
    <t>KONSTRUKSI KONVENSIONAL GEDUNG HUNIAN</t>
  </si>
  <si>
    <t>KONSTRUKSI KONVENSIONAL GEDUNG PERKANTORAN</t>
  </si>
  <si>
    <t>KONSTRUKSI KONVENSIONAL GEDUNG INDUSTRI</t>
  </si>
  <si>
    <t>KONSTRUKSI KONVENSIONAL GEDUNG PERBELANJAAN</t>
  </si>
  <si>
    <t>KONSTRUKSI KONVENSIONAL GEDUNG KESEHATAN</t>
  </si>
  <si>
    <t>KONSTRUKSI KONVENSIONAL GEDUNG PENDIDIKAN</t>
  </si>
  <si>
    <t>KONSTRUKSI KONVENSIONAL GEDUNG PENGINAPAN</t>
  </si>
  <si>
    <t>KONSTRUKSI KONVENSIONAL GEDUNG HIBURAN DAN OLAHRAGA</t>
  </si>
  <si>
    <t>KONSTRUKSI KONVENSIONAL GEDUNG LAINNYA</t>
  </si>
  <si>
    <t>KONSTRUKSI PRAPABRIKASI BANGUNAN GEDUNG</t>
  </si>
  <si>
    <t>KONSTRUKSI JALAN PADA PERMUKAAN TANAH</t>
  </si>
  <si>
    <t>KONSTRUKSI BANGUNAN SIPIL JEMBATAN, JALAN LAYANG, FLY OVER,</t>
  </si>
  <si>
    <t>KONSTRUKSI JALAN REL</t>
  </si>
  <si>
    <t>KONSTRUKSI TEROWONGAN</t>
  </si>
  <si>
    <t>KONSTRUKSI JARINGAN IRIGASI DAN DRAINASE</t>
  </si>
  <si>
    <t>KONSTRUKSI BANGUNAN SIPIL PENGOLAHAN AIR BERSIH</t>
  </si>
  <si>
    <t>KONSTRUKSI BANGUNAN SIPIL SISTEM PENGOLAHAN LIMBAH</t>
  </si>
  <si>
    <t>KONSTRUKSI BANGUNAN SIPIL ELEKTRIKAL</t>
  </si>
  <si>
    <t>KONSTRUKSI BANGUNAN SIPIL TELEKOMUNIKASI UNTUK PRASARANA</t>
  </si>
  <si>
    <t>KONSTRUKSI SENTRAL TELEKOMUNIKASI</t>
  </si>
  <si>
    <t>KONSTRUKSI PENGEBORAN/PENGGALIAN AIR TANAH</t>
  </si>
  <si>
    <t>KONSTRUKSI PROYEK UTILITAS LAINNYA</t>
  </si>
  <si>
    <t>KONSTRUKSI BANGUNAN PRASARANA SUMBER DAYA AIR</t>
  </si>
  <si>
    <t>KONSTRUKSI BANGUNAN PELABUHAN BUKAN PERIKANAN</t>
  </si>
  <si>
    <t>KONSTRUKSI BANGUNAN PELABUHAN PERIKANAN</t>
  </si>
  <si>
    <t>KONSTRUKSI RESERVOIR PEMBANGKIT LISTRIK TENAGA AIR</t>
  </si>
  <si>
    <t>KONSTRUKSI BANGUNAN SIPIL PELINDUNG PANTAI</t>
  </si>
  <si>
    <t>KONSTRUKSI BANGUNAN SIPIL PRASARANA PERAIRAN DAN SEJENIS</t>
  </si>
  <si>
    <t>KONSTRUKSI BANGUNAN SIPIL MINYAK DAN GAS BUMI</t>
  </si>
  <si>
    <t>KONSTRUKSI BANGUNAN SIPIL PERTAMBANGAN</t>
  </si>
  <si>
    <t>KONSTRUKSI BANGUNAN SIPIL PANAS BUMI</t>
  </si>
  <si>
    <t>KONSTRUKSI BANGUNAN SIPIL FASILITAS OLAHRAGA</t>
  </si>
  <si>
    <t>KONSTRUKSI BANGUNAN SIPIL FASILITAS PENGOLAHAN</t>
  </si>
  <si>
    <t>KONSTRUKSI BANGUNAN SIPIL FASILITAS MILITER DAN BANDAR</t>
  </si>
  <si>
    <t>KONSTRUKSI BANGUNAN SIPIL FASILITAS SUMBER RADIASI PENGION</t>
  </si>
  <si>
    <t>KONSTRUKSI BANGUNAN SIPIL REAKTOR NUKLIR</t>
  </si>
  <si>
    <t>KONSTRUKSI BANGUNAN SIPIL LAINNYA YTDL</t>
  </si>
  <si>
    <t>PEMBONGKARAN</t>
  </si>
  <si>
    <t>PENYIAPAN LAHAN</t>
  </si>
  <si>
    <t>PEMASANGAN JARINGAN LISTRIK</t>
  </si>
  <si>
    <t>PEMASANGAN JARINGAN TELEKOMUNIKASI</t>
  </si>
  <si>
    <t>PEMASANGAN SISTEM ELEKTRONIKA</t>
  </si>
  <si>
    <t>PEMASANGAN SISTEM NAVIGASI LAUT, SUNGAI, DAN UDARA</t>
  </si>
  <si>
    <t>PEMASANGAN SISTEM PERSINYALAN DAN TELEKOMUNIKASI KERETA API</t>
  </si>
  <si>
    <t>PEMASANGAN PERLENGKAPAN JALAN BERBASIS LISTRIK</t>
  </si>
  <si>
    <t>PEMASANGAN SALURAN AIR (PLUMBING)</t>
  </si>
  <si>
    <t>PEMASANGAN SISTEM PEMANAS DAN GEOTERMAL</t>
  </si>
  <si>
    <t>PEMASANGAN JARINGAN PENYALURAN GAS</t>
  </si>
  <si>
    <t>PEMASANGAN PENDINGIN DAN VENTILASI UDARA</t>
  </si>
  <si>
    <t>PEMASANGAN PERLENGKAPAN MEKANIKAL BANGUNAN</t>
  </si>
  <si>
    <t>PEMASANGAN KONSTRUKSI LAINNYA YTDL</t>
  </si>
  <si>
    <t>PEMASANGAN KACA, PINTU, KUSEN, JENDELA, DAN SEJENISNYA</t>
  </si>
  <si>
    <t>PENGERJAAN LANTAI, DINDING, DAN PLAFON</t>
  </si>
  <si>
    <t>PENGECATAN</t>
  </si>
  <si>
    <t>PENYELESAIAN KONSTRUKSI BANGUNAN LAINNYA</t>
  </si>
  <si>
    <t>JASA INTERMEDIASI KONSTRUKSI KHUSUS</t>
  </si>
  <si>
    <t>PEMASANGAN DAN REKAYASA STRUKTUR BANGUNAN</t>
  </si>
  <si>
    <t>PEMASANGAN PERANCAH (STEGER)</t>
  </si>
  <si>
    <t>PEMASANGAN RANGKA DAN ATAP/ROOF COVERING</t>
  </si>
  <si>
    <t>PEMASANGAN KERANGKA BAJA</t>
  </si>
  <si>
    <t>PENYEWAAN ALAT KONSTRUKSI DENGAN OPERATOR</t>
  </si>
  <si>
    <t>KONSTRUKSI KHUSUS LAINNYA YTDL</t>
  </si>
  <si>
    <t>G</t>
  </si>
  <si>
    <t>PERDAGANGAN BESAR ATAS DASAR BALAS JASA (FEE) ATAU KONTRAK</t>
  </si>
  <si>
    <t>PERDAGANGAN BESAR PADI DAN PALAWIJA</t>
  </si>
  <si>
    <t>PERDAGANGAN BESAR BUAH YANG MENGANDUNG MINYAK</t>
  </si>
  <si>
    <t>PERDAGANGAN BESAR BUNGA DAN TANAMAN HIAS</t>
  </si>
  <si>
    <t>PERDAGANGAN BESAR TEMBAKAU RAJANGAN</t>
  </si>
  <si>
    <t>PERDAGANGAN BESAR BINATANG HIDUP</t>
  </si>
  <si>
    <t>PERDAGANGAN BESAR IKAN DAN BIOTA AIR HIDUP LAINNYA</t>
  </si>
  <si>
    <t>PERDAGANGAN BESAR HASIL KEHUTANAN DAN PERBURUAN</t>
  </si>
  <si>
    <t>PERDAGANGAN BESAR KULIT</t>
  </si>
  <si>
    <t>PERDAGANGAN BESAR HASIL PERTANIAN DAN HEWAN HIDUP LAINNYA</t>
  </si>
  <si>
    <t>PERDAGANGAN BESAR BERAS</t>
  </si>
  <si>
    <t>PERDAGANGAN BESAR BUAH-BUAHAN</t>
  </si>
  <si>
    <t>PERDAGANGAN BESAR SAYURAN</t>
  </si>
  <si>
    <t>PERDAGANGAN BESAR KOPI, TEH, DAN KAKAO</t>
  </si>
  <si>
    <t>PERDAGANGAN BESAR MINYAK DAN LEMAK NABATI</t>
  </si>
  <si>
    <t>PERDAGANGAN BESAR BAHAN MAKANAN DAN MINUMAN HASIL</t>
  </si>
  <si>
    <t>PERDAGANGAN BESAR DAGING SAPI DAN DAGING SAPI OLAHAN</t>
  </si>
  <si>
    <t>PERDAGANGAN BESAR DAGING AYAM DAN DAGING AYAM OLAHAN</t>
  </si>
  <si>
    <t>PERDAGANGAN BESAR DAGING DAN DAGING OLAHAN LAINNYA</t>
  </si>
  <si>
    <t>PERDAGANGAN BESAR HASIL PERIKANAN DAN OLAHAN TERKAIT</t>
  </si>
  <si>
    <t>PERDAGANGAN BESAR TELUR DAN HASIL OLAHAN TELUR</t>
  </si>
  <si>
    <t>PERDAGANGAN BESAR SUSU DAN PRODUK SUSU</t>
  </si>
  <si>
    <t>PERDAGANGAN BESAR MINYAK DAN LEMAK HEWANI</t>
  </si>
  <si>
    <t>PERDAGANGAN BESAR GULA, COKELAT, DAN KEMBANG GULA</t>
  </si>
  <si>
    <t>PERDAGANGAN BESAR PRODUK BAKERI</t>
  </si>
  <si>
    <t>PERDAGANGAN BESAR MINUMAN BERALKOHOL</t>
  </si>
  <si>
    <t>PERDAGANGAN BESAR MINUMAN NONALKOHOL BUKAN SUSU</t>
  </si>
  <si>
    <t>PERDAGANGAN BESAR ROKOK DAN TEMBAKAU</t>
  </si>
  <si>
    <t>PERDAGANGAN BESAR MAKANAN DAN MINUMAN LAINNYA</t>
  </si>
  <si>
    <t>PERDAGANGAN BESAR TEKSTIL</t>
  </si>
  <si>
    <t>PERDAGANGAN BESAR PAKAIAN</t>
  </si>
  <si>
    <t>PERDAGANGAN BESAR ALAS KAKI</t>
  </si>
  <si>
    <t>PERDAGANGAN BESAR BARANG JADI TEKSTIL</t>
  </si>
  <si>
    <t>PERDAGANGAN BESAR PERLENGKAPAN JAHIT</t>
  </si>
  <si>
    <t>PERDAGANGAN BESAR FURNITUR, KARPET, PERLENGKAPAN</t>
  </si>
  <si>
    <t>PERDAGANGAN BESAR ALAT FOTOGRAFI DAN BARANG OPTIK</t>
  </si>
  <si>
    <t>PERDAGANGAN BESAR SEDIAAN FARMASI UNTUK MANUSIA</t>
  </si>
  <si>
    <t>PERDAGANGAN BESAR SEDIAAN FARMASI UNTUK HEWAN</t>
  </si>
  <si>
    <t>PERDAGANGAN BESAR ALAT TULIS DAN GAMBAR</t>
  </si>
  <si>
    <t>PERDAGANGAN BESAR BARANG PERCETAKAN DAN PENERBITAN DALAM</t>
  </si>
  <si>
    <t>PERDAGANGAN BESAR PERALATAN MASAK, PERALATAN DAPUR, DAN</t>
  </si>
  <si>
    <t>PERDAGANGAN BESAR PERALATAN DAN PERLENGKAPAN OLAHRAGA</t>
  </si>
  <si>
    <t>PERDAGANGAN BESAR ALAT MUSIK</t>
  </si>
  <si>
    <t>PERDAGANGAN BESAR PERHIASAN DAN JAM</t>
  </si>
  <si>
    <t>PERDAGANGAN BESAR ALAT PERMAINAN DAN MAINAN</t>
  </si>
  <si>
    <t>PERDAGANGAN BESAR TAS, DOMPET, KOPER, RANSEL, DAN SEJENISNYA</t>
  </si>
  <si>
    <t>PERDAGANGAN BESAR BERBAGAI BARANG DAN PERLENGKAPAN RUMAH</t>
  </si>
  <si>
    <t>PERDAGANGAN BESAR KOMPUTER DAN PERLENGKAPAN KOMPUTER</t>
  </si>
  <si>
    <t>PERDAGANGAN BESAR PERANGKAT LUNAK</t>
  </si>
  <si>
    <t>PERDAGANGAN BESAR SUKU CADANG ELEKTRONIK</t>
  </si>
  <si>
    <t>PERDAGANGAN BESAR DISKET, FLASH DRIVE, PITA AUDIO DAN VIDEO,</t>
  </si>
  <si>
    <t>PERDAGANGAN BESAR PERALATAN TELEKOMUNIKASI</t>
  </si>
  <si>
    <t>PERDAGANGAN BESAR MESIN, PERALATAN DAN PERLENGKAPAN</t>
  </si>
  <si>
    <t>PERDAGANGAN BESAR MESIN KANTOR DAN INDUSTRI, SUKU CADANG,</t>
  </si>
  <si>
    <t>PERDAGANGAN BESAR ALAT TRANSPORTASI LAUT, SUKU CADANG, DAN</t>
  </si>
  <si>
    <t>PERDAGANGAN BESAR ALAT TRANSPORTASI DARAT (BUKAN MOBIL,</t>
  </si>
  <si>
    <t>PERDAGANGAN BESAR ALAT TRANSPORTASI UDARA, SUKU CADANG DAN</t>
  </si>
  <si>
    <t>PERDAGANGAN BESAR MESIN, PERALATAN, DAN PERLENGKAPAN</t>
  </si>
  <si>
    <t>PERDAGANGAN BESAR MOBIL BARU</t>
  </si>
  <si>
    <t>PERDAGANGAN BESAR MOBIL BEKAS</t>
  </si>
  <si>
    <t>PERDAGANGAN BESAR SUKU CADANG DAN AKSESORI MOBIL</t>
  </si>
  <si>
    <t>PERDAGANGAN BESAR SEPEDA MOTOR BARU</t>
  </si>
  <si>
    <t>PERDAGANGAN BESAR SEPEDA MOTOR BEKAS</t>
  </si>
  <si>
    <t>PERDAGANGAN BESAR SUKU CADANG SEPEDA MOTOR DAN</t>
  </si>
  <si>
    <t>PERDAGANGAN BESAR BAHAN BAKAR PADAT, CAIR, DAN GAS BESERTA</t>
  </si>
  <si>
    <t>PERDAGANGAN BESAR BIJIH DAN KONSENTRAT LOGAM</t>
  </si>
  <si>
    <t>PERDAGANGAN BESAR PRODUK LOGAM SETENGAH JADI</t>
  </si>
  <si>
    <t>PERDAGANGAN BESAR BAHAN KONSTRUKSI DARI LOGAM</t>
  </si>
  <si>
    <t>PERDAGANGAN BESAR KACA LEMBARAN</t>
  </si>
  <si>
    <t>PERDAGANGAN BESAR BAHAN KONSTRUKSI DARI TANAH LIAT, KAPUR,</t>
  </si>
  <si>
    <t>PERDAGANGAN BESAR SEMEN, KAPUR, PASIR, DAN BATU</t>
  </si>
  <si>
    <t>PERDAGANGAN BESAR BAHAN KONSTRUKSI DARI PORSELEN</t>
  </si>
  <si>
    <t>o</t>
  </si>
  <si>
    <t>PERDAGANGAN BESAR CAT</t>
  </si>
  <si>
    <t>PERDAGANGAN BESAR BERBAGAI MACAM MATERIAL BANGUNAN</t>
  </si>
  <si>
    <t>PERDAGANGAN BESAR BAHAN KONSTRUKSI, PERKAKAS,</t>
  </si>
  <si>
    <t>PERDAGANGAN BESAR MINERAL BUKAN LOGAM</t>
  </si>
  <si>
    <t>PERDAGANGAN BESAR MINERAL RADIOAKTIF</t>
  </si>
  <si>
    <t>PERDAGANGAN BESAR ZAT RADIOAKTIF DAN PEMBANGKIT RADIASI</t>
  </si>
  <si>
    <t>PERDAGANGAN BESAR BAHAN DAN BARANG KIMIA</t>
  </si>
  <si>
    <t>PERDAGANGAN BESAR PUPUK DAN PRODUK AGROKIMIA</t>
  </si>
  <si>
    <t>PERDAGANGAN BESAR BAHAN BERBAHAYA (B2)</t>
  </si>
  <si>
    <t>PERDAGANGAN BESAR ALAT KESEHATAN DAN LABORATORIUM UNTUK</t>
  </si>
  <si>
    <t>PERDAGANGAN BESAR ALAT KESEHATAN UNTUK HEWAN</t>
  </si>
  <si>
    <t>PERDAGANGAN BESAR KARET DAN PLASTIK DALAM BENTUK DASAR</t>
  </si>
  <si>
    <t>PERDAGANGAN BESAR KERTAS DAN KARTON</t>
  </si>
  <si>
    <t>PERDAGANGAN BESAR BARANG DARI KERTAS DAN KARTON</t>
  </si>
  <si>
    <t>PERDAGANGAN BESAR BARANG BEKAS DAN SKRAP</t>
  </si>
  <si>
    <t>PERDAGANGAN BESAR PRODUK LAINNYA YTDL</t>
  </si>
  <si>
    <t>PERDAGANGAN BESAR BERBAGAI MACAM BARANG DI</t>
  </si>
  <si>
    <t>PERDAGANGAN BESAR BERBAGAI MACAM BARANG SELAIN DI</t>
  </si>
  <si>
    <t>PERDAGANGAN ECERAN BERBAGAI MACAM BARANG YANG UTAMANYA</t>
  </si>
  <si>
    <t>PERDAGANGAN ECERAN PADI DAN PALAWIJA</t>
  </si>
  <si>
    <t>PERDAGANGAN ECERAN BUAH-BUAHAN</t>
  </si>
  <si>
    <t>PERDAGANGAN ECERAN SAYURAN</t>
  </si>
  <si>
    <t>PERDAGANGAN ECERAN HASIL PETERNAKAN</t>
  </si>
  <si>
    <t>PERDAGANGAN ECERAN HASIL PERIKANAN</t>
  </si>
  <si>
    <t>PERDAGANGAN ECERAN HASIL KEHUTANAN DAN PERBURUAN</t>
  </si>
  <si>
    <t>PERDAGANGAN ECERAN HASIL PERTANIAN LAINNYA</t>
  </si>
  <si>
    <t>PERDAGANGAN ECERAN MINUMAN BERALKOHOL</t>
  </si>
  <si>
    <t>PERDAGANGAN ECERAN MINUMAN TIDAK BERALKOHOL</t>
  </si>
  <si>
    <t>PERDAGANGAN ECERAN ROKOK DAN TEMBAKAU</t>
  </si>
  <si>
    <t>PERDAGANGAN ECERAN BERAS</t>
  </si>
  <si>
    <t>PERDAGANGAN ECERAN ROTI, KUE KERING, SERTA KUE BASAH DAN</t>
  </si>
  <si>
    <t>PERDAGANGAN ECERAN KOPI, GULA PASIR, GULA MERAH, DAN</t>
  </si>
  <si>
    <t>PERDAGANGAN ECERAN TAHU, TEMPE, TAUCO, DAN ONCOM</t>
  </si>
  <si>
    <t>PERDAGANGAN ECERAN DAGING OLAHAN</t>
  </si>
  <si>
    <t>PERDAGANGAN ECERAN IKAN OLAHAN</t>
  </si>
  <si>
    <t>PERDAGANGAN ECERAN MAKANAN LAINNYA</t>
  </si>
  <si>
    <t>PERDAGANGAN ECERAN BAHAN BAKAR DI SARANA PENGISIAN BAHAN</t>
  </si>
  <si>
    <t>PERDAGANGAN ECERAN BAHAN BAKAR SELAIN DI SARANA PENGISIAN</t>
  </si>
  <si>
    <t>PERDAGANGAN ECERAN MINYAK PELUMAS</t>
  </si>
  <si>
    <t>PERDAGANGAN ECERAN KOMPUTER DAN PERLENGKAPANNYA</t>
  </si>
  <si>
    <t>PERDAGANGAN ECERAN PERALATAN DAN PRODUK GIM VIDEO SERTA</t>
  </si>
  <si>
    <t>PERDAGANGAN ECERAN PERANGKAT LUNAK (SOFTWARE)</t>
  </si>
  <si>
    <t>PERDAGANGAN ECERAN TELEPON BESERTA AKSESORISNYA</t>
  </si>
  <si>
    <t>PERDAGANGAN ECERAN MESIN DAN PERALATAN KANTOR</t>
  </si>
  <si>
    <t>PERDAGANGAN ECERAN PERALATAN AUDIO DAN VIDEO</t>
  </si>
  <si>
    <t>PERDAGANGAN ECERAN TEKSTIL</t>
  </si>
  <si>
    <t>PERDAGANGAN ECERAN PERLENGKAPAN RUMAH TANGGA DARI TEKSTIL</t>
  </si>
  <si>
    <t>PERDAGANGAN ECERAN PERLENGKAPAN JAHIT MENJAHIT</t>
  </si>
  <si>
    <t>PERDAGANGAN ECERAN BAHAN DAN MATERIAL KONSTRUKSI</t>
  </si>
  <si>
    <t>PERDAGANGAN ECERAN KACA LEMBARAN</t>
  </si>
  <si>
    <t>PERDAGANGAN ECERAN PERKAKAS DAN PERALATAN PERTUKANGAN</t>
  </si>
  <si>
    <t>PERDAGANGAN ECERAN PERALATAN KESELAMATAN DAN GAWAT</t>
  </si>
  <si>
    <t>PERDAGANGAN ECERAN CAT, PERNIS DAN LAKERI</t>
  </si>
  <si>
    <t>PERDAGANGAN ECERAN BAHAN-BAHAN ENERGI TERBARUKAN</t>
  </si>
  <si>
    <t>PERDAGANGAN ECERAN KARPET, PERMADANI, SERTA PENUTUP DINDING</t>
  </si>
  <si>
    <t>PERDAGANGAN ECERAN FURNITUR</t>
  </si>
  <si>
    <t>PERDAGANGAN ECERAN PERALATAN LISTRIK RUMAH TANGGA,</t>
  </si>
  <si>
    <t>PERDAGANGAN ECERAN BARANG PECAH BELAH; PERLENGKAPAN DAPUR</t>
  </si>
  <si>
    <t>PERDAGANGAN ECERAN ALAT MUSIK</t>
  </si>
  <si>
    <t>PERDAGANGAN ECERAN PERALATAN DAN PERLENGKAPAN RUMAH</t>
  </si>
  <si>
    <t>PERDAGANGAN ECERAN ALAT TULIS MENULIS DAN GAMBAR</t>
  </si>
  <si>
    <t>PERDAGANGAN ECERAN HASIL PENCETAKAN DAN PENERBITAN</t>
  </si>
  <si>
    <t>PERDAGANGAN ECERAN KERTAS, KERTAS KARTON, DAN BARANG DARI</t>
  </si>
  <si>
    <t>PERDAGANGAN ECERAN PERALATAN DAN PERLENGKAPAN OLAHRAGA</t>
  </si>
  <si>
    <t>PERDAGANGAN ECERAN ALAT PERMAINAN DAN MAINAN</t>
  </si>
  <si>
    <t>PERDAGANGAN ECERAN KHUSUS BARANG KESENIAN DAN REKREASI</t>
  </si>
  <si>
    <t>PERDAGANGAN ECERAN PAKAIAN</t>
  </si>
  <si>
    <t>PERDAGANGAN ECERAN SEPATU, SANDAL, DAN ALAS KAKI LAINNYA</t>
  </si>
  <si>
    <t>PERDAGANGAN ECERAN PERLENGKAPAN PAKAIAN</t>
  </si>
  <si>
    <t>PERDAGANGAN ECERAN TAS, DOMPET, KOPER, RANSEL, DAN</t>
  </si>
  <si>
    <t>PERDAGANGAN ECERAN SEDIAAN FARMASI UNTUK MANUSIA DI APOTEK</t>
  </si>
  <si>
    <t>PERDAGANGAN ECERAN SEDIAAN FARMASI UNTUK MANUSIA SELAIN DI</t>
  </si>
  <si>
    <t>PERDAGANGAN ECERAN OBAT BAHAN ALAM UNTUK MANUSIA</t>
  </si>
  <si>
    <t>PERDAGANGAN ECERAN KOSMETIK UNTUK MANUSIA</t>
  </si>
  <si>
    <t>PERDAGANGAN ECERAN ALAT KESEHATAN UNTUK MANUSIA</t>
  </si>
  <si>
    <t>PERDAGANGAN ECERAN OBAT FARMASI UNTUK HEWAN</t>
  </si>
  <si>
    <t>PERDAGANGAN ECERAN OBAT TRADISIONAL UNTUK HEWAN</t>
  </si>
  <si>
    <t>PERDAGANGAN ECERAN KOSMETIK UNTUK HEWAN</t>
  </si>
  <si>
    <t>PERDAGANGAN ECERAN BAHAN BAKU FARMASI DAN ALAT KESEHATAN</t>
  </si>
  <si>
    <t>PERDAGANGAN ECERAN ALAT FOTOGRAFI DAN PERLENGKAPANNYA</t>
  </si>
  <si>
    <t>PERDAGANGAN ECERAN ALAT OPTIK DAN PERLENGKAPANNYA</t>
  </si>
  <si>
    <t>PERDAGANGAN ECERAN KACAMATA</t>
  </si>
  <si>
    <t>PERDAGANGAN ECERAN JAM</t>
  </si>
  <si>
    <t>PERDAGANGAN ECERAN BARANG PERHIASAN</t>
  </si>
  <si>
    <t>PERDAGANGAN ECERAN PERLENGKAPAN RUMAH TANGGA BEKAS</t>
  </si>
  <si>
    <t>PERDAGANGAN ECERAN PAKAIAN, ALAS KAKI, DAN PERLENGKAPAN</t>
  </si>
  <si>
    <t>PERDAGANGAN ECERAN BARANG PERLENGKAPAN PRIBADI BEKAS</t>
  </si>
  <si>
    <t>PERDAGANGAN ECERAN BARANG LISTRIK DAN ELEKTRONIK BEKAS</t>
  </si>
  <si>
    <t>PERDAGANGAN ECERAN BAHAN KONSTRUKSI DAN SANITER BEKAS</t>
  </si>
  <si>
    <t>PERDAGANGAN ECERAN BARANG ANTIK</t>
  </si>
  <si>
    <t>PERDAGANGAN ECERAN BARANG BEKAS LAINNYA</t>
  </si>
  <si>
    <t>PERDAGANGAN ECERAN HEWAN KESAYANGAN (PET ANIMALS)</t>
  </si>
  <si>
    <t>PERDAGANGAN ECERAN HEWAN TERNAK DAN BIBIT HEWAN</t>
  </si>
  <si>
    <t>PERDAGANGAN ECERAN IKAN DAN BIOTA AIR HIDUP LAINNYA</t>
  </si>
  <si>
    <t>PERDAGANGAN ECERAN PAKAN TERNAK/UNGGAS/IKAN DAN HEWAN</t>
  </si>
  <si>
    <t>PERDAGANGAN ECERAN BUNGA POTONG/FLORIST</t>
  </si>
  <si>
    <t>PERDAGANGAN ECERAN TANAMAN DAN BIBIT TANAMAN SELAIN</t>
  </si>
  <si>
    <t>PERDAGANGAN ECERAN PUPUK DAN PEMBERANTAS HAMA</t>
  </si>
  <si>
    <t>PERDAGANGAN ECERAN PERLENGKAPAN DAN MEDIA TANAMAN HIAS</t>
  </si>
  <si>
    <t>PERDAGANGAN ECERAN TANAMAN DAN BIBIT TANAMAN KEHUTANAN</t>
  </si>
  <si>
    <t>PERDAGANGAN ECERAN MINYAK TANAH</t>
  </si>
  <si>
    <t>PERDAGANGAN ECERAN GAS TABUNG LPG</t>
  </si>
  <si>
    <t>PERDAGANGAN ECERAN BAHAN KIMIA</t>
  </si>
  <si>
    <t>PERDAGANGAN ECERAN AROMATIK/PENYEGAR (MINYAK ASIRI)</t>
  </si>
  <si>
    <t>PERDAGANGAN ECERAN BAHAN KIMIA, AROMATIK/PENYEGAR (MINYAK</t>
  </si>
  <si>
    <t>PERDAGANGAN ECERAN CENDERA MATA, KERAJINAN, DAN BARANG-</t>
  </si>
  <si>
    <t>PERDAGANGAN ECERAN LUKISAN</t>
  </si>
  <si>
    <t>PERDAGANGAN ECERAN BERBAGAI MACAM MESIN DAN</t>
  </si>
  <si>
    <t>PERDAGANGAN ECERAN ALAT TRANSPORTASI DARAT TIDAK BERMOTOR</t>
  </si>
  <si>
    <t>PERDAGANGAN ECERAN ALAT TRANSPORTASI AIR DAN</t>
  </si>
  <si>
    <t>PERDAGANGAN ECERAN ALAT-ALAT PERTANIAN</t>
  </si>
  <si>
    <t>PERDAGANGAN ECERAN PERLENGKAPAN PENGENDARA KENDARAAN</t>
  </si>
  <si>
    <t>PERDAGANGAN ECERAN PEMBUNGKUS DARI PLASTIK</t>
  </si>
  <si>
    <t>PERDAGANGAN ECERAN BARANG BARU LAINNYA YTDL</t>
  </si>
  <si>
    <t>PERDAGANGAN ECERAN MOBIL BARU</t>
  </si>
  <si>
    <t>PERDAGANGAN ECERAN MOBIL BEKAS</t>
  </si>
  <si>
    <t>PERDAGANGAN ECERAN SUKU CADANG DAN AKSESORI MOBIL</t>
  </si>
  <si>
    <t>PERDAGANGAN ECERAN SEPEDA MOTOR BARU</t>
  </si>
  <si>
    <t>PERDAGANGAN ECERAN SEPEDA MOTOR BEKAS</t>
  </si>
  <si>
    <t>PERDAGANGAN ECERAN SUKU CADANG SEPEDA MOTOR DAN</t>
  </si>
  <si>
    <t>PLATFORM DIGITAL INTERMEDIASI PERDAGANGAN ECERAN</t>
  </si>
  <si>
    <t>JASA INTERMEDIASI PERDAGANGAN ECERAN LAINNYA</t>
  </si>
  <si>
    <t>ANGKUTAN KERETA WISATA ANTARKOTA</t>
  </si>
  <si>
    <t>TRANSPORTASI KERETA API ANTARKOTA LAINNYA UNTUK PENUMPANG</t>
  </si>
  <si>
    <t>TRANSPORTASI KERETA API UNTUK BARANG</t>
  </si>
  <si>
    <t>ANGKUTAN KERETA WISATA DALAM KOTA</t>
  </si>
  <si>
    <t>ANGKUTAN KERETA API PERKOTAAN</t>
  </si>
  <si>
    <t>ANGKUTAN PERKOTAAN</t>
  </si>
  <si>
    <t>ANGKUTAN PERDESAAN</t>
  </si>
  <si>
    <t>TRANSPORTASI DARAT DALAM KOTA LAINNYA UNTUK PENUMPANG</t>
  </si>
  <si>
    <t>ANGKUTAN ANTARKOTA ANTARPROVINSI (AKAP)</t>
  </si>
  <si>
    <t>ANGKUTAN ANTARKOTA DALAM PROVINSI (AKDP)</t>
  </si>
  <si>
    <t>ANGKUTAN LINTAS BATAS NEGARA</t>
  </si>
  <si>
    <t>TRANSPORTASI ANTARKOTA LAINNYA UNTUK PENUMPANG</t>
  </si>
  <si>
    <t>ANGKUTAN BERMOTOR UNTUK BARANG UMUM</t>
  </si>
  <si>
    <t>ANGKUTAN BERMOTOR UNTUK BARANG KHUSUS</t>
  </si>
  <si>
    <t>ANGKUTAN TIDAK BERMOTOR UNTUK BARANG</t>
  </si>
  <si>
    <t>ANGKUTAN KERETA API LAINNYA</t>
  </si>
  <si>
    <t>ANGKUTAN PARIWISATA</t>
  </si>
  <si>
    <t>ANGKUTAN TAKSI</t>
  </si>
  <si>
    <t>ANGKUTAN KHUSUS</t>
  </si>
  <si>
    <t>ANGKUTAN SEWA</t>
  </si>
  <si>
    <t>ANGKUTAN OJEK MOTOR</t>
  </si>
  <si>
    <t>ANGKUTAN TIDAK BERMOTOR UNTUK PENUMPANG</t>
  </si>
  <si>
    <t>TRANSPORTASI DARAT LAINNYA UNTUK PENUMPANG YTDL</t>
  </si>
  <si>
    <t>TRANSPORTASI MELALUI SALURAN PIPA</t>
  </si>
  <si>
    <t>ANGKUTAN LAUT DALAM NEGERI LINER DAN TRAMPER UNTUK</t>
  </si>
  <si>
    <t>ANGKUTAN LAUT DALAM NEGERI PERINTIS UNTUK PENUMPANG</t>
  </si>
  <si>
    <t>ANGKUTAN LAUT DALAM NEGERI UNTUK WISATA</t>
  </si>
  <si>
    <t>ANGKUTAN LAUT LUAR NEGERI LINER DAN TRAMPER UNTUK</t>
  </si>
  <si>
    <t>ANGKUTAN LAUT LUAR NEGERI UNTUK WISATA</t>
  </si>
  <si>
    <t>ANGKUTAN LAUT DALAM NEGERI UNTUK BARANG UMUM</t>
  </si>
  <si>
    <t>ANGKUTAN LAUT DALAM NEGERI UNTUK BARANG KHUSUS</t>
  </si>
  <si>
    <t>ANGKUTAN LAUT DALAM NEGERI PERINTIS UNTUK BARANG</t>
  </si>
  <si>
    <t>ANGKUTAN LAUT DALAM NEGERI PELAYARAN RAKYAT UNTUK BARANG</t>
  </si>
  <si>
    <t>ANGKUTAN LAUT LUAR NEGERI UNTUK BARANG UMUM</t>
  </si>
  <si>
    <t>ANGKUTAN LAUT LUAR NEGERI UNTUK BARANG KHUSUS</t>
  </si>
  <si>
    <t>ANGKUTAN LAUT LUAR NEGERI PELAYARAN RAKYAT UNTUK BARANG</t>
  </si>
  <si>
    <t>ANGKUTAN PENYEBERANGAN UMUM ANTARPROVINSI UNTUK</t>
  </si>
  <si>
    <t>ANGKUTAN PENYEBERANGAN UMUM ANTARKABUPATEN/KOTA UNTUK</t>
  </si>
  <si>
    <t>ANGKUTAN PENYEBERANGAN UMUM DALAM KABUPATEN/KOTA UNTUK</t>
  </si>
  <si>
    <t>ANGKUTAN PENYEBERANGAN PERINTIS ANTARPROVINSI UNTUK</t>
  </si>
  <si>
    <t>ANGKUTAN PENYEBERANGAN PERINTIS ANTARKABUPATEN/KOTA UNTUK</t>
  </si>
  <si>
    <t>TRANSPORTASI PESISIR LAINNYA UNTUK PENUMPANG</t>
  </si>
  <si>
    <t>ANGKUTAN PENYEBERANGAN UMUM ANTARPROVINSI UNTUK BARANG</t>
  </si>
  <si>
    <t>TRANSPORTASI PESISIR LAINNYA UNTUK BARANG</t>
  </si>
  <si>
    <t>ANGKUTAN SUNGAI DAN DANAU LINER (TRAYEK TETAP DAN TERATUR)</t>
  </si>
  <si>
    <t>ANGKUTAN SUNGAI DAN DANAU TRAMPER (TRAYEK TIDAK TETAP DAN</t>
  </si>
  <si>
    <t>ANGKUTAN SUNGAI DAN DANAU UNTUK WISATA</t>
  </si>
  <si>
    <t>ANGKUTAN SUNGAI DAN DANAU UNTUK BARANG UMUM</t>
  </si>
  <si>
    <t>ANGKUTAN SUNGAI DAN DANAU UNTUK BARANG KHUSUS</t>
  </si>
  <si>
    <t>ANGKUTAN SUNGAI DAN DANAU UNTUK BARANG BERBAHAYA</t>
  </si>
  <si>
    <t>ANGKUTAN UDARA NIAGA BERJADWAL UNTUK PENUMPANG</t>
  </si>
  <si>
    <t>ANGKUTAN UDARA NIAGA TIDAK BERJADWAL UNTUK PENUMPANG</t>
  </si>
  <si>
    <t>TRANSPORTASI ANTARIKSA UNTUK PENUMPANG</t>
  </si>
  <si>
    <t>ANGKUTAN UDARA NIAGA BERJADWAL KHUSUS KARGO</t>
  </si>
  <si>
    <t>ANGKUTAN UDARA NIAGA TIDAK BERJADWAL KHUSUS KARGO</t>
  </si>
  <si>
    <t>TRANSPORTASI ANTARIKSA UNTUK BARANG</t>
  </si>
  <si>
    <t>PENGELOLA GUDANG SISTEM RESI GUDANG</t>
  </si>
  <si>
    <t>AKTIVITAS GUDANG DINGIN</t>
  </si>
  <si>
    <t>AKTIVITAS GUDANG BERIKAT</t>
  </si>
  <si>
    <t>PENYIMPANAN MINYAK DAN GAS BUMI</t>
  </si>
  <si>
    <t>AKTIVITAS PENYIMPANAN BARANG BERBAHAYA DAN BERACUN (B3)</t>
  </si>
  <si>
    <t>FASILITAS PENYIMPANAN SUMBER RADIASI PENGION</t>
  </si>
  <si>
    <t>PENYIMPANAN MINERAL IKUTAN RADIOAKTIF</t>
  </si>
  <si>
    <t>PERGUDANGAN DAN PENYIMPANAN LAINNYA</t>
  </si>
  <si>
    <t>AKTIVITAS TERMINAL DARAT</t>
  </si>
  <si>
    <t>AKTIVITAS PENYELENGGARAAN PRASARANA PERKERETAAPIAN</t>
  </si>
  <si>
    <t>AKTIVITAS JALAN TOL</t>
  </si>
  <si>
    <t>AKTIVITAS PERPARKIRAN DI BADAN JALAN (ON STREET PARKING)</t>
  </si>
  <si>
    <t>AKTIVITAS PERPARKIRAN DI LUAR BADAN JALAN (OFF STREET PARKING)</t>
  </si>
  <si>
    <t>AKTIVITAS JASA TERKAIT TRANSPORTASI DARAT LAINNYA</t>
  </si>
  <si>
    <t>AKTIVITAS PELAYANAN KEPELABUHANAN LAUT</t>
  </si>
  <si>
    <t>AKTIVITAS PELAYANAN KEPELABUHANAN SUNGAI DAN DANAU</t>
  </si>
  <si>
    <t>AKTIVITAS PELAYANAN KEPELABUHANAN PENYEBERANGAN</t>
  </si>
  <si>
    <t>AKTIVITAS PELABUHAN PERIKANAN</t>
  </si>
  <si>
    <t>AKTIVITAS PENGELOLAAN KAPAL</t>
  </si>
  <si>
    <t>AKTIVITAS PENYELAMATAN KAPAL DAN MUATANNYA</t>
  </si>
  <si>
    <t>ANGKUTAN PERAIRAN PELABUHAN</t>
  </si>
  <si>
    <t>AKTIVITAS JASA TERKAIT TRANSPORTASI PERAIRAN LAINNYA</t>
  </si>
  <si>
    <t>AKTIVITAS KEBANDARUDARAAN</t>
  </si>
  <si>
    <t>JASA PELAYANAN NAVIGASI PENERBANGAN</t>
  </si>
  <si>
    <t>PELAYANAN PENUMPANG, BAGASI, KARGO, POS, DAN TEKNIS</t>
  </si>
  <si>
    <t>AKTIVITAS PEMERIKSAAN DAN PENGENDALIAN KEAMANAN MUATAN</t>
  </si>
  <si>
    <t>AKTIVITAS JASA TERKAIT ANGKUTAN UDARA LAINNYA</t>
  </si>
  <si>
    <t>PENANGANAN KARGO (BONGKAR MUAT BARANG)</t>
  </si>
  <si>
    <t>ANGKUTAN MULTIMODA</t>
  </si>
  <si>
    <t>AKTIVITAS TALLY MANDIRI</t>
  </si>
  <si>
    <t>AKTIVITAS PENUNJANG ANGKUTAN LAINNYA YTDL</t>
  </si>
  <si>
    <t>JASA PENGURUSAN TRANSPORTASI (JPT)</t>
  </si>
  <si>
    <t>JASA KEAGENAN KAPAL/AGEN PERKAPALAN</t>
  </si>
  <si>
    <t>AKTIVITAS PERWAKILAN OPERASIONAL TRANSPORTASI UDARA KHUSUS</t>
  </si>
  <si>
    <t>JASA INTERMEDIASI TRANSPORTASI LAINNYA UNTUK BARANG</t>
  </si>
  <si>
    <t>AGEN PENJUALAN TIKET TRANSPORTASI</t>
  </si>
  <si>
    <t>AGEN PENGURUS PERSETUJUAN TERBANG</t>
  </si>
  <si>
    <t>AKTIVITAS PERWAKILAN OPERASIONAL TRANSPORTASI UDARA UNTUK</t>
  </si>
  <si>
    <t>JASA INTERMEDIASI TRANSPORTASI LAINNYA UNTUK PENUMPANG</t>
  </si>
  <si>
    <t>AKTIVITAS JASA PORTAL INTERMEDIASI POS DAN KURIR</t>
  </si>
  <si>
    <t>JASA INTERMEDIASI POS DAN KURIR LAINNYA</t>
  </si>
  <si>
    <t>AKTIVITAS HOSTEL REMAJA (YOUTH HOSTEL)</t>
  </si>
  <si>
    <t>AKTIVITAS VILA</t>
  </si>
  <si>
    <t>AKTIVITAS APARTEMEN HOTEL</t>
  </si>
  <si>
    <t>AKTIVITAS PENYEDIAAN AKOMODASI JANGKA PENDEK LAINNYA</t>
  </si>
  <si>
    <t>AKTIVITAS PENYEDIAAN BUMI PERKEMAHAN, PERSINGGAHAN KARAVAN,</t>
  </si>
  <si>
    <t>AKTIVITAS JASA INTERMEDIASI AKOMODASI</t>
  </si>
  <si>
    <t>AKTIVITAS JASA MANAJEMEN AKOMODASI</t>
  </si>
  <si>
    <t>PENYEDIAAN AKOMODASI LAINNYA YTDL</t>
  </si>
  <si>
    <t>AKTIVITAS PENYEDIAAN MAKANAN DI BANGUNAN TETAP</t>
  </si>
  <si>
    <t>AKTIVITAS PENYEDIAAN MAKANAN DI BANGUNAN TIDAK TETAP</t>
  </si>
  <si>
    <t>AKTIVITAS JASA BOGA UNTUK ACARA TERTENTU (EVENT CATERING)</t>
  </si>
  <si>
    <t>AKTIVITAS PENYEDIAAN JASA BOGA LAINNYA</t>
  </si>
  <si>
    <t>AKTIVITAS BAR</t>
  </si>
  <si>
    <t>AKTIVITAS KELAB MALAM ATAU DISKOTEK YANG UTAMANYA</t>
  </si>
  <si>
    <t>AKTIVITAS RUMAH MINUM/KAFE</t>
  </si>
  <si>
    <t>AKTIVITAS KEDAI MINUMAN</t>
  </si>
  <si>
    <t>AKTIVITAS RUMAH/KEDAI OBAT BAHAN ALAM</t>
  </si>
  <si>
    <t>AKTIVITAS PENYEDIAAN MINUMAN KELILING/TEMPAT TIDAK TETAP</t>
  </si>
  <si>
    <t>AKTIVITAS JASA INTERMEDIASI PENYEDIAAN MAKANAN DAN MINUMAN</t>
  </si>
  <si>
    <t>PENERBITAN BUKU</t>
  </si>
  <si>
    <t>PENERBITAN JURNAL DAN TERBITAN BERKALA</t>
  </si>
  <si>
    <t>AKTIVITAS PENERBITAN LAINNYA</t>
  </si>
  <si>
    <t>PENERBITAN PERANGKAT LUNAK VIDEO GIM DALAM JARINGAN (GAME</t>
  </si>
  <si>
    <t>PENERBITAN PERANGKAT LUNAK VIDEO GIM LAINNYA</t>
  </si>
  <si>
    <t>PENERBITAN PERANGKAT LUNAK (SOFTWARE) LAINNYA</t>
  </si>
  <si>
    <t>AKTIVITAS PRODUKSI FILM, VIDEO, DAN PROGRAM TELEVISI OLEH PEMERINTAH</t>
  </si>
  <si>
    <t>AKTIVITAS PASCAPRODUKSI FILM, VIDEO, DAN PROGRAM TELEVISI PEMERINTAH</t>
  </si>
  <si>
    <t>AKTIVITAS PASCAPRODUKSI FILM, VIDEO, DAN PROGRAM TELEVISI SWASTA</t>
  </si>
  <si>
    <t>AKTIVITAS DISTRIBUSI FILM, VIDEO, DAN PROGRAM TELEVISI OLEH PEMERINTAH</t>
  </si>
  <si>
    <t>AKTIVITAS DISTRIBUSI FILM, VIDEO. DAN PROGRAM TELEVISI OLEH SWASTA</t>
  </si>
  <si>
    <t>AKTIVITAS PENERBITAN MUSIK DAN BUKU MUSIK</t>
  </si>
  <si>
    <t>AKTIVITAS PENYIARAN RADIO DIGITAL</t>
  </si>
  <si>
    <t>AKTIVITAS DISTRIBUSI DAN STREAMING AUDIO ATAS PERMINTAAN</t>
  </si>
  <si>
    <t>AKTIVITAS PEMROGRAMAN DAN PENYIARAN TELEVISI DIGITAL</t>
  </si>
  <si>
    <t>AKTIVITAS DISTRIBUSI DAN STREAMING VIDEO ATAS PERMINTAAN</t>
  </si>
  <si>
    <t>AKTIVITAS KANTOR BERITA OLEH SWASTA</t>
  </si>
  <si>
    <t>AKTIVITAS SITUS JEJARING SOSIAL DAN DISTRIBUSI KONTEN LAINNYA</t>
  </si>
  <si>
    <t>AKTIVITAS TELEKOMUNIKASI DENGAN SATELIT</t>
  </si>
  <si>
    <t>AKTIVITAS JASA SISTEM KOMUNIKASI DATA</t>
  </si>
  <si>
    <t>AKTIVITAS JASA GERBANG AKSES INTERNET (NETWORK ACCESS POINT)</t>
  </si>
  <si>
    <t>AKTIVITAS PENJUALAN KEMBALI JASA TELEKOMUNIKASI</t>
  </si>
  <si>
    <t>AKTIVITAS JASA PANGGILAN PREMIUM (PREMIUM CALL)</t>
  </si>
  <si>
    <t>AKTIVITAS JASA KONTEN SMS PREMIUM</t>
  </si>
  <si>
    <t>AKTIVITAS JASA INTERNET TELEPONI UNTUK KEPERLUAN PUBLIK (ITKP)</t>
  </si>
  <si>
    <t>AKTIVITAS JASA PANGGILAN TERKELOLA (CALLING CARD)</t>
  </si>
  <si>
    <t>AKTIVITAS TELEKOMUNIKASI LAINNYA YTDL</t>
  </si>
  <si>
    <t>PENGEMBANGAN VIDEO GIM, PERANGKAT LUNAK VIDEO GIM, DAN</t>
  </si>
  <si>
    <t>AKTIVITAS PENGEMBANGAN APLIKASI PERDAGANGAN MELALUI</t>
  </si>
  <si>
    <t>AKTIVITAS PENGEMBANGAN APLIKASI DAN PRODUKSI KONTEN</t>
  </si>
  <si>
    <t>AKTIVITAS PENGEMBANGAN APLIKASI BERBASIS TEKNOLOGI</t>
  </si>
  <si>
    <t>AKTIVITAS PENGEMBANGAN KOMPONEN DASAR KECERDASAN BUATAN</t>
  </si>
  <si>
    <t>AKTIVITAS KONSULTANSI DAN MANAJEMEN KEAMANAN SIBER</t>
  </si>
  <si>
    <t>AKTIVITAS PENYEDIAAN DAN PENGELOLAAN IDENTITAS DIGITAL</t>
  </si>
  <si>
    <t>AKTIVITAS PENYEDIAAN SERTIFIKAT ELEKTRONIK DAN JASA TERKAIT</t>
  </si>
  <si>
    <t>AKTIVITAS KONSULTANSI DAN PERANCANGAN INTERNET OF THINGS</t>
  </si>
  <si>
    <t>AKTIVITAS KONSULTANSI KOMPUTER DAN MANAJEMEN FASILITAS</t>
  </si>
  <si>
    <t>AKTIVITAS PENYEDIAAN INFRASTRUKTUR KOMPUTASI, HOSTING, DAN</t>
  </si>
  <si>
    <t>AKTIVITAS JASA PORTAL PENCARIAN WEB DAN INFORMASI LAINNYA</t>
  </si>
  <si>
    <t>L</t>
  </si>
  <si>
    <t>AKTIVITAS BANK SENTRAL</t>
  </si>
  <si>
    <t>PERBANKAN UMUM KONVENSIONAL</t>
  </si>
  <si>
    <t>PERBANKAN UMUM SYARIAH</t>
  </si>
  <si>
    <t>PERBANKAN KONVENSIONAL LAINNYA</t>
  </si>
  <si>
    <t>PERBANKAN SYARIAH LAINNYA</t>
  </si>
  <si>
    <t>AKTIVITAS PEMBERIAN KREDIT OLEH KOPERASI KONVENSIONAL</t>
  </si>
  <si>
    <t>AKTIVITAS PEMBERIAN KREDIT OLEH KOPERASI SYARIAH</t>
  </si>
  <si>
    <t>PEMBIAYAAN MIKRO KONVENSIONAL NONPERBANKAN</t>
  </si>
  <si>
    <t>PEMBIAYAAN MIKRO SYARIAH NONPERBANKAN</t>
  </si>
  <si>
    <t>PERANTARA MONETER LAINNYA YTDL</t>
  </si>
  <si>
    <t>AKTIVITAS PERUSAHAAN INDUK</t>
  </si>
  <si>
    <t>AKTIVITAS PEMBIAYAAN CONDUIT</t>
  </si>
  <si>
    <t>AKTIVITAS DANA PASAR UANG</t>
  </si>
  <si>
    <t>AKTIVITAS DANA INVESTASI BUKAN PASAR UANG</t>
  </si>
  <si>
    <t>AKTIVITAS TRUST, WARISAN, DAN KEAGENAN</t>
  </si>
  <si>
    <t>AKTIVITAS SEWA GUNA USAHA FINANSIAL</t>
  </si>
  <si>
    <t>AKTIVITAS PEMBIAYAAN PERDAGANGAN INTERNASIONAL</t>
  </si>
  <si>
    <t>AKTIVITAS ANJAK PIUTANG</t>
  </si>
  <si>
    <t>AKTIVITAS SEKURITISASI</t>
  </si>
  <si>
    <t>PEMBIAYAAN INFRASTRUKTUR KONVENSIONAL</t>
  </si>
  <si>
    <t>PEMBIAYAAN INFRASTRUKTUR SYARIAH</t>
  </si>
  <si>
    <t>AKTIVITAS GADAI KONVENSIONAL</t>
  </si>
  <si>
    <t>AKTIVITAS GADAI SYARIAH</t>
  </si>
  <si>
    <t>PENGELOLAAN TABUNGAN PERUMAHAN RAKYAT</t>
  </si>
  <si>
    <t>AKTIVITAS PEMBERIAN KREDIT LAINNYA YTDL</t>
  </si>
  <si>
    <t>AKTIVITAS MODAL VENTURA KONVENSIONAL</t>
  </si>
  <si>
    <t>AKTIVITAS MODAL VENTURA SYARIAH</t>
  </si>
  <si>
    <t>AKTIVITAS COUNTERPARTY UNTUK KLIRING DAN SETELMEN TRANSAKSI</t>
  </si>
  <si>
    <t>PERDAGANGAN DI PASAR KEUANGAN ATAS NAMA SENDIRI</t>
  </si>
  <si>
    <t>PERDAGANGAN UNIT KARBON ATAS NAMA SENDIRI</t>
  </si>
  <si>
    <t>AKTIVITAS PERBANKAN BULION KONVENSIONAL</t>
  </si>
  <si>
    <t>AKTIVITAS PERBANKAN BULION SYARIAH</t>
  </si>
  <si>
    <t>AKTIVITAS JASA KEUANGAN LAINNYA YTDL, BUKAN ASURANSI DAN</t>
  </si>
  <si>
    <t>ASURANSI JIWA KONVENSIONAL</t>
  </si>
  <si>
    <t>ASURANSI JIWA SYARIAH</t>
  </si>
  <si>
    <t>ASURANSI UMUM KONVENSIONAL</t>
  </si>
  <si>
    <t>ASURANSI UMUM SYARIAH</t>
  </si>
  <si>
    <t>AKTIVITAS PENJAMINAN SIMPANAN DAN ASURANSI</t>
  </si>
  <si>
    <t>PENJAMINAN KONVENSIONAL</t>
  </si>
  <si>
    <t>PENJAMINAN SYARIAH</t>
  </si>
  <si>
    <t>REASURANSI KONVENSIONAL</t>
  </si>
  <si>
    <t>REASURANSI SYARIAH</t>
  </si>
  <si>
    <t>PENJAMINAN ULANG KONVENSIONAL</t>
  </si>
  <si>
    <t>PENJAMINAN ULANG SYARIAH</t>
  </si>
  <si>
    <t>AKTIVITAS DANA PENSIUN PEMBERI KERJA KONVENSIONAL</t>
  </si>
  <si>
    <t>AKTIVITAS DANA PENSIUN PEMBERI KERJA SYARIAH</t>
  </si>
  <si>
    <t>AKTIVITAS DANA PENSIUN LEMBAGA KEUANGAN KONVENSIONAL</t>
  </si>
  <si>
    <t>AKTIVITAS DANA PENSIUN LEMBAGA KEUANGAN SYARIAH</t>
  </si>
  <si>
    <t>PENYELENGGARAAN SISTEM PERDAGANGAN EFEK</t>
  </si>
  <si>
    <t>BURSA BERJANGKA</t>
  </si>
  <si>
    <t>PENYELENGGARAAN BURSA ASET KEUANGAN DIGITAL</t>
  </si>
  <si>
    <t>PENYELENGGARAAN PERDAGANGAN KONTRAK DERIVATIF DI PASAR</t>
  </si>
  <si>
    <t>PENYELENGGARAAN SARANA TRANSAKSI DI PASAR UANG DAN PASAR</t>
  </si>
  <si>
    <t>AKTIVITAS PENGAWASAN JASA KEUANGAN SELAIN ASURANSI DAN</t>
  </si>
  <si>
    <t>AKTIVITAS REGULATOR MANDIRI</t>
  </si>
  <si>
    <t>ADMINISTRASI PASAR KEUANGAN, PASAR BERJANGKA KOMODITAS,</t>
  </si>
  <si>
    <t>KEPIALANGAN EFEK SELAIN UNIT KARBON</t>
  </si>
  <si>
    <t>KEPIALANGAN PERDAGANGAN KOMODITAS BERJANGKA</t>
  </si>
  <si>
    <t>KEPIALANGAN ASET KEUANGAN DIGITAL</t>
  </si>
  <si>
    <t>KEPIALANGAN PASAR UANG DAN PASAR VALUTA ASING</t>
  </si>
  <si>
    <t>AKTIVITAS PENUKARAN VALUTA ASING (MONEY CHANGER)</t>
  </si>
  <si>
    <t>PENAWARAN EFEK MELALUI LAYANAN URUN DANA BERBASIS</t>
  </si>
  <si>
    <t>KEPIALANGAN UNIT KARBON</t>
  </si>
  <si>
    <t>KEPIALANGAN EFEK DAN KONTRAK KOMODITAS LAINNYA</t>
  </si>
  <si>
    <t>KLIRING DAN SETELMEN TRANSAKSI DI PASAR KEUANGAN</t>
  </si>
  <si>
    <t>AKTIVITAS PENYIMPANAN ASET KEUANGAN DAN KONTRAK KOMODITAS</t>
  </si>
  <si>
    <t>AKTIVITAS ADMINISTRASI KEPEMILIKAN EFEK</t>
  </si>
  <si>
    <t>PENYEDIAAN JASA PEMBAYARAN</t>
  </si>
  <si>
    <t>PENYELENGGARAAN INFRASTRUKTUR SISTEM PEMBAYARAN</t>
  </si>
  <si>
    <t>PENYELENGGARAAN PENUNJANG SISTEM PEMBAYARAN</t>
  </si>
  <si>
    <t>AKTIVITAS JASA PENGOLAHAN UANG RUPIAH</t>
  </si>
  <si>
    <t>PENYELENGGARAAN TRANSAKSI KEUANGAN DAN PENGELOLAAN UANG</t>
  </si>
  <si>
    <t>AKTIVITAS ADVISORI INVESTASI</t>
  </si>
  <si>
    <t>AKTIVITAS ADVISORI PERDAGANGAN BERJANGKA KOMODITAS</t>
  </si>
  <si>
    <t>AKTIVITAS ADVISORI SYARIAH PASAR MODAL</t>
  </si>
  <si>
    <t>AKTIVITAS ADVISORI PASAR KEUANGAN LAINNYA</t>
  </si>
  <si>
    <t>JASA INTERMEDIASI PINJAM MEMINJAM UANG BERBASIS TEKNOLOGI</t>
  </si>
  <si>
    <t>AKTIVITAS PENDANAAN UNTUK TRANSAKSI EFEK</t>
  </si>
  <si>
    <t>PENITIPAN DAN PENGELOLAAN BERDASARKAN PERJANJIAN TRUST</t>
  </si>
  <si>
    <t>PEMERINGKATAN EFEK</t>
  </si>
  <si>
    <t>PENILAIAN HARGA EFEK</t>
  </si>
  <si>
    <t>PENYELENGGARAAN DANA PERLINDUNGAN PEMODAL</t>
  </si>
  <si>
    <t>PENJAMINAN EMISI EFEK (UNDERWRITER)</t>
  </si>
  <si>
    <t>AKTIVITAS PENDUKUNG DI PASAR UANG DAN PASAR VALUTA ASING</t>
  </si>
  <si>
    <t>PEMERINGKATAN USAHA MIKRO, KECIL, MENENGAH, DAN KOPERASI</t>
  </si>
  <si>
    <t>AKTIVITAS PENUNJANG JASA KEUANGAN LAINNYA YTDL, KECUALI</t>
  </si>
  <si>
    <t>AKTIVITAS PENILAI RISIKO ASURANSI</t>
  </si>
  <si>
    <t>AKTIVITAS PENILAI KERUGIAN ASURANSI</t>
  </si>
  <si>
    <t>AKTIVITAS AGEN ASURANSI</t>
  </si>
  <si>
    <t>AKTIVITAS PIALANG ASURANSI</t>
  </si>
  <si>
    <t>AKTIVITAS PIALANG REASURANSI</t>
  </si>
  <si>
    <t>AKTIVITAS AGEN PENJAMINAN</t>
  </si>
  <si>
    <t>AKTIVITAS BROKER PENJAMINAN</t>
  </si>
  <si>
    <t>AKTIVITAS BROKER PENJAMINAN ULANG</t>
  </si>
  <si>
    <t>AKTIVITAS ADVISORI AKTUARIA</t>
  </si>
  <si>
    <t>AKTIVITAS PENGAWASAN JASA KEUANGAN ASURANSI DAN DANA</t>
  </si>
  <si>
    <t>AKTIVITAS PENUNJANG LAINNYA UNTUK ASURANSI, PENJAMIAN, DAN</t>
  </si>
  <si>
    <t>MANAJEMEN INVESTASI KONVENSIONAL DI PASAR KEUANGAN</t>
  </si>
  <si>
    <t>MANAJEMEN INVESTASI SYARIAH DI PASAR KEUANGAN</t>
  </si>
  <si>
    <t>MANAJEMEN INVESTASI DI PERDAGANGAN BERJANGKA KOMODITAS</t>
  </si>
  <si>
    <t>AKTIVITAS MANAJEMEN DANA LAINNYA</t>
  </si>
  <si>
    <t>M</t>
  </si>
  <si>
    <t>AKTIVITAS PENGEMBANGAN BANGUNAN DAN LAHAN HUNIAN</t>
  </si>
  <si>
    <t>AKTIVITAS PENYEWAAN BANGUNAN DAN LAHAN HUNIAN MILIK SENDIRI</t>
  </si>
  <si>
    <t>PENGELOLAAN KAWASAN PARIWISATA</t>
  </si>
  <si>
    <t>PENGELOLAAN KAWASAN INDUSTRI</t>
  </si>
  <si>
    <t>PENGELOLAAN KAWASAN EKONOMI KHUSUS</t>
  </si>
  <si>
    <t>PENYEWAAN TEMPAT PENYELENGGARAAN AKTIVITAS PERTEMUAN,</t>
  </si>
  <si>
    <t>PENGELOLAAN PUSAT PERBELANJAAN</t>
  </si>
  <si>
    <t>PENYEWAAN GUDANG DAN FASILITAS PENYIMPANAN MANDIRI</t>
  </si>
  <si>
    <t>PENGELOLAAN GEDUNG PERKANTORAN</t>
  </si>
  <si>
    <t>AKTIVITAS REAL ESTAT (BANGUNAN DAN LAHAN) NONHUNIAN LAINNYA</t>
  </si>
  <si>
    <t>AKTIVITAS JASA INTERMEDIASI REAL ESTAT</t>
  </si>
  <si>
    <t>JASA PENAKSIR REAL ESTAT</t>
  </si>
  <si>
    <t>PENGELOLAAN REAL ESTAT HUNIAN ATAS DASAR BALAS JASA (FEE)</t>
  </si>
  <si>
    <t>AKTIVITAS REAL ESTAT ATAS DASAR BALAS JASA (FEE) ATAU KONTRAK</t>
  </si>
  <si>
    <t>N</t>
  </si>
  <si>
    <t>AKTIVITAS PENGACARA</t>
  </si>
  <si>
    <t>AKTIVITAS KONSULTAN HUKUM</t>
  </si>
  <si>
    <t>AKTIVITAS KONSULTAN KEKAYAAN INTELEKTUAL</t>
  </si>
  <si>
    <t>AKTIVITAS NOTARIS DAN PEJABAT PEMBUAT AKTA TANAH</t>
  </si>
  <si>
    <t>AKTIVITAS AKUNTANSI, PEMBUKUAN, DAN PEMERIKSA</t>
  </si>
  <si>
    <t>AKTIVITAS KONSULTANSI PAJAK</t>
  </si>
  <si>
    <t>AKTIVITAS KANTOR PUSAT</t>
  </si>
  <si>
    <t>AKTIVITAS KONSULTANSI MANAJEMEN DAN BISNIS PARIWISATA</t>
  </si>
  <si>
    <t>AKTIVITAS KONSULTANSI MANAJEMEN DAN BISNIS INDUSTRI</t>
  </si>
  <si>
    <t>AKTIVITAS KONSULTANSI MANAJEMEN DAN BISNIS PERDAGANGAN</t>
  </si>
  <si>
    <t>AKTIVITAS KONSULTASI MANAJEMEN DAN BISNIS LAINNYA</t>
  </si>
  <si>
    <t>AKTIVITAS ARSITEKTURAL</t>
  </si>
  <si>
    <t>AKTIVITAS PERANCANGAN DAN KONSULTANSI TEKNIS PABRIK</t>
  </si>
  <si>
    <t>AKTIVITAS ENJINERING DAN KONSULTANSI TEKNIS TERKAIT LAINNYA</t>
  </si>
  <si>
    <t>JASA SERTIFIKASI TEKNIS</t>
  </si>
  <si>
    <t>JASA INSPEKSI TEKNIS</t>
  </si>
  <si>
    <t>JASA VERIFIKASI DAN VALIDASI TEKNIS</t>
  </si>
  <si>
    <t>JASA PENGUJIAN TEKNIS</t>
  </si>
  <si>
    <t>PENGUJIAN DAN ANALISIS TEKNIS LAINNYA</t>
  </si>
  <si>
    <t>PENELITIAN DAN PENGEMBANGAN ILMU ALAM</t>
  </si>
  <si>
    <t>PENELITIAN DAN PENGEMBANGAN ENJINERING DAN TEKNOLOGI</t>
  </si>
  <si>
    <t>PENELITIAN DAN PENGEMBANGAN ILMU KEDOKTERAN DAN KESEHATAN</t>
  </si>
  <si>
    <t>PENELITIAN DAN PENGEMBANGAN BIOTEKNOLOGI</t>
  </si>
  <si>
    <t>PENELITIAN DAN PENGEMBANGAN ILMU PERTANIAN DAN KEDOKTERAN</t>
  </si>
  <si>
    <t>PENELITIAN DAN PENGEMBANGAN KETENAGANUKLIRAN</t>
  </si>
  <si>
    <t>PENELITIAN DAN PENGEMBANGAN EKSPERIMENTAL ILMU ALAM DAN</t>
  </si>
  <si>
    <t>PENELITIAN DAN PENGEMBANGAN ILMU PENGETAHUAN SOSIAL</t>
  </si>
  <si>
    <t>PENELITIAN DAN PENGEMBANGAN HUMANIORA</t>
  </si>
  <si>
    <t>AKTIVITAS PERIKLANAN</t>
  </si>
  <si>
    <t>PENELITIAN PASAR</t>
  </si>
  <si>
    <t>JAJAK PENDAPAT OPINI PUBLIK</t>
  </si>
  <si>
    <t>AKTIVITAS KEHUMASAN</t>
  </si>
  <si>
    <t>AKTIVITAS DESAIN ALAT TRANSPORTASI DAN PERMESINAN</t>
  </si>
  <si>
    <t>AKTIVITAS DESAIN PERALATAN RUMAH TANGGA DAN FURNITUR</t>
  </si>
  <si>
    <t>AKTIVITAS DESAIN TEKSTIL, MODE/FESYEN, DAN GARMEN</t>
  </si>
  <si>
    <t>AKTIVITAS DESAIN INDUSTRI STRATEGIS DAN PERTAHANAN</t>
  </si>
  <si>
    <t>AKTIVITAS DESAIN ALAT KOMUNIKASI DAN ELEKTRONIKA</t>
  </si>
  <si>
    <t>AKTIVITAS DESAIN PERALATAN OLAHRAGA DAN PERMAINAN</t>
  </si>
  <si>
    <t>AKTIVITAS DESAIN PRODUK KESEHATAN, KOSMETIK, DAN</t>
  </si>
  <si>
    <t>AKTIVITAS DESAIN PENGEMASAN</t>
  </si>
  <si>
    <t>AKTIVITAS DESAIN INDUSTRI LAINNYA</t>
  </si>
  <si>
    <t>AKTIVITAS DESAIN INTERIOR</t>
  </si>
  <si>
    <t>AKTIVITAS DESAIN GRAFIS/KOMUNIKASI VISUAL</t>
  </si>
  <si>
    <t>AKTIVITAS DESAIN KHUSUS FILM, VIDEO, PROGRAM TELEVISI, ANIMASI</t>
  </si>
  <si>
    <t>AKTIVITAS DESAIN KONTEN GIM</t>
  </si>
  <si>
    <t>AKTIVITAS DESAIN KHUSUS LAINYA YTDL</t>
  </si>
  <si>
    <t>AKTIVITAS FOTOGRAFI UDARA</t>
  </si>
  <si>
    <t>AKTIVITAS FOTOGRAFI LAINNYA</t>
  </si>
  <si>
    <t>AKTIVITAS PENERJEMAH ATAU INTERPRETER</t>
  </si>
  <si>
    <t>AKTIVITAS BROKER DAN LAYANAN PEMASARAN PATEN</t>
  </si>
  <si>
    <t>JASA METEOROLOGI DAN PRAKIRAAN CUACA</t>
  </si>
  <si>
    <t>SEMUA AKTIVITAS PROFESIONAL, ILMIAH DAN TEKNIS YTDL LAINNYA</t>
  </si>
  <si>
    <t>AKTIVITAS PERSONEL KESEHATAN HEWAN MANDIRI</t>
  </si>
  <si>
    <t>AKTIVITAS PENGELOLAAN SARANA KESEHATAN HEWAN</t>
  </si>
  <si>
    <t>AKTIVITAS PENGELOLAAN KESEHATAN HEWAN LAINNYA</t>
  </si>
  <si>
    <t>O</t>
  </si>
  <si>
    <t>PENYEWAAN DAN SEWA GUNA USAHA KENDARAAN BERMOTOR</t>
  </si>
  <si>
    <t>PENYEWAAN DAN SEWA GUNA USAHA ALAT REKREASI DAN OLAHRAGA</t>
  </si>
  <si>
    <t>PENYEWAAN PERALATAN DAN PERLENGKAPAN ACARA</t>
  </si>
  <si>
    <t>PENYEWAAN ALAT MUSIK</t>
  </si>
  <si>
    <t>PENYEWAAN BARANG HASIL PENCETAKAN DAN PENERBITAN</t>
  </si>
  <si>
    <t>PENYEWAAN BUNGA DAN TANAMAN HIAS</t>
  </si>
  <si>
    <t>PENYEWAAN BARANG PRIBADI DAN BARANG RUMAH TANGGA LAINNYA</t>
  </si>
  <si>
    <t>PENYEWAAN DAN SEWA GUNA USAHA ALAT TRANSPORTASI DARAT</t>
  </si>
  <si>
    <t>PENYEWAAN DAN SEWA GUNA USAHA ALAT TRANSPORTASI AIR</t>
  </si>
  <si>
    <t>PENYEWAAN DAN SEWA GUNA USAHA ALAT TRANSPORTASI UDARA</t>
  </si>
  <si>
    <t>PENYEWAAN DAN SEWA GUNA USAHA MESIN DAN PERALATAN INDUSTRI</t>
  </si>
  <si>
    <t>PENYEWAAN DAN SEWA GUNA USAHA MESIN DAN ALAT PERTANIAN</t>
  </si>
  <si>
    <t>PENYEWAAN DAN SEWA GUNA USAHA MESIN DAN PERALATAN</t>
  </si>
  <si>
    <t>PENYEWAAN DAN SEWA GUNA USAHA MESIN DAN PERALATAN KANTOR</t>
  </si>
  <si>
    <t>PENYEWAAN DAN SEWA GUNA MESIN DAN PERALATAN PERTAMBANGAN</t>
  </si>
  <si>
    <t>PENYEWAAN DAN SEWA GUNA USAHA MESIN DAN PERALATAN RADIASI</t>
  </si>
  <si>
    <t>PENYEWAAN DAN SEWA GUNA USAHA MESIN, PERALATAN, DAN BARANG</t>
  </si>
  <si>
    <t>SEWA GUNA USAHA KEKAYAAN INTELEKTUAL DAN PRODUK SEJENIS,</t>
  </si>
  <si>
    <t>AKTIVITAS JASA INTERMEDIASI UNTUK PENYEWAAN DAN SEWA GUNA</t>
  </si>
  <si>
    <t>AKTIVITAS PENEMPATAN TENAGA KERJA UNTUK USAHA DI DALAM</t>
  </si>
  <si>
    <t>AKTIVITAS PENEMPATAN TENAGA KERJA LUAR NEGERI</t>
  </si>
  <si>
    <t>AKTIVITAS PENEMPATAN TENAGA KERJA UNTUK RUMAH TANGGA</t>
  </si>
  <si>
    <t>AKTIVITAS PENEMPATAN AWAK KAPAL</t>
  </si>
  <si>
    <t>AKTIVITAS PENYEDIAAN INFORMASI LOWONGAN KERJA</t>
  </si>
  <si>
    <t>AKTIVITAS PENEMPATAN TENAGA KERJA LAINNYA</t>
  </si>
  <si>
    <t>AKTIVITAS PENYEDIAAN TENAGA KERJA SEMENTARA DAN PENYEDIAAN</t>
  </si>
  <si>
    <t>AKTIVITAS AGEN PERJALANAN</t>
  </si>
  <si>
    <t>AKTIVITAS BIRO PERJALANAN WISATA</t>
  </si>
  <si>
    <t>AKTIVITAS BIRO PERJALANAN IBADAH UMRAH DAN HAJI KHUSUS</t>
  </si>
  <si>
    <t>AKTIVITAS BIRO PERJALANAN LAINNYA</t>
  </si>
  <si>
    <t>JASA INFORMASI PARIWISATA</t>
  </si>
  <si>
    <t>JASA INFORMASI DAYA TARIK WISATA</t>
  </si>
  <si>
    <t>JASA PRAMUWISATA</t>
  </si>
  <si>
    <t>AKTIVITAS TERKAIT PERJALANAN LAINNYA YTDL</t>
  </si>
  <si>
    <t>AKTIVITAS INVESTIGASI DAN KEAMANAN SWASTA</t>
  </si>
  <si>
    <t>AKTIVITAS KEAMANAN YTDL</t>
  </si>
  <si>
    <t>AKTIVITAS PENYEDIAAN GABUNGAN JASA PENUNJANG FASILITAS</t>
  </si>
  <si>
    <t>AKTIVITAS KEBERSIHAN UMUM BANGUNAN</t>
  </si>
  <si>
    <t>AKTIVITAS KEBERSIHAN LAINNYA</t>
  </si>
  <si>
    <t>AKTIVITAS JASA LANSKAP</t>
  </si>
  <si>
    <t>AKTIVITAS ADMINISTRASI KANTOR DAN PENUNJANG KANTOR</t>
  </si>
  <si>
    <t>AKTIVITAS PUSAT PANGGILAN (CALL CENTER)</t>
  </si>
  <si>
    <t>PENYELENGGARAAN KONVENSI DAN PAMERAN BISNIS</t>
  </si>
  <si>
    <t>JASA INTERMEDIASI UNTUK AKTIVITAS PENUNJANG USAHA YTDL</t>
  </si>
  <si>
    <t>AKTIVITAS AGEN PENAGIHAN</t>
  </si>
  <si>
    <t>AKTIVITAS BIRO KREDIT</t>
  </si>
  <si>
    <t>AKTIVITAS PENGEPAKAN BAHAN DAN PRODUK HASIL PERTANIAN,</t>
  </si>
  <si>
    <t>AKTIVITAS PENGEPAKAN BAHAN DAN PRODUK MAKANAN DAN MINUMAN</t>
  </si>
  <si>
    <t>AKTIVITAS PENGEPAKAN TEKSTIL DAN PRODUK TEKSTIL</t>
  </si>
  <si>
    <t>AKTIVITAS PENGEPAKAN BAHAN DAN PRODUK KIMIA</t>
  </si>
  <si>
    <t>AKTIVITAS PENGEPAKAN BAHAN DAN PRODUK FARMASI</t>
  </si>
  <si>
    <t>AKTIVITAS PENGEPAKAN LAINNYA</t>
  </si>
  <si>
    <t>AKTIVITAS JASA PENUNJANG USAHA LAINNYA YTDL</t>
  </si>
  <si>
    <t>P</t>
  </si>
  <si>
    <t>LEMBAGA LEGISLATIF</t>
  </si>
  <si>
    <t>PENYELENGGARAAN PEMERINTAHAN NEGARA DAN KESEKRETARIATAN</t>
  </si>
  <si>
    <t>LEMBAGA EKSEKUTIF KEUANGAN, PERPAJAKAN, DAN BEA CUKAI</t>
  </si>
  <si>
    <t>LEMBAGA EKSEKUTIF PERENCANAAN</t>
  </si>
  <si>
    <t>LEMBAGA PEMERINTAH NONKEMENTERIAN DENGAN TUGAS KHUSUS</t>
  </si>
  <si>
    <t>KEGIATAN ADMINISTRASI PEMERINTAHAN LAINNYA</t>
  </si>
  <si>
    <t>ADMINISTRASI PELAYANAN PEMERINTAH BIDANG PENDIDIKAN</t>
  </si>
  <si>
    <t>ADMINISTRASI PELAYANAN PEMERINTAH BIDANG KESEHATAN</t>
  </si>
  <si>
    <t>ADMINISTRASI PELAYANAN PEMERINTAH BIDANG PERUMAHAN</t>
  </si>
  <si>
    <t>ADMINISTRASI PELAYANAN PEMERINTAH BIDANG KESEJAHTERAAN</t>
  </si>
  <si>
    <t>ADMINISTRASI PELAYANAN PEMERINTAH BIDANG KEAGAMAAN</t>
  </si>
  <si>
    <t>ADMINISTRASI PELAYANAN PEMERINTAH BIDANG</t>
  </si>
  <si>
    <t>ADMINISTRASI PELAYANAN PEMERINTAH BIDANG SOSIAL LAINNYA</t>
  </si>
  <si>
    <t>ADMINISTRASI PELAYANAN PEMERINTAH BIDANG LINGKUNGAN HIDUP</t>
  </si>
  <si>
    <t>KEGIATAN LEMBAGA PEMERINTAHAN BIDANG PERTANIAN</t>
  </si>
  <si>
    <t>KEGIATAN LEMBAGA PEMERINTAHAN BIDANG PERTAMBANGAN DAN</t>
  </si>
  <si>
    <t>KEGIATAN LEMBAGA PEMERINTAHAN BIDANG PERINDUSTRIAN</t>
  </si>
  <si>
    <t>KEGIATAN LEMBAGA PEMERINTAHAN BIDANG KOMUNIKASI DAN</t>
  </si>
  <si>
    <t>KEGIATAN LEMBAGA PEMERINTAHAN BIDANG KONSTRUKSI</t>
  </si>
  <si>
    <t>KEGIATAN LEMBAGA PEMERINTAHAN BIDANG PERDAGANGAN DAN</t>
  </si>
  <si>
    <t>KEGIATAN LEMBAGA PEMERINTAHAN BIDANG PERHUBUNGAN</t>
  </si>
  <si>
    <t>KEGIATAN LEMBAGA PEMERINTAHAN BIDANG KETENAGAKERJAAN</t>
  </si>
  <si>
    <t>KEGIATAN LEMBAGA PEMERINTAHAN UNTUK MENCIPTAKAN EFISIENSI</t>
  </si>
  <si>
    <t>HUBUNGAN LUAR NEGERI</t>
  </si>
  <si>
    <t>LEMBAGA PERTAHANAN DAN ANGKATAN BERSENJATA</t>
  </si>
  <si>
    <t>ANGKATAN DARAT</t>
  </si>
  <si>
    <t>ANGKATAN UDARA</t>
  </si>
  <si>
    <t>ANGKATAN LAUT</t>
  </si>
  <si>
    <t>KEPOLISIAN</t>
  </si>
  <si>
    <t>PERTAHANAN SIPIL</t>
  </si>
  <si>
    <t>AKTIVITAS LEMBAGA PERADILAN</t>
  </si>
  <si>
    <t>KEGIATAN LEMBAGA PEMERINTAHAN BIDANG PENANGGULANGAN</t>
  </si>
  <si>
    <t>AKTIVITAS JAMINAN SOSIAL WAJIB</t>
  </si>
  <si>
    <t>PENDIDIKAN MENENGAH KEJURUAN KEAGAMAAN ISLAM</t>
  </si>
  <si>
    <t>PENDIDIKAN MENENGAH KEJURUAN KEAGAMAAN PROTESTAN, KATOLIK,</t>
  </si>
  <si>
    <t>PENDIDIKAN PASCAMENENGAH NONTERSIER</t>
  </si>
  <si>
    <t>PELATIHAN KERJA TEKNIK SWASTA</t>
  </si>
  <si>
    <t>PELATIHAN KERJA PARIWISATA DAN PERHOTELAN SWASTA</t>
  </si>
  <si>
    <t>PELATIHAN KERJA BISNIS DAN MANAJEMEN SWASTA</t>
  </si>
  <si>
    <t>PELATIHAN KERJA PEKERJAAN DOMESTIK SWASTA</t>
  </si>
  <si>
    <t>PELATIHAN KERJA PERTANIAN DAN PERIKANAN SWASTA</t>
  </si>
  <si>
    <t>PELATIHAN KERJA TEKNIK PERUSAHAAN</t>
  </si>
  <si>
    <t>PELATIHAN KERJA TEKNOLOGI INFORMASI DAN KOMUNIKASI</t>
  </si>
  <si>
    <t>PELATIHAN KERJA INDUSTRI KREATIF PERUSAHAAN</t>
  </si>
  <si>
    <t>PELATIHAN KERJA PARIWISATA DAN PERHOTELAN PERUSAHAAN</t>
  </si>
  <si>
    <t>PELATIHAN KERJA BISNIS DAN MANAJEMEN PERUSAHAAN</t>
  </si>
  <si>
    <t>PELATIHAN KERJA PEKERJAAN DOMESTIK PERUSAHAAN</t>
  </si>
  <si>
    <t>PELATIHAN KERJA PERTANIAN DAN PERIKANAN PERUSAHAAN</t>
  </si>
  <si>
    <t>PELATIHAN KERJA PERUSAHAAN LAINNYA</t>
  </si>
  <si>
    <t>PENDIDIKAN MANAJEMEN DAN PERBANKAN</t>
  </si>
  <si>
    <t>PENDIDIKAN KESEHATAN SWASTA</t>
  </si>
  <si>
    <t>PENDIDIKAN TEKNIK SWASTA</t>
  </si>
  <si>
    <t>JASA PERANTARA KURSUS DAN TUTOR</t>
  </si>
  <si>
    <t>AKTIVITAS SERTIFIKASI PROFESI HASIL PENDIDIKAN DAN PELATIHAN</t>
  </si>
  <si>
    <t>AKTIVITAS SERTIFIKASI PROFESI OLEH ASOSIASI</t>
  </si>
  <si>
    <t>AKTIVITAS SERTIFIKASI PROFESI INDEPENDEN</t>
  </si>
  <si>
    <t>KEGIATAN PENUNJANG PENDIDIKAN LAINNYA</t>
  </si>
  <si>
    <t>AKTIVITAS KLINIK PEMERINTAH</t>
  </si>
  <si>
    <t>AKTIVITAS RUMAH SAKIT LAINNYA</t>
  </si>
  <si>
    <t>AKTIVITAS JASA INTERMEDIASI UNTUK KESEHATAN MEDIS,</t>
  </si>
  <si>
    <t>AKTIVITAS PELAYANAN KESEHATAN YANG DILAKUKAN OLEH TENAGA</t>
  </si>
  <si>
    <t>AKTIVITAS PELAYANAN KESEHATAN TRADISIONAL</t>
  </si>
  <si>
    <t>AKTIVITAS ANGKUTAN KHUSUS PENGANGKUTAN ORANG SAKIT</t>
  </si>
  <si>
    <t>AKTIVITAS RUMAH PIJAT</t>
  </si>
  <si>
    <t>AKTIVITAS PERAWATAN DAN PEMULIHAN KESEHATAN BERBASIS</t>
  </si>
  <si>
    <t>AKTIVITAS PERAWATANUNTUK ORANG YANG HIDUP DENGAN ATAU</t>
  </si>
  <si>
    <t>AKTIVITAS PERAWATAN UNTUK ORANG YANG HIDUP DENGAN ATAU</t>
  </si>
  <si>
    <t>AKTIVITAS PERAWATAN UNTUK LANJUT USIA ATAU PENYANDANG</t>
  </si>
  <si>
    <t>AKTIVITAS SOSIAL UNTUK LANJUT USIA ATAU PENYANDANG</t>
  </si>
  <si>
    <t>AKTIVITAS PENGELOLAAN AKOMODASI WARGA LANJUT USIA (SENIOR</t>
  </si>
  <si>
    <t>JASA INTERMEDIASI UNTUK AKTIVITAS PERAWATAN BERBASIS</t>
  </si>
  <si>
    <t>AKTIVITAS LEMBAGA KESEJAHTERAAN SOSIAL ANAK BERBASIS</t>
  </si>
  <si>
    <t>AKTIVITAS PERAWATAN UNTUK ANAK YANG BERHADAPAN DENGAN</t>
  </si>
  <si>
    <t>AKTIVITAS TUNASOSIAL BERBASIS RESIDENSIAL</t>
  </si>
  <si>
    <t>AKTIVITAS SOSIAL PEMERINTAH TANPA AKOMODASI UNTUK ORANG</t>
  </si>
  <si>
    <t>AKTIVITAS SOSIAL LEMBAGA KESEJAHTERAAN SOSIAL TANPA</t>
  </si>
  <si>
    <t>AKTIVITAS SOSIAL PEMERINTAH TANPA AKOMODASI LAINNYA</t>
  </si>
  <si>
    <t>AKTIVITAS SOSIAL PENGUMPULAN DANA NONISLAM</t>
  </si>
  <si>
    <t>AKTIVITAS SOSIAL PENGUMPULAN DANA LAINNYA</t>
  </si>
  <si>
    <t>AKTIVITAS JURNALIS BERITA INDEPENDEN</t>
  </si>
  <si>
    <t>AKTIVITAS OPERASIONAL TEMPAT DAN FASILITAS KESENIAN</t>
  </si>
  <si>
    <t>AKTIVITAS PERPUSTAKAAN SWASTA</t>
  </si>
  <si>
    <t>AKTIVITAS KEARSIPAN PEMERINTAH</t>
  </si>
  <si>
    <t>AKTIVITAS KEARSIPAN SWASTA</t>
  </si>
  <si>
    <t>MUSEUM YANG DIKELOLA SWASTA</t>
  </si>
  <si>
    <t>KONSERVASI, RESTORASI, DAN AKTIVITAS PENUNJANG LAINNYA UNTUK</t>
  </si>
  <si>
    <t>AKTIVITAS TAMAN BOTANI DAN KEBUN BINATANG</t>
  </si>
  <si>
    <t>SUAKA MARGASATWA</t>
  </si>
  <si>
    <t>TAMAN NASIONAL</t>
  </si>
  <si>
    <t>HUTAN LINDUNG</t>
  </si>
  <si>
    <t>TAMAN WISATA ALAM</t>
  </si>
  <si>
    <t>TAMAN HUTAN RAYA</t>
  </si>
  <si>
    <t>TAMAN LAUT</t>
  </si>
  <si>
    <t>AKTIVITAS CAGAR ALAM LAINNYA</t>
  </si>
  <si>
    <t>AKTIVITAS PERJUDIAN DAN PERTARUHAN</t>
  </si>
  <si>
    <t>FASILITAS STADION</t>
  </si>
  <si>
    <t>FASILITAS SIRKUIT</t>
  </si>
  <si>
    <t>FASILITAS GELANGGANG/ARENA</t>
  </si>
  <si>
    <t>FASILITAS LAPANGAN</t>
  </si>
  <si>
    <t>FASILITAS OLAHRAGA BELADIRI</t>
  </si>
  <si>
    <t>FASILITAS PUSAT KEBUGARAN/FITNESS CENTER</t>
  </si>
  <si>
    <t>PENGELOLAAN FASILITAS OLAHRAGA LAINNYA</t>
  </si>
  <si>
    <t>KLUB SEPAK BOLA</t>
  </si>
  <si>
    <t>KLUB GOLF</t>
  </si>
  <si>
    <t>KLUB RENANG</t>
  </si>
  <si>
    <t>KLUB TENIS LAPANGAN</t>
  </si>
  <si>
    <t>KLUB TINJU</t>
  </si>
  <si>
    <t>KLUB BELA DIRI</t>
  </si>
  <si>
    <t>KLUB KEBUGARAN/FITNESS DAN BINARAGA</t>
  </si>
  <si>
    <t>KLUB BOLING o .id</t>
  </si>
  <si>
    <t>KLUB OLAHRAGA LAINNYA</t>
  </si>
  <si>
    <t>PENYELENGGARAAN KEGIATAN OLAHRAGA</t>
  </si>
  <si>
    <t>AKTIVITAS JURI DAN WASIT PROFESIONAL</t>
  </si>
  <si>
    <t>AKTIVITAS PERBURUAN DI KAWASAN BURU</t>
  </si>
  <si>
    <t>BADAN REGULASI DAN LIGA OLAHRAGA</t>
  </si>
  <si>
    <t>AKTIVITAS OLAHRAGA TRADISIONAL</t>
  </si>
  <si>
    <t>PENGELOLAAN FASILITAS PEMANCINGAN</t>
  </si>
  <si>
    <t>AKTIVITAS OLAHARAGAWAN/ATLET INDEPENDEN</t>
  </si>
  <si>
    <t>AKTIVITAS LAINNYA YANG BERKAITAN DENGAN OLAHRAGA YTDL</t>
  </si>
  <si>
    <t>AKTIVITAS TAMAN BERTEMA DAN TAMAN HIBURAN</t>
  </si>
  <si>
    <t>AKTIVITAS LANTAI DANSA</t>
  </si>
  <si>
    <t>PENGELOLAAN FASILITAS KARAOKE</t>
  </si>
  <si>
    <t>PENGELOLAAN ARENA PERMAINAN</t>
  </si>
  <si>
    <t>WISATA GUA, PEMANDIAN, DAN PETUALANGAN ALAM</t>
  </si>
  <si>
    <t>WISATA PANTAI</t>
  </si>
  <si>
    <t>WISATA AGRO</t>
  </si>
  <si>
    <t>WISATA TIRTA</t>
  </si>
  <si>
    <t>AKTIVITAS HIBURAN DAN REKREASI LAINNYA YTDL</t>
  </si>
  <si>
    <t>AKTIVITAS ORGANISASI BISNIS DAN PENGUSAHA</t>
  </si>
  <si>
    <t>AKTIVITAS ORGANISASI ILMU PENGETAHUAN SOSIAL DAN MASYARAKAT</t>
  </si>
  <si>
    <t>AKTIVITAS ORGANISASI ILMU PENGETAHUAN ALAM DAN TEKNOLOGI</t>
  </si>
  <si>
    <t>AKTIVITAS ORGANISASI BURUH</t>
  </si>
  <si>
    <t>AKTIVITAS ORGANISASI KEAGAMAAN</t>
  </si>
  <si>
    <t>AKTIVITAS ORGANISASI POLITIK</t>
  </si>
  <si>
    <t>AKTIVITAS ORGANISASI KEANGGOTAAN LAINNYA YTDL</t>
  </si>
  <si>
    <t>REPARASI DAN PEMELIHARAAN KOMPUTER DAN PERALATAN SEJENISNYA</t>
  </si>
  <si>
    <t>REPARASI DAN PEMELIHARAAN PERALATAN KOMUNIKASI</t>
  </si>
  <si>
    <t>REPARASI DAN PEMELIHARAAN ALAT-ALAT ELEKTRONIK KONSUMEN</t>
  </si>
  <si>
    <t>REPARASI DAN PEMELIHARAAN PERALATAN RUMAH TANGGA DAN</t>
  </si>
  <si>
    <t>REPARASI DAN PEMELIHARAAN ALAS KAKI DAN BARANG DARI KULIT</t>
  </si>
  <si>
    <t>REPARASI DAN PEMELIHARAAN FURNITUR DAN PERLENGKAPAN RUMAH</t>
  </si>
  <si>
    <t>AKTIVITAS VERMAK PAKAIAN</t>
  </si>
  <si>
    <t>REPARASI DAN PEMELIHARAAN BARANG KEPERLUAN PRIBADI DAN</t>
  </si>
  <si>
    <t>REPARASI MOBIL</t>
  </si>
  <si>
    <t>PENCUCIAN DAN SALON MOBIL</t>
  </si>
  <si>
    <t>REPARASI DAN PERAWATAN SEPEDA MOTOR</t>
  </si>
  <si>
    <t>JASA INTERMEDIASI REPARASI DAN PERAWATAN KOMPUTER, BARANG</t>
  </si>
  <si>
    <t>AKTIVITAS PENCUCIAN DAN PEMBERSIHAN PRODUK TEKSTIL DAN BULU</t>
  </si>
  <si>
    <t>AKTIVITAS PENATAAN DAN PANGKAS RAMBUT</t>
  </si>
  <si>
    <t>AKTIVITAS PERAWATAN KECANTIKAN DAN PERAWATAN KECANTIKAN</t>
  </si>
  <si>
    <t>AKTIVITAS SANTE PAR AQUA (SPA) HARIAN, SAUNA, DAN PEMANDIAN</t>
  </si>
  <si>
    <t>AKTIVITAS PEMAKAMAN DAN KEGIATAN TERKAIT</t>
  </si>
  <si>
    <t>AKTIVITAS JASA INTERMEDIASI UNTUK JASA PERORANGAN</t>
  </si>
  <si>
    <t>U</t>
  </si>
  <si>
    <t>AKTIVITAS RUMAH TANGGA SEBAGAI PEMBERI KERJA BAGI PEKERJA</t>
  </si>
  <si>
    <t>AKTIVITAS PRODUKSI BARANG OLEH RUMAH TANGGA UNTUK</t>
  </si>
  <si>
    <t>AKTIVITAS PRODUKSI BERAGAM JASA OLEH RUMAH TANGGA UNTUK</t>
  </si>
  <si>
    <t>V</t>
  </si>
  <si>
    <t>AKTIVITAS BADAN INTERNASIONAL DAN BADAN EKSTRA</t>
  </si>
  <si>
    <t>[D] 35111</t>
  </si>
  <si>
    <t>[D] 35120</t>
  </si>
  <si>
    <t>[D] 35131</t>
  </si>
  <si>
    <t>[D] 35201</t>
  </si>
  <si>
    <t>[D] 35202</t>
  </si>
  <si>
    <t>[E] 36001♻️</t>
  </si>
  <si>
    <t>[E] 36002♻️</t>
  </si>
  <si>
    <t>[E] 38219 ♻️</t>
  </si>
  <si>
    <t xml:space="preserve">[ I ] 55101 🌐♻️ </t>
  </si>
  <si>
    <t xml:space="preserve">[ I ] 55102 </t>
  </si>
  <si>
    <t xml:space="preserve">[ I ] 55103 </t>
  </si>
  <si>
    <t xml:space="preserve">[ I ] 55104 </t>
  </si>
  <si>
    <t xml:space="preserve">[ I ] 55105 </t>
  </si>
  <si>
    <t xml:space="preserve">[ I ] 55106 </t>
  </si>
  <si>
    <t>[ I ] 55201</t>
  </si>
  <si>
    <t>[J] 58120</t>
  </si>
  <si>
    <t>[J] 60201 🌐</t>
  </si>
  <si>
    <t>[J] 60311 🌐</t>
  </si>
  <si>
    <t>[K] 61108 🌐</t>
  </si>
  <si>
    <t>[K] 61103 🌐</t>
  </si>
  <si>
    <t xml:space="preserve">[L] 64100 </t>
  </si>
  <si>
    <t>[L] 64121</t>
  </si>
  <si>
    <t>[L] 64122</t>
  </si>
  <si>
    <t>[L] 64123</t>
  </si>
  <si>
    <t>[L] 64124</t>
  </si>
  <si>
    <t>[L] 64191</t>
  </si>
  <si>
    <t>[L] 64953</t>
  </si>
  <si>
    <t>[L] 64954</t>
  </si>
  <si>
    <t>[Q] 85101</t>
  </si>
  <si>
    <t>[Q] 85102</t>
  </si>
  <si>
    <t>[Q] 85103</t>
  </si>
  <si>
    <t>[Q] 85104</t>
  </si>
  <si>
    <t>[Q] 85201</t>
  </si>
  <si>
    <t>[Q] 85202</t>
  </si>
  <si>
    <t>[Q] 85203</t>
  </si>
  <si>
    <t>[Q] 85204</t>
  </si>
  <si>
    <t>[Q] 85311</t>
  </si>
  <si>
    <t>[Q] 85312</t>
  </si>
  <si>
    <t>[Q] 85313</t>
  </si>
  <si>
    <t>[Q] 85314</t>
  </si>
  <si>
    <t>[Q] 85315</t>
  </si>
  <si>
    <t>[Q] 85316</t>
  </si>
  <si>
    <t>[Q] 85317</t>
  </si>
  <si>
    <t>[Q] 85318</t>
  </si>
  <si>
    <t>[Q] 85321</t>
  </si>
  <si>
    <t>[Q] 85322</t>
  </si>
  <si>
    <t>[Q] 85401</t>
  </si>
  <si>
    <t>[Q] 85402</t>
  </si>
  <si>
    <t>[Q] 85403</t>
  </si>
  <si>
    <t>[Q] 85404</t>
  </si>
  <si>
    <t>[Q] 85560</t>
  </si>
  <si>
    <t>[R] 86101</t>
  </si>
  <si>
    <t>[R] 86102</t>
  </si>
  <si>
    <t>[R] 86103</t>
  </si>
  <si>
    <t>[R] 86105</t>
  </si>
  <si>
    <t>[R] 86201</t>
  </si>
  <si>
    <t>[R] 86202</t>
  </si>
  <si>
    <t>[R] 86993</t>
  </si>
  <si>
    <t>[R] 88903</t>
  </si>
  <si>
    <t>[R] 88906</t>
  </si>
  <si>
    <t>[R] 88907</t>
  </si>
  <si>
    <t>[S] 91111</t>
  </si>
  <si>
    <t>[S] 91211</t>
  </si>
  <si>
    <t>[S] 91221</t>
  </si>
  <si>
    <t>PLTU Tenayan Pekanbaru; PLTGU Riau Pekanbaru; PLTMG Balai Pungut Bengkalis; PLTMG Teluk Lembu; Turbin Gas PHR; PLTU Batu Bara Industri;</t>
  </si>
  <si>
    <t>PLTA Koto Panjang Kampar; Pembangkit Biomassa PT RAPP &amp; PT IKPP; PLTBg PKS Kelapa Sawit;</t>
  </si>
  <si>
    <t>PT PLN UID Riau dan Kepulauan Riau; UPT Transmisi Pekanbaru; Gardu Induk Tenayan Raya; jaringan distribusi listrik PLN;</t>
  </si>
  <si>
    <t>Produksi gas alam &amp; buatan; PT Pertamina Hulu Rokan; fasilitas pengolahan gas alam; instalasi biogas pabrik kelapa sawit; Produksi LPG/biogas/hidrogen untuk bahan bakar;</t>
  </si>
  <si>
    <t>Distribusi gas alam &amp; buatan; Jaringan Gas Kota (Jargas) PGN Pekanbaru; distribusi gas bumi ke rumah tangga; penyaluran gas pipa ke pelanggan industri dan komersial;</t>
  </si>
  <si>
    <t>PDAM; Perumda air minum tirta siak; UPT pengelolaan air minum;</t>
  </si>
  <si>
    <t>Pengelola waduk air baku; SPAM Durolis Dumai; Pengelolaan air baku waduk koto panjang;</t>
  </si>
  <si>
    <t>Tempat pembuangan akhir (TPA); Pengelola landfill sampah perkotaan; fasilitas pemusnahan sampah non; B3;</t>
  </si>
  <si>
    <t>Hotel Btg 5; Hotel internasional berbintang lima (misalnya jaringan hotel global); Resort mewah dengan standar bintang lima; Labersa hotel; Araduta hotel;</t>
  </si>
  <si>
    <t>Hotel Btg 4; Premiere; Fox; Zuri PKU &amp; Dumai; Asnof;</t>
  </si>
  <si>
    <t>Hotel Btg 3; Swiss Bellin SKA; Furaya; Dafam;</t>
  </si>
  <si>
    <t>Hotel Btg 2;</t>
  </si>
  <si>
    <t>Hotel Btg 1; Hotel melati berbintang; Budget hotel; Hotel transit sederhana; Hotel wisata kecil; holiday hotel; sabrina 45 hotel;</t>
  </si>
  <si>
    <t>Hotel Non Bintang; Losmen; Wisma penginapan; Hotel melati; Guest house sederhana; Penginapan harian;</t>
  </si>
  <si>
    <t>Homestay; Cottage wisata pantai; Bungalow resort; Cabin wisata alam; Eco lodge; Penginapan wisata keluarga;</t>
  </si>
  <si>
    <t>Penerbitan Surat Kabar; Riau Pos; Tribun Pekanbaru; Goriau.co; Cakaplah.com;</t>
  </si>
  <si>
    <t>Penyiaran TV analog; chanel tv analog; RTV; TVRI;</t>
  </si>
  <si>
    <t>Kantor berita pemerintah; ANTARA;</t>
  </si>
  <si>
    <t>Teleponi dasar; telpon kabel; Telkom;</t>
  </si>
  <si>
    <t>Telekomunikasi satelit; telkomsat; satelit nusantara tiga; indosat ooredoo hutchison;</t>
  </si>
  <si>
    <t>Aktv Bank Cental; Bank Indonesia;</t>
  </si>
  <si>
    <t>Aktv Bank Konvensional; BRI; BNI; CIMB; OCBC;</t>
  </si>
  <si>
    <t>Perbankan Syariah; BSI; Bank Muamalat; CIMB Syariah;</t>
  </si>
  <si>
    <t xml:space="preserve">Perbankan konvensional lainnya; PT. BPR Payung Negeri Bestari; PT BPR Pekanbaru; </t>
  </si>
  <si>
    <t>Perbankan syariah lainnya; PT. BPR Syariah Hasanah; Bank Syariah Berkah;</t>
  </si>
  <si>
    <t>Kredit oleh koperasi konvensional; KSP Nasari KC Pekanbaru; Koperasi Simpan Pinjam Sejahtera Usaha Mandiri;</t>
  </si>
  <si>
    <t>Aktv gadai konvensional; pegadaian;</t>
  </si>
  <si>
    <t>Aktivitas gadai syariah; pegadaian syariah;</t>
  </si>
  <si>
    <t>TK Swasta Umum; TK Bhayangkari; TK Kartika;</t>
  </si>
  <si>
    <t>TK Islam; TK Aisyiah; TK Annamiroh; RA;</t>
  </si>
  <si>
    <t>TK Protestan; Katolik; Hindu; Buddha; Konghucu; TK Exaudi HKBP; TK Meta Maitreya;</t>
  </si>
  <si>
    <t>SD Negeri;</t>
  </si>
  <si>
    <t xml:space="preserve">SD Swasta Umum; SD Kartika; ICS; Dharmayudha; </t>
  </si>
  <si>
    <t>SD Islam; MI; Muhammadyah; As-Shofa; MIN;</t>
  </si>
  <si>
    <t>SD Protestan; Katolik; Hindu; Buddha; Konghucu; Santa Maria; Kalam Kudus;</t>
  </si>
  <si>
    <t>SMP Negeri;</t>
  </si>
  <si>
    <t>SMP Swasta Umum; SMP Kartika; ICS; Dharmayudha;</t>
  </si>
  <si>
    <t>SMP Swasta Islam; Muhammadyah; As-Shofa; MTS;</t>
  </si>
  <si>
    <t>SMP Protestan; Katolik; Hindu; Buddha; Konghucu; Santa Maria; Kalam Kudus;</t>
  </si>
  <si>
    <t>SMA Negeri;</t>
  </si>
  <si>
    <t>SMA Swasta umum;</t>
  </si>
  <si>
    <t>MA Negeri/swasta; Pesantren tingkat SMA; Babussalam;</t>
  </si>
  <si>
    <t>SMA Protestan; Katolik; Hindu; Buddha; Konghucu; Santa Maria; Kalam Kudus;</t>
  </si>
  <si>
    <t>SMK Negeri;</t>
  </si>
  <si>
    <t>SMK Swasta;</t>
  </si>
  <si>
    <t>Universitas Negeri;UNRI;</t>
  </si>
  <si>
    <t>Universitas Swasta; UNILAK; UIR; PCR; Univ Muhammadiyah Riau;</t>
  </si>
  <si>
    <t>Universitas Negeri Keagamaan; UIN Suska Riau;</t>
  </si>
  <si>
    <t>Unviersitas Swasta Keagamaan;</t>
  </si>
  <si>
    <t>Pusdiklat pemerintah; BPMP;</t>
  </si>
  <si>
    <t>Puskesmas Kecamatan;</t>
  </si>
  <si>
    <t>RS Swasta. RS Awal Bros; Eka Hospital; RS Anisa;</t>
  </si>
  <si>
    <t>Klinik Swasta; Klinik Aisyiah; Klinik Siaga Medika;</t>
  </si>
  <si>
    <t xml:space="preserve">Praktik dokter umum; </t>
  </si>
  <si>
    <t xml:space="preserve">Aktv Penunjang Kesehatan; Lab Prodia; Lab Pramitha; </t>
  </si>
  <si>
    <t>Baznaz;</t>
  </si>
  <si>
    <t>KB (Belajar sambil bermain); playgroup; Alumna;</t>
  </si>
  <si>
    <t>TPA (penitipan dan pengasuhan anak); Daycare;</t>
  </si>
  <si>
    <t>Perpustakaan Pemerintah; Perpustakaan Soeman HS;</t>
  </si>
  <si>
    <t>Museum Pemerintah; Istana Siak;</t>
  </si>
  <si>
    <t>Situs Bersejarah; Candi Muara Takus;</t>
  </si>
  <si>
    <t>[T] 94110</t>
  </si>
  <si>
    <t>[T] 94121</t>
  </si>
  <si>
    <t>[T] 94122</t>
  </si>
  <si>
    <t>[T] 94200</t>
  </si>
  <si>
    <t>[T] 94910</t>
  </si>
  <si>
    <t>[T] 94920</t>
  </si>
  <si>
    <t>[T] 96300</t>
  </si>
  <si>
    <t>[V] 99000</t>
  </si>
  <si>
    <t>Aktv organisasi bisnis &amp; pengusaha; Kadin (Kamar Dagang dan Industri) Provinsi Riau; GAPKI (Gabungan Pengusaha Kelapa Sawit Indonesia) Cabang Riau; APINDO (Asosiasi Pengusaha Indonesia) Riau;</t>
  </si>
  <si>
    <t>Aktv organisasi IPS &amp; masyarakat; IDI (Ikatan Dokter Indonesia) Wilayah Riau;PWI (Persatuan Wartawan Indonesia) Riau; PGRI Provinsi Riau;</t>
  </si>
  <si>
    <t>Aktv organisasi IPA teknologi; Ikatan Statistisi Indonesia (ISI) Wilayah Riau; Persatuan Insinyur Indonesia (PII) Wilayah Riau; Himpunan Ahli Geofisika Indonesia cabang Riau; Ikatan Surveyor Indonesia wilayah Riau; Perhimpunan ahli lingkungan dan teknologi di Riau;</t>
  </si>
  <si>
    <t>Aktv organisasi buruh; DPD SPSI (Serikat Pekerja Seluruh Indonesia) Provinsi Riau; KORPRI unit Pemprov Riau / Pemko Pekanbaru; Federasi Serikat Pekerja Metal Indonesia (FSPMI) Provinsi Riau; Serikat Pekerja Kilang Minyak Putri Tujuh (SP-KMPT) di Dumai; Serikat Pekerja Riau Pulp (RAPP);</t>
  </si>
  <si>
    <t>Aktv organisasi keagamaan; Pengurus Masjid Raya An-Nur Riau; Keuskupan/ Majelis Gereja di Pekanbaru; Jasa pemakaman keagamaan yayasan sosial di Riau;</t>
  </si>
  <si>
    <t>Aktv organisasi politik; DPD Partai Golkar Riau; DPD PDI-P Riau, dll; Organisasi pemuda partai (seperti AMPG atau TMP Riau);</t>
  </si>
  <si>
    <t>Aktv pemakaman; Jasa pengelolaan kompleks Pemakaman (seperti TPU Payung Sekaki); Rumah duka yayasan sosial kemanusiaan di Pekanbaru;</t>
  </si>
  <si>
    <t xml:space="preserve">Badan Internasional; Penampungan pengungsi; Konsulat Malaysia di Pekanbaru; UNHCR (United Nations High Commissioner for Refugees) Perwakilan Pekanbaru; IOM (International Organization for Migration) Perwakilan Pekanbaru; Organisasi internasional pengelola logistik, tempat tinggal, &amp; kebutuhan dasar harian pengungsi luar negeri; </t>
  </si>
  <si>
    <t>[D] 35152</t>
  </si>
  <si>
    <t>[D] 35302</t>
  </si>
  <si>
    <t>[D] 35401</t>
  </si>
  <si>
    <t>[D] 35402</t>
  </si>
  <si>
    <t>[E] 36003♻️</t>
  </si>
  <si>
    <t>[E] 37001♻️</t>
  </si>
  <si>
    <t>[E] 38110♻️</t>
  </si>
  <si>
    <t>[E] 38212♻️</t>
  </si>
  <si>
    <t>[E] 38301♻️</t>
  </si>
  <si>
    <t>[E] 38302♻️</t>
  </si>
  <si>
    <t>[ I ] 55204</t>
  </si>
  <si>
    <t>[ I ] 55209</t>
  </si>
  <si>
    <t>[ I ] 55300</t>
  </si>
  <si>
    <t>[ I ] 55901</t>
  </si>
  <si>
    <t>[ I ] 55909</t>
  </si>
  <si>
    <t>[ I ] 56101</t>
  </si>
  <si>
    <t>[ I ] 56102</t>
  </si>
  <si>
    <t>[ I ] 56210</t>
  </si>
  <si>
    <t>[ I ] 56290</t>
  </si>
  <si>
    <t>[ I ] 56301</t>
  </si>
  <si>
    <t>[ I ] 56302</t>
  </si>
  <si>
    <t>[ I ] 56303</t>
  </si>
  <si>
    <t>[ I ] 56304</t>
  </si>
  <si>
    <t>[ I ] 56305</t>
  </si>
  <si>
    <t>[ I ] 56306</t>
  </si>
  <si>
    <t>[J] 59112 🌐</t>
  </si>
  <si>
    <t>[J] 59140 🌐</t>
  </si>
  <si>
    <t>[J] 59201 🌐</t>
  </si>
  <si>
    <t>[J] 60101 🌐</t>
  </si>
  <si>
    <t>[ K ] 61101 🌐</t>
  </si>
  <si>
    <t>[ K ] 61102 🌐</t>
  </si>
  <si>
    <t>[ K ] 61104 🌐</t>
  </si>
  <si>
    <t>[ K ] 61106 🌐</t>
  </si>
  <si>
    <t>[ K ] 61209 🌐</t>
  </si>
  <si>
    <t>[ K ] 62199 🌐</t>
  </si>
  <si>
    <t>[ K ] 62900 🌐</t>
  </si>
  <si>
    <t>[K] 63101 🌐</t>
  </si>
  <si>
    <t>[L] 68125</t>
  </si>
  <si>
    <t>[Q] 85510</t>
  </si>
  <si>
    <t>[Q] 85520</t>
  </si>
  <si>
    <t>[Q] 85530</t>
  </si>
  <si>
    <t>[Q] 85542</t>
  </si>
  <si>
    <t>[Q] 85592</t>
  </si>
  <si>
    <t>[Q] 85593</t>
  </si>
  <si>
    <t>[Q] 85595</t>
  </si>
  <si>
    <t>[Q] 85599</t>
  </si>
  <si>
    <t>[R] 86992</t>
  </si>
  <si>
    <t>[S] 90111</t>
  </si>
  <si>
    <t>[S] 90112</t>
  </si>
  <si>
    <t>[S] 90120</t>
  </si>
  <si>
    <t>[S] 90130</t>
  </si>
  <si>
    <t>[S] 90200</t>
  </si>
  <si>
    <t>[S] 90391</t>
  </si>
  <si>
    <t>[S] 90399</t>
  </si>
  <si>
    <t>Jasa teknisi listrik panggilan; Pengelola instalasi listrik gedung/mal; Jasa perawatan &amp; pengoperasian AC;</t>
  </si>
  <si>
    <t>Produksi es; Pabrik es; Pembuatan es batu; Produsen es kristal;</t>
  </si>
  <si>
    <t>Aktv broker &amp; agen penjualan tenaga listrik; Agen top-up PLN; Agen penjualan token listrik; Loket pembayaran listrik; Broker listrik;</t>
  </si>
  <si>
    <t>Aktv broker &amp; agen penjualan gas alam; Agen penjualan gas LPG; Agen pemasaran gas bumi untuk industri; broker perdagangan gas alam;</t>
  </si>
  <si>
    <t>Pedagang air keliling/pikulan/mobil tangki; Jasa mobil tangki air bersih; penyewaan jaringan distribusi air;</t>
  </si>
  <si>
    <t>Pengelola saluran limbah; Jasa sedot WC; Jasa penyedotan tangki septik;</t>
  </si>
  <si>
    <t>Bank sampah; Jasa angkut sampah rumah tangga; Pengelola TPS; Unit pengangkutan sampah DLHK;</t>
  </si>
  <si>
    <t>Rumah Kompos DLHK; unit pengolahan kompos sampah pasar; pengolahan kompos dari tandan kosong kelapa sawit; bank sampah penghasil kompos;</t>
  </si>
  <si>
    <t>Pengepul pemulung besi tua; pengolah scrap logam Dumai; pengepul aluminium/tembaga bekas; Usaha pemotongan dan penjualan kembali besi bekas konstruksi;</t>
  </si>
  <si>
    <t>Pengepul dan pengolah botol plastik bekas; Usaha pencacahan plastik di Kampar; bank sampah pengolah plastik; produsen biji plastik daur ulang;</t>
  </si>
  <si>
    <t>Apartemen hotel; Kampar Lake Villa; Riau Holiday House; Pekanbaru Guest House; Siak Heritage Cottage; Bengkalis Beach Bungalow;</t>
  </si>
  <si>
    <t>Akomodasi jangka pendek lainnya; Bono Riverside Lodge; Siak Heritage Stay; Kampar Tourist House; Riau Visitor Lodge; Wisma Wisata Melayu;</t>
  </si>
  <si>
    <t>Bumi Perkemahan; Camping Ground Kampar; Campervan Park; Eco Camp;</t>
  </si>
  <si>
    <t>Jasa manajemen akomodasi; Asrama Mahasiswa Riau; Mess Karyawan Sawit Jaya; Dormitory Pekanbaru; Asrama Atlet Riau; Graha Asrama Nusantara;</t>
  </si>
  <si>
    <t>Akomodasi lainnya; Kos Putra Riau; Kos Putri Pekanbaru; Graha Karyawan Sawit; Riau Co-Living Residence; Mess Pekerja Nusantara;</t>
  </si>
  <si>
    <t>Penyediaan Makanan di bangunan tetap; Restoran Melayu Riau; Rumah Makan Selera Kampar; KFC; Gerai es krim; Kalgaris; Scoop me; Pizza hut delivery; Wareh Kupi; Kimteng; Candu Kuphie; Sanama; Restoran hotel (jika merupakan unit terpisah); JCO; Roti O; Baskin Robins;</t>
  </si>
  <si>
    <t>Penyediaan Makanan di bangunan tidak tetap; Food truck; angkringan; siomay gerobak; bakso gerobak;</t>
  </si>
  <si>
    <t>Jasa boga acara tertentu; Katering Selera Melayu; Riau Catering Service; Dapur Bunda Catering; Pekanbaru Jasa Boga; Berkah Catering;</t>
  </si>
  <si>
    <t>Jasa boga lainnya; SPPG; katering ke rumah tangga; kantin/kafetaria rumah sakit, pabrik, sekolah, kantor;</t>
  </si>
  <si>
    <t xml:space="preserve">Aktivitas bar (minuman alkohol atau non alkohol); </t>
  </si>
  <si>
    <t>Aktivitas klab malam;diskotik;</t>
  </si>
  <si>
    <t xml:space="preserve">Aktivitas rumah minum/kafe; oziq smoothies; chatime; warung jus; Kopi kenangan; tomoro; fore; Coffee shop modern yang makanannya sedikit/hanya snack; starbucks; jual jus di depan rumah; oziq smoothies; jual pop ice di depan rumah sendiri; </t>
  </si>
  <si>
    <t>Aktivitas kedai minuman; stand jus; stand pop ice; Boba di pinggir jalan; Booth kopi; kios minuman;</t>
  </si>
  <si>
    <t>Kedai obat bahan alam; Kedai Jamu Sehat Pekanbaru; Rumah Jamu Melayu Riau; Depot Jamu Tradisional Dumai; Kedai Herbal Kampar; Jamu Rempah Nusantara; Kedai Kunyit Asam Pekanbaru;</t>
  </si>
  <si>
    <t xml:space="preserve">Penyediaan minuman keliling/tempat tidak tetap; Kopi sepeda; Kopi saka; Kopi kito; </t>
  </si>
  <si>
    <t>Produksi film/video/program tv oleh swasta; Production house; Kawan jalan; DHIA Production;</t>
  </si>
  <si>
    <t>Bioskop; layar tancap; XXI; CGV; Cinepolis;</t>
  </si>
  <si>
    <t>Radio Analog; Radio aditya; radio barabas; RRI;</t>
  </si>
  <si>
    <t>Telekomunikasi kabel; Indihome;</t>
  </si>
  <si>
    <t>Telekomunikasi kabel; Telkomsel;</t>
  </si>
  <si>
    <t>ISP; Indihome; perusahaan penyedia wifi untuk internet di rumah; my republik; cipta informatika cemerlang; solnet;</t>
  </si>
  <si>
    <t>Tv protokol internet (IPTV); Indihome TV; MNC Play; FirstMedia; UseeTV</t>
  </si>
  <si>
    <t>Jasa Intemediasi Telekomunikasi; wartel, warnet; jasa pihak ketiga yang memasang wifi/ kabel &amp; tiang internet; pemasangan tv kabel; JUAL PULSA; KONTER PULSA; jual kartu perdana;</t>
  </si>
  <si>
    <t>Aktivitas pemrograman; programmer freelance; perusahaan digital pembuatan aplikasi/website (ada kegiatan pemrograman di dalamnya);</t>
  </si>
  <si>
    <t>Jasa TI dan komputer lainnya; jasa perbaikan komputer; jasa servis komputer;jasa instalasi perangkat komputer; jasa servis perangkat TI lainnya; retyan computer; megakom;</t>
  </si>
  <si>
    <t>Aktivitas pengolahan data; freelance atau perusahaan yang menyediakan jasa pengolahan data; jasa mengolah data skripsi;</t>
  </si>
  <si>
    <t>Pengelola pusat perbelanjaan; Pengelola Mall;</t>
  </si>
  <si>
    <t>Les Olahraga; Happy Shark Pku; mermaid swimming school;</t>
  </si>
  <si>
    <t>Les musik; les menari/sanggar tari; sanggar lukis;</t>
  </si>
  <si>
    <t>Sekolah mengemudi mobil;</t>
  </si>
  <si>
    <t>kursus mengaji; Rumah tahfiz;</t>
  </si>
  <si>
    <t>pendidikan bahasa swasta; LIA; LTI; EF;</t>
  </si>
  <si>
    <t>ganesha operation; Ruang Guru; Sempoa SIP; Psikolog;</t>
  </si>
  <si>
    <t>Pendidikan kerajinan; Kursus Baking; Kursus MUA (Makeup Artist); kursus modelling;</t>
  </si>
  <si>
    <t>Urut sehat; bekam; shinse;</t>
  </si>
  <si>
    <t>Penyair; blogger independen;</t>
  </si>
  <si>
    <t>komposer musik; pencipta lagu; musisi;</t>
  </si>
  <si>
    <t>pelukis; pematung; kartunis; pensketsa; karya seni digital;</t>
  </si>
  <si>
    <t xml:space="preserve">Aktv penciptaan karya seni lainnya; fashion stylist; koreografer; </t>
  </si>
  <si>
    <t>sirkus; stand up comedian; band; orkestra; penari; musisi (orgen tunggal); teater; opera; foto model; influencer; konten creator; youtuber pembuat vlog/konten; wayang; musikalisasi puisi; affiliator (shopee/tiktok/lainnya); pemain kompang; silat untuk penyambutan; band;</t>
  </si>
  <si>
    <t>vendor/promotor/EO kegiatan kesenian;</t>
  </si>
  <si>
    <t>sutradara &amp; produser seni pertunjukan; manager panggung; desainer panggung; penata suara; penata cahaya; penata layar;</t>
  </si>
  <si>
    <t>[T] 94990</t>
  </si>
  <si>
    <t>[T] 95101 🌐</t>
  </si>
  <si>
    <t xml:space="preserve">[T] 95102 </t>
  </si>
  <si>
    <t xml:space="preserve">[T] 95210 </t>
  </si>
  <si>
    <t>[T] 95220</t>
  </si>
  <si>
    <t>[T] 95230</t>
  </si>
  <si>
    <t>[T] 95240</t>
  </si>
  <si>
    <t>[T] 95291</t>
  </si>
  <si>
    <t>[T] 95311</t>
  </si>
  <si>
    <t>[T] 95312</t>
  </si>
  <si>
    <t>[T] 95320</t>
  </si>
  <si>
    <t>[T] 96100</t>
  </si>
  <si>
    <t>[T] 96210</t>
  </si>
  <si>
    <t>[T] 96220</t>
  </si>
  <si>
    <t>[T] 96230</t>
  </si>
  <si>
    <t>[T] 96900</t>
  </si>
  <si>
    <t xml:space="preserve">Aktv organisasi lainnya; KNPI (Komite Nasional Pemuda Indonesia) Riau; LSM Lingkungan hidup seperti WALHI Riau atau Jikalahari; Komunitas hobi seperti Pekanbaru Photography Club; Klub Mobil (Lotov, PSF); </t>
  </si>
  <si>
    <t>Reparasi &amp; pemeliharaan komputer; Servis Laptop di Jl. Tuanku Tambusai/Nangka (Pekanbaru). Jasa teknisi panggilan perbaikan server kantor di area perkantoran Sudirman;</t>
  </si>
  <si>
    <t>Reparasi &amp; pemeliharaan alat komunikasi; Service Center HP Resmi/ non resmi (Samsung/ Oppo/ Xiaomi) di Mal Pekanbaru; Jasa perbaikan radio komunikasi (HT) untuk pekerja lapangan site kelapa sawit/migas;</t>
  </si>
  <si>
    <t>Reparasi &amp; pemeliharaan alat elektronik; Servis TV; Servis radio;</t>
  </si>
  <si>
    <t>Reparasi peralatan rumah tangga &amp; kebun; Servis mesin cuci; servis AC; servis mesin potong rumput; Servis kulkas; servis motor listrik;</t>
  </si>
  <si>
    <t>Reparasi &amp; pemeliharaan alas kaki &amp; barang dari kulit; Tukang sol sepatu; Iwashed; shoe care; servis tas dekat pasar Cik Puan;</t>
  </si>
  <si>
    <t xml:space="preserve">Reparasi furnitur &amp; perlengkapan rumah; </t>
  </si>
  <si>
    <t>Aktv vermak pakaian; vermak levis; vermak pakaian;</t>
  </si>
  <si>
    <t>Reparasi mobil; bengkel mobil resmi ataupun tidak; balacing/spooring ban; perbaikan AC mobil;</t>
  </si>
  <si>
    <t>Cuci &amp; salon mobil; car wash otomatis/ manual; coating; cat mobil;</t>
  </si>
  <si>
    <t>Reparasi &amp; perawatan sepeda motor; bengkel motor remi ataupun tidak; pengecatan; mofidikasi bodi motor;</t>
  </si>
  <si>
    <t>Aktv pencucian &amp; pembersihan produk tekstil; Jasa laundry kiloan/satuan; dry cleaning pakaian; cuci karpet cuci gorden; cuci selimut.</t>
  </si>
  <si>
    <t>Aktv penataan &amp; pangkas rambut; salon rambut; barbershop; pangkas rambut pinggir jalan; jasa hair do untuk pernikahan, wisuda, dll;</t>
  </si>
  <si>
    <t>Aktv perawatan kecantikan lainnya; jasa kecantikan non medis; nail art (biasanya ada di mall); eyelash studio; sulam alis; waxing; make up artist (MUA);</t>
  </si>
  <si>
    <t>Aktv Spa, sauna, pemandian uap; Kakiku; Nakamura therapy; lulur &amp; spa;</t>
  </si>
  <si>
    <t>Jasa Lainnya; penitipan &amp; perawatan hewan; biro jodoh; ramalasan; jasa valet parking (biasanya di hotel berbintang); photobox; penampungan hewan (saung kucing, rumah kucing); seniman tato; jasa pemasangan hena; Event Organizer (EO) acara pribadi (wedding organizer, pesta ualng tahun);</t>
  </si>
  <si>
    <t>[D] 35132</t>
  </si>
  <si>
    <t>[D] 35133</t>
  </si>
  <si>
    <t>[D] 35140</t>
  </si>
  <si>
    <t>[D] 35151</t>
  </si>
  <si>
    <t>[D] 35159</t>
  </si>
  <si>
    <t>[D] 35301</t>
  </si>
  <si>
    <t>[ I ] 55202</t>
  </si>
  <si>
    <t>[ I ] 55203</t>
  </si>
  <si>
    <t>[ I ] 56400 🌐</t>
  </si>
  <si>
    <t>[J] 58130 🌐</t>
  </si>
  <si>
    <t>[J] 58190 🌐</t>
  </si>
  <si>
    <t>[J] 59111 🌐</t>
  </si>
  <si>
    <t>[J] 59121 🌐</t>
  </si>
  <si>
    <t>[J] 59122 🌐</t>
  </si>
  <si>
    <t>[J] 59202 🌐</t>
  </si>
  <si>
    <t>[J] 60102 🌐</t>
  </si>
  <si>
    <t>[K] 60105 🌐</t>
  </si>
  <si>
    <t>[K] 60909 🌐</t>
  </si>
  <si>
    <t>[K] 62201 🌐</t>
  </si>
  <si>
    <t>[K] 62204 🌐</t>
  </si>
  <si>
    <t>[K] 63102 🌐</t>
  </si>
  <si>
    <t>[K] 63900 🌐</t>
  </si>
  <si>
    <t>Aktivitas penyimpanan tenaga listrik; perusahaan yang mengoperasikan fasilitas penyimpanan energi sebagai penunjang internal (PHR, RAPP, IKPP, PLN);</t>
  </si>
  <si>
    <t>SPKLU; pengisian daya; kendaraan listrik;</t>
  </si>
  <si>
    <t xml:space="preserve">PT RAPP; PT Indah Kiat; SPKLU terintegrasi dengan pembangkit; </t>
  </si>
  <si>
    <t>Operator instalasi listrik; Jasa Operator &amp; Perawatan Genset; jasa operasi PLTU Tenayan Raya; jasa pengoperasian gardu induk PLN;</t>
  </si>
  <si>
    <t>Aktv penunjang tenaga listrik lainnya; Jasa pencatatan meter listrik;Biro Jasa; Pengurusan Listrik; penagihan rekening listrik;</t>
  </si>
  <si>
    <t>Hostel Remaja; Bumi perkemahan; Camping ground; Kemping; Karavan; Campervan; Area camping; Wisata alam;</t>
  </si>
  <si>
    <t>Aktivitas Vila; Vila wisata keluarga; Vila pegunungan; Vila pantai; Private villa; Resort villa;</t>
  </si>
  <si>
    <t>Jasa intermediasi penyediaan makanan &amp; minuman; Platform pemesanan maknaan &amp; minuman;</t>
  </si>
  <si>
    <t>Penerbitan jurnal; Penerbit di Perguruan Tinggi (cek lagi ke kampusnya);</t>
  </si>
  <si>
    <t>Penerbitan kartu pos; reproduksi karya seni; kreator sosmed berbasis gambar/foto; Hanya pasang link affiliate di bio/blog sosmed tanpa video;</t>
  </si>
  <si>
    <t>produksi film/video/program tv oleh pemerintah;</t>
  </si>
  <si>
    <t>pascaproduksi film/video oleh pemerintah;</t>
  </si>
  <si>
    <t>pascaproduksi film/video oleh swasta;</t>
  </si>
  <si>
    <t>penerbitan musik dan buku musik; Label musik;</t>
  </si>
  <si>
    <t>RRI digital; radio digital;</t>
  </si>
  <si>
    <t>pengelola jaringan atm bank; PT Aplikanusa Lintasarta;</t>
  </si>
  <si>
    <t>Telekomunikasi lain; penyedia SMS blast; bank; SMS otp; Mekari Qontak; Twilio;</t>
  </si>
  <si>
    <t>Konsultansi &amp; keamanan siber; PT Netkrida Tuah Cakrawala;</t>
  </si>
  <si>
    <t>Konsultansi &amp; perancangan IOT; pemasangan pintu pintar; pemasangan lampu pintar; jasa arsitek smart home;</t>
  </si>
  <si>
    <t>Penyedia infrastruktur komputasi; penyewaan server; penyewaan hosting; penyewaan mainframe; penyewaan komputer atau laptop;</t>
  </si>
  <si>
    <t>Jasa portal pencarian web &amp; informasi; situs perbandingan harga; direktori bisnis; jasa kliping;</t>
  </si>
  <si>
    <t>Potensial</t>
  </si>
  <si>
    <t>Pengadaan uap/air panas &amp; udara dingin; Penyedia steam PT RAPP; Utilitas uap PT Indah Kiat Perawang; Boiler pabrik kelapa sawit;</t>
  </si>
  <si>
    <t>Jasa intermediasi penyediaan makanan &amp; minuman; Platform pemesanan makanan &amp; minuman;</t>
  </si>
  <si>
    <t>digital_hijau</t>
  </si>
  <si>
    <t>Industri Digital; Ekonomi Hijau;</t>
  </si>
  <si>
    <t>Hotel bintang lima; Akomodasi; Penginapan; perhotelan; Hospitality; Penyediaan kamar; Jasa hotel; Resort mewah; Layanan inap; Fasilitas hotel</t>
  </si>
  <si>
    <t>Hotel bintang empat; Akomodasi; Penginapan; Jasa hotel; Hospitality; Penyediaan kamar</t>
  </si>
  <si>
    <t>Hotel bintang tiga; Penginapan; Akomodasi; Jasa hotel; Hospitality; Penyediaan kamar</t>
  </si>
  <si>
    <t>Hotel bintang dua;Penginapan;Akomodasi;Jasa hotel;Penyediaan kamar;Perhotelan;</t>
  </si>
  <si>
    <t>Hotel bintang satu;Penginapan;Akomodasi;Hotel sederhana;Penyediaan kamar;</t>
  </si>
  <si>
    <t>Hotel melati;Losmen;Penginapan;Akomodasi sederhana;Wisma;Guest house sederhana;</t>
  </si>
  <si>
    <t>Akomodasi jangka pendek;Cottage;Bungalow;Cabin;Penginapan wisata;Wisma wisata;</t>
  </si>
  <si>
    <t>rumah sakit; hospital; sakit</t>
  </si>
  <si>
    <t>Vila harian;Villa rental;Cottage;Bungalow;Guest house;Holiday house;Vacation rental;Apartemen harian;Sewa vila;Sewa penginapan harian;Rumah liburan;Homestay;Short stay accommodation;</t>
  </si>
  <si>
    <t>penyediaan akomodasi;penginapan jangka pendek;penyewaan penginapan harian;hostel;glamping;cabin;cottage;hotel kapsul;rumah pohon wisata;bed and breakfast;</t>
  </si>
  <si>
    <t>jasa sewa area camping;jasa penginapan tenda;penyewaan lahan campervan;jasa wisata berkemah;penyewaan shelter wisata;paket camping keluarga;area persinggahan caravan;</t>
  </si>
  <si>
    <t>Asrama;Dormitory;Student dormitory;Asrama mahasiswa;Asrama pelajar;Asrama pekerja;Asrama karyawan;Asrama atlet;Dorm;Mess karyawan;Mess pekerja;Boarding dormitory;</t>
  </si>
  <si>
    <t>Rumah kos;Kost;Boarding house;Co;living;Hunian bersama;Asrama pekerja;Mess karyawan;Worker dormitory;Student accommodation;Dormitory;Akomodasi pekerja;Akomodasi mahasiswa;Rumah sewa kamar;</t>
  </si>
  <si>
    <t>Restoran;Rumah makan;Restaurant;Family restaurant;Restoran seafood;Restoran Padang;Restoran Sunda;Restoran cepat saji;Restoran Chinese food;Restoran Jepang;Restoran Korea;Dine in;Casual dining;Fine dining;</t>
  </si>
  <si>
    <t>warung tenda;food truck;street food;gerobak makanan;stan makanan;makanan keliling;booth makanan;pop;up food stall;usaha makanan tidak permanen;</t>
  </si>
  <si>
    <t>Catering;Katering;Jasa boga;Nasi kotak;Prasmanan;Buffet;Wedding catering;Event catering;Catering kantor;Catering seminar;Catering pesta;Catering hajatan;Paket konsumsi;Penyedia konsumsi acara;</t>
  </si>
  <si>
    <t>Kantin perusahaan;Kantin sekolah;Kantin rumah sakit;Industrial catering;Institutional catering;Food service;Catering karyawan;Catering pabrik;Catering pekerja;Mess catering;Penyedia konsumsi rutin;Pengelolaan kantin;Catering kontrak;Jasa makanan institusi;</t>
  </si>
  <si>
    <t>Coffee shop;Kedai kopi;Cafe minuman;Kedai teh;Tea shop;Bubble tea;Boba;Milk tea;Juice bar;Jus buah;Minuman kekinian;Kopi susu;Espresso bar;Kedai minuman;Beverage shop;</t>
  </si>
  <si>
    <t>kelab malam (nightclub);diskotek;club / nightclub;tempat hiburan malam;dance club;lounge hiburan malam;live music club;entertainment bar (berbasis hiburan);penyediaan minuman utama + hiburan;</t>
  </si>
  <si>
    <t>rumah minum;kafe / cafe;coffee shop;beverage shop;tempat minum;kedai kopi modern;tea house / kedai teh;beverage bar (non;nightlife);tempat konsumsi minuman</t>
  </si>
  <si>
    <t>kedai minuman;beverage stand;kios minuman;warung minuman;booth minuman;gerai minuman sederhana;minuman siap saji;coffee stand;juice stand;usaha minuman skala kecil</t>
  </si>
  <si>
    <t>Kedai jamu;Rumah jamu;Depot jamu;Jamu tradisional;Jamu herbal;Minuman herbal;Obat bahan alam;Kunyit asam;Beras kencur;Wedang jahe;Wedang rempah;Herbal drink;Traditional herbal beverage;</t>
  </si>
  <si>
    <t>Minuman keliling;Gerobak minuman;Booth minuman;Stand minuman;Food truck minuman;Es teh keliling;Es jeruk;Kopi keliling;Minuman bazar;Minuman festival;Kios minuman sementara;Mobile beverage;Portable beverage stall;</t>
  </si>
  <si>
    <t>AKTIVITAS PRODUKSI FILM, VIDEO, DAN PROGRAM TELEVISI OLEH</t>
  </si>
  <si>
    <t>AKTIVITAS PENJUALAN KEMBALI DAN JASA INTERMEDIASI UNTUK</t>
  </si>
  <si>
    <t>fashion stylist; koreografer;</t>
  </si>
  <si>
    <t>sirkus; stand up comedian; band; orkestra; penari; musisi (orgen tunggal); teater; opera; foto model; influencer; konten creator; youtuber pembuat vlog/konten; wayang; musikalisasi puisi; affiliator (shopee/tiktok/lainnya);</t>
  </si>
  <si>
    <t>versi 1</t>
  </si>
  <si>
    <t xml:space="preserve">cek </t>
  </si>
  <si>
    <t>Industri Digital;</t>
  </si>
  <si>
    <t>Ekonomi Hijau;</t>
  </si>
  <si>
    <t>Industri digital;</t>
  </si>
  <si>
    <t>Vila;Villa;Rumah liburan;Penginapan wisata;Akomodasi wisata;Vila harian;</t>
  </si>
  <si>
    <t>hostel;rumah singgah;dormitory;guest house sederhana;penginapan backpacker;akomodasi bersama;shared accommodation;asrama wisata;lodging house;</t>
  </si>
  <si>
    <t>Platform reservasi restoran di Pekanbaru;Agen pemesanan katering untuk acara pemerintahan;Marketplace penyedia katering perusahaan;Jasa booking restoran untuk kegiatan wisata;Platform pemesanan tempat makan untuk rombongan wisata;</t>
  </si>
  <si>
    <t>Menghimpun;Membina;Mengembangkan;Mewakili;Mengadvokasi;Menyelenggarakan;Memfasilitasi;Menetapkan standar;Menyebarluaskan informasi;Mengoordinasikan anggota;</t>
  </si>
  <si>
    <t>Organisasi profesi;Asosiasi profesi;Perhimpunan profesi;Ikatan profesi;Himpunan profesi;Organisasi ilmiah;Organisasi teknologi;Organisasi insinyur;Organisasi statistisi;Organisasi matematikawan;Organisasi surveyor;Scientific association;Professional association;Technology association;</t>
  </si>
  <si>
    <t>Serikat pekerja;Serikat buruh;Federasi serikat pekerja;Konfederasi serikat pekerja;Organisasi buruh;Organisasi pekerja;Labour union;Trade union;Organisasi ketenagakerjaan;Perkumpulan pekerja;Asosiasi pekerja;</t>
  </si>
  <si>
    <t>Organisasi keagamaan;Tempat ibadah;Masjid;Gereja;Pura;Vihara;Klenteng;Dakwah;Retreat keagamaan;Pembinaan umat;Pemakaman keagamaan;</t>
  </si>
  <si>
    <t>Partai politik;Organisasi politik;Pendidikan politik;Kaderisasi;Kampanye politik;Sosialisasi politik;Advokasi politik;Pengurus partai;Sayap partai;Organisasi kepartaian;Musyawarah politik;Kegiatan politik;</t>
  </si>
  <si>
    <t>LSM;Organisasi masyarakat (Ormas);KNPI;KOWANI;Organisasi pemuda;Organisasi lingkungan;Organisasi sosial;Komunitas;Relawan;Filantropi;Asosiasi konsumen;Klub hobi;Klub fotografi;Klub pecinta alam;Organisasi perlindungan hewan;Organisasi budaya dan seni;</t>
  </si>
  <si>
    <t>Servis komputer;Reparasi komputer;Servis laptop;Perbaikan printer;Maintenance komputer;Teknisi komputer;Instalasi komputer;Troubleshooting;Hardware komputer;Server;Scanner;Monitor;Keyboard;Mouse;Hard disk;ATM;POS (Point of Sale);</t>
  </si>
  <si>
    <t>Servis AC;Servis kulkas;Servis mesin cuci;Servis dispenser;Servis kompor;Servis blender;Servis mixer;Servis setrika;Servis vacuum cleaner;Bengkel elektronik rumah tangga;Jasa perbaikan peralatan rumah tangga;Maintenance AC;Teknisi AC;Teknisi kulkas;Teknisi mesin cuci;Servis alat rumah tangga;</t>
  </si>
  <si>
    <t>Servis sepatu;Reparasi sepatu;Tambal sepatu;Ganti sol sepatu;Ganti tumit sepatu;Servis tas;Reparasi tas;Servis koper;Reparasi koper;Barang kulit;Tas kulit;Dompet kulit;Tukang reparasi sepatu;Bengkel sepatu;Shoe repair;Leather repair;</t>
  </si>
  <si>
    <t>Servis sofa;Reparasi sofa;Servis kursi;Reparasi kursi;Servis meja;Reparasi lemari;Perbaikan furnitur;Restorasi furnitur;Finishing furnitur;Poles furnitur;Ganti kain sofa;Perbaikan perabot rumah;Perbaikan perabot kantor;Tukang furnitur;Jasa perakitan furnitur;</t>
  </si>
  <si>
    <t>Vermak;Vermak pakaian;Alterasi pakaian;Permak baju;Permak celana;Jahit perbaikan;Perbaikan pakaian;Ganti resleting;Ganti kancing;Permak seragam;Modifikasi pakaian;Tukang vermak;</t>
  </si>
  <si>
    <t>Servis sepeda;Reparasi sepeda listrik;Bengkel sepeda;Duplikat kunci;Tukang kunci;Servis jam tangan;Reparasi jam;Servis perhiasan;Reparasi emas;Reparasi alat musik;Servis gitar;Setem piano;Reparasi mainan;Servis alat olahraga;Perbaikan buku;Reparasi barang pribadi;</t>
  </si>
  <si>
    <t>Bengkel mobil;Servis mobil;Reparasi mobil;Body repair;Cat mobil;Tune up;Ganti oli;Bengkel umum;Bengkel resmi;Servis AC mobil;Spooring;Balancing;Servis injeksi;Scanner mobil;Ganti ban;Perbaikan rem;Perbaikan transmisi;Auto service;Car workshop;</t>
  </si>
  <si>
    <t>Car wash;Cuci mobil;Steam mobil;Salon mobil;Auto detailing;Poles mobil;Wax mobil;Coating mobil;Cuci kendaraan;Cuci interior mobil;Vacuum mobil;Nano coating;Auto spa;Car detailing;Car care;Cuci mesin mobil;Perawatan cat mobil;</t>
  </si>
  <si>
    <t>Bengkel motor;Servis motor;Reparasi motor;Tune up motor;Ganti oli motor;Bengkel resmi motor;Bengkel umum motor;Servis injeksi;Tambal ban motor;Ganti ban motor;Servis kelistrikan motor;Bengkel motor listrik;Overhaul mesin;Sparepart motor;Dealer servis motor;</t>
  </si>
  <si>
    <t>Bengkel sepeda;Servis sepeda;Reparasi sepeda;Servis sepeda listrik;Bengkel sepeda listrik;Perbaikan becak;Reparasi gerobak;Servis kursi roda;Perbaikan troli;Bengkel kendaraan tidak bermotor;Ganti ban sepeda;Servis rem sepeda;Servis gir sepeda;Workshop sepeda;</t>
  </si>
  <si>
    <t>Personal trainer;Fitness trainer;Pelatih kebugaran;Instruktur senam;Instruktur yoga;Instruktur pilates;Fitness coaching;Body fitness;Program kebugaran;Pelatih fisik;Gym trainer;Konsultan kebugaran;Aerobik;Zumba;Kebugaran jasmani;</t>
  </si>
  <si>
    <t>Pet grooming;Grooming kucing;Grooming anjing;Salon hewan;Pet care;Pet hotel;Pet boarding;Penitipan hewan;Pet day care;Perawatan hewan;Pelatihan anjing;Pet training;Mandi kucing;Mandi anjing;Potong bulu hewan;Salon kucing;Salon anjing;</t>
  </si>
  <si>
    <t>Pemakaman;TPU (Tempat Pemakaman Umum);Taman makam;Krematorium;Kremasi;Pengurusan jenazah;Penguburan;Makam;Pemeliharaan makam;Pemindahan makam;Mobil jenazah;Rumah duka;Funeral service;Funeral home;Pemakaman hewan;</t>
  </si>
  <si>
    <t>Tattoo studio;Tattoo artist;Tato;Body piercing;Tindik;Fortune teller;Peramal;Astrologi;Horoskop;Biro jodoh;Matchmaking service;Semir sepatu;Genealogi;Jasa pribadi;Personal service;</t>
  </si>
  <si>
    <t>Intermediasi jasa;Agen penyalur ART;Penyalur baby sitter;Penyalur sopir;Marketplace jasa rumah tangga;Platform jasa perorangan;Personal service platform;Home service platform;Matching service;Agen tenaga domestik;Platform guru privat;Platform pengasuh lansia;</t>
  </si>
  <si>
    <t>Personal assistant;Concierge service;Jasa pendamping pribadi;Jasa pengurusan dokumen;Jasa administrasi pribadi;Lifestyle service;Personal service;Jasa bantuan pribadi;Jasa konsultasi etiket;Jasa perorangan lainnya;</t>
  </si>
  <si>
    <t>Minuman keliling;Gerobak minuman;Booth minuman;Stand minuman;Food truck minuman;Es teh keliling;Es jeruk;Kopi keliling;Minuman bazar;Minuman festival;Kios minuman sementara;Mobile beverage;Portable beverage stall;stand dibawa keliling;</t>
  </si>
  <si>
    <t>PEMBANGKITAN TENAGA LISTRIK DARI SUMBER ENERGI TIDAK TERBARUKAN YANG MENGHASILKAN EMISI</t>
  </si>
  <si>
    <t>PEMBANGKITAN TENAGA LISTRIK DARI SUMBER ENERGI TIDAK TERBARUKAN YANG TIDAK MENGHASILKAN EMISI</t>
  </si>
  <si>
    <t>PENGOPERASIAN FASILITAS ATAU STASIUN PENGISIAN DAYA UNTUK KENDARAAN DAN PERALATAN LISTRIK</t>
  </si>
  <si>
    <t>PENGOLAHAN SAMPAH TIDAK BERBAHAYA UNTUK MENGHASILKAN ENERGI</t>
  </si>
  <si>
    <t>PENGOLAHAN DAN PEMBUANGAN LIMBAH ATAU SAMPAH TIDAK BERBAHAYA LAINNYA</t>
  </si>
  <si>
    <t>PENGOLAHAN DAN PEMBUANGAN LIMBAH ATAU SAMPAH BERBAHAYA SELAIN LIMBAH RADIOAKTIF</t>
  </si>
  <si>
    <t>AKTIVITAS REMEDIASI DAN PENGELOLAAN LIMBAH ATAU SAMPAH LAINNYA</t>
  </si>
  <si>
    <t>AKTIVITAS PRODUKSI BARANG OLEH RUMAH TANGGA UNTUK MEMENUHI KEBUTUHAN SENDIRI</t>
  </si>
  <si>
    <t>AKTIVITAS PRODUKSI BERAGAM JASA OLEH RUMAH TANGGA UNTUK MEMENUHI KEBUTUHAN SENDIRI</t>
  </si>
  <si>
    <t>AKTIVITAS BADAN INTERNASIONAL DAN BADAN EKSTRA INTERNASIONAL LAINNYA</t>
  </si>
  <si>
    <t>ciri_usaha</t>
  </si>
  <si>
    <t>keyword_buku_kbli</t>
  </si>
  <si>
    <t>proses</t>
  </si>
  <si>
    <t>bahan_baku</t>
  </si>
  <si>
    <t>output</t>
  </si>
  <si>
    <t>Aktivitas hotel bintang lima</t>
  </si>
  <si>
    <t>Aktivitas hotel bintang empat</t>
  </si>
  <si>
    <t>Aktivitas hotel bintang tiga</t>
  </si>
  <si>
    <t>Aktivitas hotel bintang dua</t>
  </si>
  <si>
    <t>Aktivitas hotel bintang satu</t>
  </si>
  <si>
    <t>Aktivitas Hotel Melati</t>
  </si>
  <si>
    <t>Aktivitas Penyediaan Akomodasi Jangka Pendek untuk Pengunjung</t>
  </si>
  <si>
    <t>Aktivitas Hostel Remaja (Youth Hostel)</t>
  </si>
  <si>
    <t>Aktivitas Villa</t>
  </si>
  <si>
    <t>Aktivitas Penyediaan Akomodasi Jangka Pendek Lainnya</t>
  </si>
  <si>
    <t>AKTIVITAS PENYEDIAAN AKOMODASI JANGKA PENDEK LAINNYA 
Kelompok</t>
  </si>
  <si>
    <t>Aktivitas Penyediaan 
Bumi Perkemahan, 
Persinggahan 
Karavan, dan Taman 
Karavan</t>
  </si>
  <si>
    <t>Aktivitas Penyediaan Ruang dan Tempat untuk Kendaraan Rekreasi</t>
  </si>
  <si>
    <t>Aktivitas Jasa Manajemen Akomodasi</t>
  </si>
  <si>
    <t>Penyediaan Akomodasi Lainnya YTDL</t>
  </si>
  <si>
    <t>Aktivitas Penyediaan Makanan di Bangunan Tetap</t>
  </si>
  <si>
    <t>Aktivitas Penyediaan Makanan di Bangunan Tidak Tetap</t>
  </si>
  <si>
    <t>Jasa Boga untuk Suatu Event Tertentu (Event Catering)</t>
  </si>
  <si>
    <t>Penyediaan Jasa Boga Lainnya / Periode Tertentu</t>
  </si>
  <si>
    <t>Aktivitas Bar</t>
  </si>
  <si>
    <t>Aktivitas Kelab Malam atau Diskotek yang Utamanya Menyediakan Minuman</t>
  </si>
  <si>
    <t>Aktivitas Rumah Minum / Kafe</t>
  </si>
  <si>
    <t>Aktivitas Kedai Minuman (Beverage Stand)</t>
  </si>
  <si>
    <t>Aktivitas Rumah/Kedai Obat Bahan Alam</t>
  </si>
  <si>
    <t>Aktivitas Penyediaan Minuman Keliling atau di Tempat Tidak Tetap</t>
  </si>
  <si>
    <t>Aktivitas Jasa Intermediasi Penyediaan Makanan dan Minuman</t>
  </si>
  <si>
    <t>Aktivitas Organisasi Ilmu Pengetahuan Sosial dan Masyarakat</t>
  </si>
  <si>
    <t>Aktivitas Organisasi Ilmu Pengetahuan Alam dan Teknologi (KBLI 2025)</t>
  </si>
  <si>
    <t>Aktivitas Organisasi Buruh (KBLI 2025)</t>
  </si>
  <si>
    <t>Aktivitas Organisasi Keagamaan (KBLI 2025)</t>
  </si>
  <si>
    <t>Aktivitas Organisasi Politik</t>
  </si>
  <si>
    <t xml:space="preserve">Aktivitas Organisasi Keanggotaan Lainnya YTDL
</t>
  </si>
  <si>
    <t>Reparasi dan Pemeliharaan Komputer dan Peralatan Sejenisnya</t>
  </si>
  <si>
    <t>Reparasi dan Pemeliharaan Peralatan Komunikasi</t>
  </si>
  <si>
    <t>Reparasi dan Pemeliharaan Alat-alat Elektronik Konsumen</t>
  </si>
  <si>
    <t>Reparasi dan Pemeliharaan Peralatan Rumah Tangga dan Peralatan Rumah dan Kebun</t>
  </si>
  <si>
    <t>Reparasi dan Pemeliharaan Alas Kaki dan Barang dari Kulit</t>
  </si>
  <si>
    <t>Reparasi dan Pemeliharaan Furnitur dan Perlengkapan Rumah</t>
  </si>
  <si>
    <t>Aktivitas Vermak Pakaian</t>
  </si>
  <si>
    <t>Reparasi dan Pemeliharaan Barang Keperluan Pribadi dan Perlengkapan Rumah Tangga Lainnya</t>
  </si>
  <si>
    <t>Reparasi Mobil</t>
  </si>
  <si>
    <t>Pencucian dan Salon Mobil</t>
  </si>
  <si>
    <t>Reparasi dan Pemeliharaan Sepeda Motor</t>
  </si>
  <si>
    <t>Reparasi dan Pemeliharaan Peralatan Transportasi Lainnya</t>
  </si>
  <si>
    <t>Aktivitas Jasa Perorangan untuk Kebugaran</t>
  </si>
  <si>
    <t>Aktivitas Pencucian dan Dry Cleaning Tekstil dan Produk Tekstil</t>
  </si>
  <si>
    <t>Aktivitas Perawatan dan Pemeliharaan Hewan</t>
  </si>
  <si>
    <t>Aktivitas Pemakaman dan Kegiatan yang Berhubungan dengan Itu</t>
  </si>
  <si>
    <t>Aktivitas Jasa Perorangan Lainnya</t>
  </si>
  <si>
    <t>Aktivitas Rumah Tangga Sebagai Pemberi Kerja dari Personel Domestik</t>
  </si>
  <si>
    <t>Aktivitas Jasa Perorangan Lainnya YTDL (Yang Tidak Dapat Diklasifikasikan di Tempat Lain)</t>
  </si>
  <si>
    <t>Aktivitas penerbitan lainnya baik fisik tercetak maupun digital; ukiran di sini bukat aktivitas pemahat;</t>
  </si>
  <si>
    <t>suplier film; distributor film; pemegang hak edar; penyalur film ke bioskop;</t>
  </si>
  <si>
    <t>platform distribusi dan penyiaran suara; bukan on demand; tidak ada interaksi dari pengguna atau pendengar; program sudah terjadwal dan tidak bisa diulang oleh pendengar;</t>
  </si>
  <si>
    <t>pengguna memilih trek/podcast sendiri; bisa langganan premium; ada iklan audio digital; tayangan sudah dikurasi oleh penyedia;</t>
  </si>
  <si>
    <t>saluran tv analog; stasiun tv; program sudah terjadwal dan tidak bisa diulang oleh penonton;</t>
  </si>
  <si>
    <t>saluran tv digital; kualitas gambar lebih jernih; stasiun tv digital; ditangkap via set top box; saluran tv digital berbayar;</t>
  </si>
  <si>
    <t>tayangan sudah dikurasi oleh penyedia;</t>
  </si>
  <si>
    <t>PENGEMBANGAN VIDEO GIM, PERANGKAT LUNAK VIDEO GIM, DAN AKTIVITAS TERKAIT</t>
  </si>
  <si>
    <t>AKTIVITAS PENGEMBANGAN APLIKASI PERDAGANGAN MELALUI INTERNET (E-COMMERCE)</t>
  </si>
  <si>
    <t>AKTIVITAS PENGEMBANGAN APLIKASI DAN PRODUKSI KONTEN BERBASIS MEDIA IMERSIF</t>
  </si>
  <si>
    <t>AKTIVITAS PENGEMBANGAN APLIKASI BERBASIS TEKNOLOGI BLOCKCHAIN</t>
  </si>
  <si>
    <t>AKTIVITAS KONSULTANSI KOMPUTER DAN MANAJEMEN FASILITAS KOMPUTER LAINNYA</t>
  </si>
  <si>
    <t>AKTIVITAS PENYEDIAAN INFRASTRUKTUR KOMPUTASI, HOSTING, DAN AKTIVITAS TERKAIT</t>
  </si>
  <si>
    <t>Penerbitan; buku;</t>
  </si>
  <si>
    <t>Surat kabar; surat kabar iklan;</t>
  </si>
  <si>
    <t>cetak; foto; ukiran; formulir; kalender; selebaran;</t>
  </si>
  <si>
    <t>game online; gim dalam jaringan;</t>
  </si>
  <si>
    <t>koran; majalah; baliho iklan; reklame iklan; iklan; portal berita online; katalog; selebaran promosi indomaret;</t>
  </si>
  <si>
    <t>direktori; mailing list; buku telepon; katalog; foto; ukiran; kartu pos; kalender; formulir; poster; reproduksi karya seni' selebaran/ leaflet yang tidak dijilid dan bukan material iklan; kumpulan data; undangan;</t>
  </si>
  <si>
    <t>Menerbitkan dan mencetak;</t>
  </si>
  <si>
    <t>menerbitkan surat kabar iklan; menerbitkan surat kabar; menerbitkan dan mengelola portal berita online;</t>
  </si>
  <si>
    <t>menerbitkan jurnal; menerbitkan jadwal siaran;</t>
  </si>
  <si>
    <t>pemutaran film; pemutaran film pada acara festival; menayangkan film ke penonton;</t>
  </si>
  <si>
    <t>platform penyedia streaming audio atas permintaan;</t>
  </si>
  <si>
    <t>menjual kembali internet;</t>
  </si>
  <si>
    <t>menyediakan jasa telekomunikasi satelit;</t>
  </si>
  <si>
    <t>mengembangkan vidio gim; membuat software/perangkat lunak vidio gim;</t>
  </si>
  <si>
    <t>Menyediakan dan mengelola identitas digital;</t>
  </si>
  <si>
    <t>menyediakan jasa TI; menyediakan jasa instalasi perangkat TI;</t>
  </si>
  <si>
    <t>melakukan pengolahan data; melakukan tabulasi data; melakukan pengolahan big data;</t>
  </si>
  <si>
    <t>menyewakan server; menyediakan jasa hosting; menyewakan pusat data; menyediakan penyimpanan data dan dokumen secara elektronik; menyediakan infrasatruktur cloud computing;</t>
  </si>
  <si>
    <t>film;video; program tv; vlog; podcast; iklan; berita; pemerintah;</t>
  </si>
  <si>
    <t>program televisi pemerintah; aktivitas pascaproduksi;</t>
  </si>
  <si>
    <t>program televisi swasta; aktivitas pascaproduksi;</t>
  </si>
  <si>
    <t>audio; atas permintaan;</t>
  </si>
  <si>
    <t>jaringan telekomunikasi; kabel;</t>
  </si>
  <si>
    <t>kecerdasan buatan; komponen dasar;</t>
  </si>
  <si>
    <t>jasa teknologi informasi; pemulihan kerusakan komputer;</t>
  </si>
  <si>
    <t>pengolahan data;</t>
  </si>
  <si>
    <t>infrastruktur komputasi; hosting; jasa;</t>
  </si>
  <si>
    <t>jasa portal pencarian; informasi lainnya;</t>
  </si>
  <si>
    <t>film;video; program tv; vlog; podcast; iklan; berita;</t>
  </si>
  <si>
    <t>bioskop; layar tancap;</t>
  </si>
  <si>
    <t>jasa rekaman; studi rekaman;</t>
  </si>
  <si>
    <t>musik; buku musik; hak cipta lagu; partitur lagu;</t>
  </si>
  <si>
    <t>siaran audio;</t>
  </si>
  <si>
    <t>siaran video;</t>
  </si>
  <si>
    <t>JUAL PULSA; KONTER PULSA; jual kartu perdana;</t>
  </si>
  <si>
    <t>industri koreator konten dan produksi media; pembuatan atau produksi gambar bergerak (2D maupun 3D); JASA PENGIRIMAN FILM; AGEN PEMBUKUAN FILM; agensi kreatif yang membantu pembuatan konten; biasanya untuk branding; atau sosmed management; animator bisa untuk fim bisa untuk vidio; perusahaan yang memproduksi konten beda klasifikasinya dengan platform yang menayangkannya; production house;</t>
  </si>
  <si>
    <t>Melakukan editing; Melakukan cutting; Dubbing; titling; dan credit film; closed captioning; animasi dan special effects; transfer film atau tape; melakukan konversi ke format video streaming; Melakukan penyensoran film;</t>
  </si>
  <si>
    <t>pembuatan master rekaman suara asli; jasa perekam suara; jasa rekam audio untuk radio non live; siniar; film ; tv; buku; media lain;</t>
  </si>
  <si>
    <t>penerbitan musik; buku musik; pendaftaran hak cipta untuk musik; promosi dan pemberian izin penggunaan musik;</t>
  </si>
  <si>
    <t>aktivitas pencarian; pengumpulan; pengolahan; dan penyebarluasan berita oleh pemerintah melalui media cetak maupun elektornik dengan tujuan menyampia=kan ke makassay;</t>
  </si>
  <si>
    <t>pengoperasioan; pemeliharaan; penyediaan jaringan telekomunikasi berbasis kabel untuk transmisi suara; data; teks; audio; dan vidio; penyediaan jaringan akses atau distribusi kabel kepada pelanggan; penyediaan jaringan telekomunikasi antarwilayah; antarpulau; antarnegara; antargedung; dll; penyewaan kapasitas jaringan kabel;</t>
  </si>
  <si>
    <t>penyelenggaraan jasa telekomunikasi khusus yang menggunakan teknologi dan/atau jaringan satelit; baik untuk kebutuhan komunikasi; navigasi; pemantauan; hingga penginderaan jauh; tetapi bukan sebagai penyedia konektivitas umum; bukan internet satelit umum untuk masyarakat seperti Wi-Fi rumahan.;</t>
  </si>
  <si>
    <t>mengembangkan kode program atau modul pustaka (library); framework pendukung aplikasi yang mengimplementasikan Artificial Intelligent; membuat program; programming;</t>
  </si>
  <si>
    <t xml:space="preserve">DENGAN ATAU TANPA layanan seperti instalasi sistem; pelatihan; dan dukungan pengguna. TERMASUK juga pemantauan; pengujian;dan analisis jaringan dan keamanan siber (tanpa mencakup pengembangan sistem dari awal); </t>
  </si>
  <si>
    <t>berbasis teknologi kriptografi; autentikasi situs web; tanda tangan elektronik tersertifikasi; bisa diverifikasi; ada enkripsi;</t>
  </si>
  <si>
    <t>jasa intermediasi untuk penerbitan perangkat lunak vidio gim daring;;membuat vidio gim; menyediakan fitur pembelian; membuat fitur pembelian;</t>
  </si>
  <si>
    <t>membuat film/ gambar bergerak 2D dan 3D; memproduksi film/ gambar bergerak 2D dan 3D; menyediakan jasa pengiriman film; mengelola agen pembukan fil;;;pembuatan atau produksi gambar bergerak (2D maupun 3D); JASA PENGIRIMAN FILM; AGEN PEMBUKUAN FILM;</t>
  </si>
  <si>
    <t>jasa telekomunikasi lainnya; termasuk penyediaan layanan data tingkat lanjut (SMS+; MMS+) tanpa memiliki dan mengoperasikan infrastruktur transmisi data sendiri; - penyediaan layanan SMS push dan notifikasi berbasis jaringan telepon (misalnya notifikasi SMS bank atau iklan).; ;penyedia SMS Blast/ SMS gateway; penyedia layanan OTP dan autentikasi biasanya dipakai oleh bank; fintech; e commerce; aplikasi online;</t>
  </si>
  <si>
    <t>Pengoperasian pembangkit listrik dari sumber energi tidak terbarukan yang bersal dari fosil (gas; alam; batu bara; minyak bumi; gambut) yang menghasilkan emisi;</t>
  </si>
  <si>
    <t>Pengoperasian pembangkit listrik dari sumber energi tidak terbarukan yang tidak menghasilkan emisi (nuklir; hidrogen; amonia);</t>
  </si>
  <si>
    <t>Pengoperasian pembangkit listrik dari sumber energi terbarukan (tenaga air; angin; surya; panas bumi; energi termal);</t>
  </si>
  <si>
    <t>Penyaluran dan mendistribusikan tenaga listrik melalui jaringan berasal dari produksi sendiri atau produksi pihak lain;</t>
  </si>
  <si>
    <t>Penyimpanan energi listrik untuk digunakan kembali;</t>
  </si>
  <si>
    <t>Menyediakan fasilitas pengisian daya kendaraan dan peralatan listrik;</t>
  </si>
  <si>
    <t>Menyelenggarakan pembangkitan; distribusi; dan penjualan listrik secara terintegrasi;</t>
  </si>
  <si>
    <t>Mengoperasikan instalasi penyediaan tenaga listrik yang dilakukan oleh pihak lain;</t>
  </si>
  <si>
    <t>Mengoperasikan instalasi pemanfaatan listrik dilakukan oleh pihak lain;</t>
  </si>
  <si>
    <t>Memberikan jasa penunjang ketenagalistrikan;</t>
  </si>
  <si>
    <t>Mengolah dan memproduksi bahan bakar gas;</t>
  </si>
  <si>
    <t>Menyalurkan gas melalui jaringan pipa;</t>
  </si>
  <si>
    <t>Memproduksi dan mendistribusikan uap; air panas; udara dingin;</t>
  </si>
  <si>
    <t>Memproduksi dan mendistribusikan es untuk kebutuhan pendinginan;</t>
  </si>
  <si>
    <t>Menjadi perantara atau agen penjualan tenaga listrik;</t>
  </si>
  <si>
    <t>Menjadi perantara atau agen penjualan gas alam;</t>
  </si>
  <si>
    <t>Penampungan; pengambilan; serta pengolahan air menjadi air minum melalui jaringan perpipaan dan bukan jaringan perpipaan;</t>
  </si>
  <si>
    <t>Menyediakan air baku untuk industri; pembangkit listrik; dll serta pengelolaan jaringan irigasi;</t>
  </si>
  <si>
    <t>Menunjang kegiatan distribusi dan penyediaan air;</t>
  </si>
  <si>
    <t>pengumpulan dan pengangkutan air limbah dari sumbernya;</t>
  </si>
  <si>
    <t>Mengolah dan membuang air limbah;</t>
  </si>
  <si>
    <t>Mengumpulkan limbah/sampah tidak berbahaya;</t>
  </si>
  <si>
    <t>Mengumpulkan limbah berbahaya nonradioaktif;</t>
  </si>
  <si>
    <t>Mengumpulkan limbah radioaktif;</t>
  </si>
  <si>
    <t>Mengolah sampah tidak berbahaya menjadi energi/produk lain;</t>
  </si>
  <si>
    <t>Memproduksi kompos dari sampah organik;</t>
  </si>
  <si>
    <t>Mengolah dan membuang limbah/sampah tidak berbahaya;</t>
  </si>
  <si>
    <t>Mengolah dan membuang limbah/sampah berbahaya nonradioaktif;</t>
  </si>
  <si>
    <t>Mengolah dan membuang limbah radioaktif;</t>
  </si>
  <si>
    <t>Mendaur ulang barang logam menjadi bahan baku sekunder;</t>
  </si>
  <si>
    <t>Mendaur ulang plastik menjadi bahan baku sekunder;</t>
  </si>
  <si>
    <t>Mendaur ulang material selain logam dan plastik menjadi bahan baku sekunder;</t>
  </si>
  <si>
    <t>Menangkap emisi karbon untuk mencegah pelepasan ke atmosfer;</t>
  </si>
  <si>
    <t>Menyimpan karbon secara permanen di bawah tanah;</t>
  </si>
  <si>
    <t>Membersihkan dan pengelolaan limbah/sampah lainnya oleh pemerintah/swasta;</t>
  </si>
  <si>
    <t>Rumah tangga mempekerjakan pekerja untuk membantu pekerjaan rumah tangga;</t>
  </si>
  <si>
    <t>Rumah tangga memproduksi barang untuk digunakan sendiri dan tidak dijual;</t>
  </si>
  <si>
    <t>Rumah tangga menyediakan jasa untuk memenuhi kebutuhan anggota rumah tangga sendiri;</t>
  </si>
  <si>
    <t>Menjalankan kegiatan lembaga internasional;</t>
  </si>
  <si>
    <t>mencakup kegiatan penyediaan akomodasi yang biasanya;berbasis harian atau mingguan; untuk tinggal dalam jangka waktu yang;singkat; memenuhi ketentuan sebagai hotel bintang lima; serta;menggunakan sebagian atau seluruh bangunan;</t>
  </si>
  <si>
    <t>usaha penyediaan jasa penginapan dengan standar hotel bintang empat; yang menyediakan fasilitas lengkap dan pelayanan profesional; namun di bawah standar hotel bintang lima.;</t>
  </si>
  <si>
    <t>usaha penyediaan jasa penginapan pada hotel berbintang tiga dengan fasilitas dan pelayanan yang cukup lengkap untuk tamu umum; wisatawan; maupun perjalanan bisnis.;</t>
  </si>
  <si>
    <t>usaha penyediaan jasa penginapan pada hotel berbintang dua dengan fasilitas standar dan pelayanan dasar bagi wisatawan maupun pelaku perjalanan.;</t>
  </si>
  <si>
    <t>usaha penyediaan jasa penginapan pada hotel berbintang satu dengan fasilitas dasar dan pelayanan sederhana untuk tamu umum atau wisatawan.;</t>
  </si>
  <si>
    <t>usaha penyediaan jasa penginapan pada hotel melati atau penginapan nonbintang dengan fasilitas sederhana dan pelayanan dasar.;</t>
  </si>
  <si>
    <t>usaha penyediaan jasa akomodasi atau penginapan jangka pendek bagi pengunjung; wisatawan; atau pelaku perjalanan selain hotel; yang biasanya berbentuk cottage; bungalow; cabin; atau penginapan wisata sejenis.;</t>
  </si>
  <si>
    <t>penyediaan akomodasi jangka pendek berupa ;ruangan/kamar yang dapat digunakan untuk bermalam bersama-sama ;(sharing room) atau sendiri dalam rangka kegiatan pariwisata dengan ;tujuan untuk rekreasi; memperluas pengetahuan/pengalaman; dan ;perjalanan;</t>
  </si>
  <si>
    <t>penyediaan akomodasi jangka pendek bagi ;umum yang merupakan rumah-rumah pribadi yang khusus disewakan ;kepada wisatawan berikut fasilitasnya dan dikelola sendiri oleh ;pemiliknya.;</t>
  </si>
  <si>
    <t>penyediaan akomodasi jangka pendek bagi masyarakat dengan mengelola dan mengoperasikan unit apartemen sebagai hotel untuk hunian sementara. Pembayaran dilakukan sesuai ketentuan yang berlaku; seperti pada apartemen hotel (apartel) atau kondominium hotel (condotel);</t>
  </si>
  <si>
    <t>klasifikasi usaha untuk penyediaan akomodasi/penginapan jangka pendek selain yang sudah masuk kategori khusus seperti homestay; villa; atau apartemen hotel.;</t>
  </si>
  <si>
    <t>kegiatan usaha penyediaan tempat menginap di alam terbuka seperti camping ground; caravan park; dan area persinggahan wisata.;</t>
  </si>
  <si>
    <t>mencakup usaha penyediaan akomodasi sederhana dengan sistem bersama/shared accommodation yang biasanya dipakai untuk pelajar; pekerja; backpacker; atau tamu sementara;</t>
  </si>
  <si>
    <t>kegiatan usaha berupa pengelolaan operasional akomodasi milik pihak lain seperti hotel; villa; resort; homestay; glamping; atau apartemen harian. Perusahaan bertindak sebagai operator/manajemen dan menerima imbalan berupa management fee;</t>
  </si>
  <si>
    <t>kegiatan usaha penyediaan akomodasi sementara yang belum tercakup di KBLI akomodasi lainnya. Biasanya digunakan untuk:;</t>
  </si>
  <si>
    <t>kegiatan usaha penyediaan makanan dan minuman yang dilakukan di bangunan permanen/tetap seperti restoran; rumah makan; cafe; kantin; dan restoran cepat saji. Konsumen bisa makan di tempat; takeaway; atau delivery.;</t>
  </si>
  <si>
    <t>mencakup usaha penyediaan makanan dan minuman yang dilakukan di bangunan tidak permanen atau dapat dipindah-pindahkan; termasuk usaha makanan keliling seperti warung tenda; food truck; gerobak makanan; dan stan makanan;</t>
  </si>
  <si>
    <t>kegiatan usaha jasa penyediaan makanan dan minuman untuk acara tertentu (event) berdasarkan pesanan/kontrak; di mana makanan biasanya dikirim ke lokasi acara dan sering disertai pelayanan (pramusaji).;</t>
  </si>
  <si>
    <t>kegiatan usaha jasa katering berbasis kontrak atau perjanjian tertentu; biasanya untuk periode waktu tertentu atau lokasi tertentu seperti pabrik; kantor; proyek; rumah sakit; transportasi; dan fasilitas umum.;</t>
  </si>
  <si>
    <t>kegiatan usaha bar; yaitu usaha penyediaan minuman (alkohol maupun non-alkohol) dan biasanya juga makanan ringan yang disajikan untuk konsumsi langsung di tempat.;</t>
  </si>
  <si>
    <t>kegiatan usaha kelab malam (nightclub) atau diskotek; yaitu tempat hiburan malam yang fokus utama pada penyediaan minuman; disertai fasilitas musik; tarian; dan hiburan tambahan.;</t>
  </si>
  <si>
    <t>kegiatan usaha rumah minum atau kafe; yaitu usaha yang menyediakan minuman (dan biasanya makanan ringan) untuk dikonsumsi langsung di tempat; di bangunan permanen seperti cafe; coffee shop; dan sejenisnya.;</t>
  </si>
  <si>
    <t>kegiatan usaha kedai minuman / beverage stand; yaitu usaha yang menyediakan minuman siap konsumsi yang dibuat di tempat; biasanya dalam bentuk usaha kecil; booth; tenda; atau gerai sederhana (semi-mobile);</t>
  </si>
  <si>
    <t>usaha penyediaan dan penjualan minuman jamu / obat bahan alam yang disajikan langsung untuk konsumsi di tempat usaha seperti kedai jamu tradisional maupun modern.;</t>
  </si>
  <si>
    <t>kegiatan usaha penyediaan minuman siap konsumsi yang dijual secara keliling atau di tempat tidak tetap (mobile/non-permanent).;</t>
  </si>
  <si>
    <t>kegiatan usaha perantara (intermediasi) yang mempertemukan pelanggan dengan penyedia makanan/minuman; biasanya melalui platform atau layanan pemesanan; tanpa perusahaan tersebut menyajikan makanan/minuman secara langsung.;</t>
  </si>
  <si>
    <t>mencakup kegiatan organisasi keagamaan Islam yang bertujuan untuk pembinaan; pelayanan; pendidikan; dakwah; sosial; dan kegiatan keagamaan lainnya bagi masyarakat.;</t>
  </si>
  <si>
    <t>mencakup kegiatan organisasi keagamaan Kristen yang bergerak dalam bidang pelayanan ibadah; pembinaan jemaat; pendidikan keagamaan; sosial; dan kegiatan pelayanan masyarakat berbasis ajaran Kristen.;</t>
  </si>
  <si>
    <t>mencakup kegiatan organisasi yang bertujuan untuk mewakili; melindungi; dan memperjuangkan kepentingan pekerja/buruh dalam hubungan industrial; ketenagakerjaan; sosial; dan ekonomi;</t>
  </si>
  <si>
    <t>kegiatan organisasi keagamaan yang bergerak dalam penyelenggaraan kegiatan agama dan penyebaran agama;</t>
  </si>
  <si>
    <t>kegiatan organisasi yang bergerak dalam bidang politik dan organisasi penunjang; seperti organisasi pemuda yang berhubungan dengan partai politik. Kegiatan utamanya meliputi penyebaran informasi politik; hubungan masyarakat; penggalangan dana; kaderisasi; dan upaya memengaruhi proses pengambilan keputusan publik melalui jalur politik.;</t>
  </si>
  <si>
    <t>kegiatan organisasi keanggotaan yang bergerak di bidang sosial dan kemasyarakatan yang tidak termasuk organisasi keagamaan (94910) atau organisasi politik (94920). Termasuk LSM; organisasi kepemudaan; organisasi lingkungan; organisasi perlindungan konsumen; organisasi sosial; klub hobi; organisasi sukarelawan; dan berbagai organisasi kemasyarakatan lainnya;</t>
  </si>
  <si>
    <t>encakup kegiatan jasa reparasi; perbaikan; pemeliharaan; dan peningkatan kinerja komputer beserta peralatan pendukungnya. Kegiatan ini meliputi perbaikan perangkat keras (hardware); pemeliharaan rutin; penggantian komponen; instalasi perangkat pendukung; serta troubleshooting komputer dan perangkat sejenis.;</t>
  </si>
  <si>
    <t>Mencakup kegiatan reparasi; perbaikan; dan pemeliharaan berbagai peralatan komunikasi; baik telekomunikasi nirkabel maupun kabel. Termasuk telepon seluler; tablet; modem; router; perangkat radio komunikasi; perangkat pemancar dan penerima radio; perangkat jaringan telekomunikasi; hingga peralatan transmisi komunikasi;</t>
  </si>
  <si>
    <t>Mencakup kegiatan jasa reparasi dan pemeliharaan alat elektronik konsumen; seperti televisi; radio penerima (termasuk pemasangan antena); pemutar audio dan video; kamera video rumah tangga; serta perangkat permainan video. KBLI ini tetap dipertahankan dalam KBLI 2025 dengan ruang lingkup yang sama.;</t>
  </si>
  <si>
    <t>kegiatan vermak; alterasi; atau pengubahan pakaian yang melayani masyarakat umum dengan tujuan komersial. Kegiatan ini meliputi penyesuaian ukuran; perbaikan; dan modifikasi pakaian jadi sesuai kebutuhan pelanggan.;</t>
  </si>
  <si>
    <t>Mencakup kegiatan jasa reparasi dan pemeliharaan berbagai barang pribadi dan rumah tangga yang tidak diklasifikasikan pada kelompok lain. Termasuk reparasi sepeda; sepeda listrik; perhiasan; jam tangan; jam dinding; alat olahraga; buku; alat musik; mainan; barang pribadi lainnya; penyeteman piano; dan duplikasi kunci;</t>
  </si>
  <si>
    <t>Mencakup kegiatan reparasi dan perawatan mobil; termasuk trailer dan semitrailer. Kegiatan yang termasuk antara lain reparasi mekanik; reparasi elektrik; reparasi sistem injeksi elektronik; servis rutin; reparasi bodi mobil; pengecatan; perbaikan kaca mobil; perbaikan jok; diagnosa sistem mekatronik; penggantian ban; pelapisan anti karat; serta pemasangan suku cadang dan aksesori mobil.;</t>
  </si>
  <si>
    <t>Mencakup kegiatan pencucian mobil dan salon mobil; seperti pencucian; pembersihan interior; pemolesan (polishing); detailing; coating sederhana; serta pemasangan suku cadang dan aksesori yang bukan bagian dari proses manufaktur kendaraan;</t>
  </si>
  <si>
    <t>Mencakup kegiatan reparasi; servis; dan pemeliharaan sepeda motor; baik sepeda motor konvensional maupun listrik. Termasuk perbaikan mesin; sistem kelistrikan; servis berkala; penggantian suku cadang; pencucian sederhana yang terkait dengan servis; serta pemasangan aksesori kendaraan bermotor roda dua;</t>
  </si>
  <si>
    <t>Mencakup kegiatan reparasi dan pemeliharaan alat transportasi selain mobil dan sepeda motor. Termasuk reparasi dan perawatan sepeda; becak; gerobak; kereta dorong; kursi roda; kendaraan tidak bermotor lainnya; serta peralatan transportasi sejenis;</t>
  </si>
  <si>
    <t>Mencakup kegiatan jasa perorangan yang bertujuan untuk menjaga kebugaran; kesehatan; dan penampilan fisik. Kegiatan ini dilakukan oleh individu atau penyedia jasa yang memberikan layanan kebugaran secara langsung kepada pelanggan; baik di pusat kebugaran maupun secara mandiri.;</t>
  </si>
  <si>
    <t>Mencakup kegiatan pencucian; dry cleaning; penyetrikaan; dan layanan sejenis untuk semua jenis pakaian; tekstil; dan produk tekstil. Kegiatan ini dapat dilakukan dengan mesin; secara manual; atau menggunakan mesin yang dioperasikan sendiri oleh pelanggan (self-service laundry). Termasuk layanan laundry hotel; restoran; rumah sakit; dan pelanggan rumah tangga.;</t>
  </si>
  <si>
    <t>Mencakup kegiatan perawatan dan pemeliharaan hewan peliharaan yang dilakukan bukan oleh dokter hewan. Kegiatan ini meliputi memandikan; mencukur bulu; merapikan kuku; penitipan hewan; pelatihan dasar hewan peliharaan; serta layanan perawatan hewan lainnya untuk tujuan kebersihan; kenyamanan; dan kesejahteraan hewan.;</t>
  </si>
  <si>
    <t>Mencakup kegiatan pemakaman dan kremasi jenazah manusia maupun hewan; serta kegiatan yang berkaitan dengan penyelenggaraan pemakaman. Termasuk pengelolaan dan pemeliharaan tempat pemakaman; penyediaan jasa penguburan; krematorium; penyewaan tempat makam; dan jasa pendukung pemakaman lainnya.;</t>
  </si>
  <si>
    <t>Mencakup berbagai aktivitas jasa perorangan yang tidak dapat diklasifikasikan pada kelompok KBLI lainnya. Kegiatan ini umumnya berupa jasa yang diberikan secara langsung kepada individu untuk memenuhi kebutuhan pribadi; sosial; atau rumah tangga.;</t>
  </si>
  <si>
    <t>Mencakup kegiatan rumah tangga yang mempekerjakan personel domestik untuk memenuhi kebutuhan rumah tangga. Personel domestik tersebut bekerja langsung pada rumah tangga sebagai pemberi kerja dan menghasilkan jasa untuk konsumsi rumah tangga itu sendiri; bukan untuk dijual atau diperdagangkan.;</t>
  </si>
  <si>
    <t>Mencakup berbagai aktivitas jasa perorangan yang tidak termasuk dalam kelompok KBLI lainnya. Kelompok ini menjadi tempat klasifikasi bagi jasa-jasa pribadi yang bersifat khusus dan tidak dapat dimasukkan ke kategori jasa perorangan yang sudah ada.;</t>
  </si>
  <si>
    <t>Semua bentuk penerbitan buku baik fisik tercetak maupun digital. Bukan untuk material periklanan (masuk ke 5819). Bukan buku lembaran musik (masuk ke 5920). Bukan surat kabar (masuk ke 5812). Tidak termasuk juga; Jika murni distribusi &amp; streaming audio (6010) atau vidio (6020);;Kantor Jakarta Erlangga → naskah diedit; dicetak; diterbitkan → 58110;Kantor Pekanbaru Erlangga → terima order; kirim buku ke sekolah → 46491;;Brosur di sini adalah brosur yang sifatnya seperti buku. Contohnya brosur/buklet panduan kesehatan yang diterbitkan kemenkes;</t>
  </si>
  <si>
    <t>Aktivitas penerbitan surat kabar; surat kabar iklan; baik fisik tercetak maupun digital. Bukan aktivitas jurnalis foto (7420) atau jurnalis biasa yang independen (9011). TIDAK TERMASUK jika hanya mencetak flyer promo dan katalog yang isinya dihandle oleh brand atau toko.;</t>
  </si>
  <si>
    <t>Aktivitas penerbitan jurnal dan terbitan berkala lainnya; aktivitas penerbitan jadwal siaran radio dan televisi; “terbit berkala; bukan buku tunggal dan bukan koran harian.” ;;Penerbitan jurnal oleh kampus; biasanya melekat pada KBLI Kampusnya (silakan dipastikan lagi dengan pihak perguruan tinggi nya);</t>
  </si>
  <si>
    <t>Ekosistem hiburan interaktif. Game nya harus ONLINE untuk dimainkan atau mengakses sebagian besar permainannya. umumnya diterbitkan di web; playstore; atau appstore; khusus penerbitan; bukan programernya;;Fokusnya bukan hanya membuat game; tetapi:;;menerbitkan;;mendistribusikan;;memasarkan;;menjual;;atau menjadi publisher game.;</t>
  </si>
  <si>
    <t>Gim dimainkan secara OFFLINE. khusus penerbitan; bukan programernya;;KBLI 58219 dipakai oleh perusahaan yang berbisnis menerbitkan dan mendistribusikan video game; termasuk game offline dan publisher game digital.;</t>
  </si>
  <si>
    <t>Ekosistem bisnis; sains; dan frontier technology; INOVASI PENERBIT SOFTWARE NON GAMING; khusus penerbitan; bukan programernya;</t>
  </si>
  <si>
    <t>DIKELOLA PEMERINTAH. khusus produk film; video; karya audiovisual; dan program televisi (bagian dari program pada saluran tv). Bukan penggandaan (menjual cd; dvd; atau media fisik lainnya = masuk ke 1820); Bukan reproduksi film untuk didistribusikan di bioskop (masuk ke 5912); Bukan pembuatan program saluran tv lengkap (masuk 5920);</t>
  </si>
  <si>
    <t>DIKELOLA SWASTA/PRIBADI. khusus produk film; video; karya audiovisual; dan program televisi (bagian dari program pada saluran tv). Bukan penggandaan (menjual cd; dvd; atau media fisik lainnya = masuk ke 1820); Bukan reproduksi film untuk didistribusikan di bioskop (masuk ke 5912); Bukan pembuatan program saluran tv lengkap (masuk 5920). agensi kreatif konten pendek sosmed; apakah influencer nya usdah harus terima endorse atau ada penghasilannya? affiliate marketing sepertinya masuk 60390;</t>
  </si>
  <si>
    <t>program tv pemerintah. melakukan kegiatan pascaproduksi film; video; karya audiovisual; dan program tv; TERMASUK kegiatan studio film yang menyiapkan film dan reproduksi untuk distribusi ke bioskop;</t>
  </si>
  <si>
    <t>program tv swasta. melakukan kegiatan pascaproduksi film; video; karya audiovisual; dan program tv; TERMASUK kegiatan studio film yang menyiapkan film dan reproduksi untuk distribusi ke bioskop;</t>
  </si>
  <si>
    <t>kegiatan yang dikelola pemerintah;</t>
  </si>
  <si>
    <t>pemutaran film atau karya audiovisual di bioskop; ruang terbuka; atau lainnya; pemutaran film di festival pemerintah atau swasta; layar tancap; filmnya milik siapa? bukan penyedia layar nya kan?;</t>
  </si>
  <si>
    <t>studio rekaman khusus audio; tidak termasuk gambar bergerak;</t>
  </si>
  <si>
    <t>radio : pendengar tidak bisa memilih siaran; jasa penyiaran radio menggunakan sinyal digital;</t>
  </si>
  <si>
    <t>fokus platform nya adalah sosmed; distribusi konten campuran; langganan kreator; monetisasi data pengguna; pemilik akun bebas mengunggah konten;affiliate marketing??;</t>
  </si>
  <si>
    <t>penyediaan jaringan telekomunikasi berbasis kabel. Bukan aktivitas instalasi kabel jaringan tanpa pengoperasioan fasilitas (masuk ke 43212). 6110 infrastruktur dasar : pondasi jaringan;ISP dengan infrastruktur; NAP; sistem komunikasi data; jaringan kabel/ satelit/ nirkabel. Pemilik operator trasnmisi fisik;</t>
  </si>
  <si>
    <t>penyediaan jaringan telekomunikasi nirkabel. menggunakan gelombang elektromagnetik. 6110 infrastruktur dasar : pondasi jaringan;ISP dengan infrastruktur; NAP; sistem komunikasi data; jaringan kabel/ satelit/ nirkabel. Pemilik operator trasnmisi fisik;</t>
  </si>
  <si>
    <t>6110 infrastruktur dasar : pondasi jaringan;ISP dengan infrastruktur; NAP; sistem komunikasi data; jaringan kabel/ satelit/ nirkabel. Pemilik operator trasnmisi fisik;</t>
  </si>
  <si>
    <t>produk yang dijual berupa akses internet. Jika ada perusahaan yang punya sambungan internet publik dan menjualnya ke pengguna akhir(hotspot publik);</t>
  </si>
  <si>
    <t>penyedia komunikasi data berbasis IP/non IP (seperti komunikasi machine to machine; Internet of things; remote host) dengan jaminan ketersambungan dan keamanan;;jaringan privat berkecepatan tinggi untuk korporasi;</t>
  </si>
  <si>
    <t>layanan konvergensi konten video/audio via jaringan IP dengan interaktivitas 2 arah dan jaminan quality of service;</t>
  </si>
  <si>
    <t>Penyaluran trafik dan routing untuk menghubungkan ISP ke jaringan internasional (IP Transit) atau domestik (Internet exchange);</t>
  </si>
  <si>
    <t>Layanan suara (voice) dasar langsung ke pelanggan via teknologi circuit switched atau lainnya;</t>
  </si>
  <si>
    <t>reseller internet tidak resmi (orang yang menjual internet yang dibelinya kepada orang lain); reseller atau agen yang menjual internet resmi (mencari pelanggan; perantara; mendapat komisi). sederhananya “Perusahaan telekomunikasi tanpa jaringan sendiri; tetapi menjual layanan operator lain secara resmi.”;</t>
  </si>
  <si>
    <t>jasa intermediasi = perantara (reseller; marketing agen; agen perumahan);;menjual kembali / penjualan kembali jasa telekomunikasi kabel; nirkabel; dan saterlit;</t>
  </si>
  <si>
    <t>6190 layanan nilai tambah. aplikasi &amp; konten ekstra : premium call. sms premiun; VoIP (tanpa infrastruktur). Fokus pada fitur tambahan di atas jaringan dasar;</t>
  </si>
  <si>
    <t>penyelenggaraan jasa panggilan telepon dengan tarif premium yang terhubung ke agen panggilan premium dan/ rekaman informasi dengan menggunakan kode akses intelligent network panggilan premium.;;apakah ini beda dengan panggilan telepon kartu hp biasa??;</t>
  </si>
  <si>
    <t>aktivitas penyelenggaraan jasa panggilan atau ;komunikasi suara berbasis protokol internet (Voice-over Internet Protocol ;atau VoIP) tanpa memiliki dan mengoperasikan fasilitas transmisi; ;termasuk penyediaan jasa teleponi sambungan langsung jarak jauh dan ;sambungan langsung internasional melalui jaringan internet.;</t>
  </si>
  <si>
    <t>aktivitas penyelenggaraan jasa panggilan dengan ;fitur tambahan berupa autentikasi pengguna atau sistem pengelolaan ;panggilan yang menggunakan kode akses khusus dan biasanya untuk ;keperluan pengendalian penggunaan dan penagihan secara prabayar atau ;terkelola.;;pengguna harus memasukkan PIN; kode akses; account number; voucher; atau login tertentu sebelum bisa menelepon.;;Contoh alur layanannya:;;Pelanggan membeli voucher/paket telepon;Pelanggan menelepon nomor akses tertentu;Sistem meminta PIN/kode pelanggan;Setelah terverifikasi; pelanggan dapat melakukan panggilan;Durasi dan biaya tercatat otomatis;</t>
  </si>
  <si>
    <t>pembuatan vidio gim (programming nya); mulai dari perancangan; pembuatan konten; pengujian; dan pemeliharaan; bukan kegiatan penerbitannya; kalau usahanya mencakup 2 kegiatan ini bagaimana?;</t>
  </si>
  <si>
    <t>Pembuatan aplikasi / pemrograman untuk mendukung transaksi perdagangan;</t>
  </si>
  <si>
    <t>Merancang konten; memodifikasi program; pengujian aplikasi; dan pemeliharaan konten ataupun kode program; TERMASUK juga pembuatan konten visual 3D atau dimodifikasi untuk ditampilkan dan dioperasikan melalui media imersif.;</t>
  </si>
  <si>
    <t>Sederhananya blockchain adalah buku catatan digital bersama yang sulit diubah atau dipalsukan. Merancang konten; memodifikasi program; pengujian aplikasi; dan pemeliharaan konten ataupun kode program untuk mengimplementasikan smart contract serta mengembangkan aplikasi berbasis teknologi ledger terdistribusi lainnya (DLT adalah teknologi pencatatan data yang tersebar di banyak komputer/jaringan.);</t>
  </si>
  <si>
    <t>Khusus pembuatan library atau framework; bersifat reusable; bukan pembuatan aplikasi AI untuk pengguna akhir; freelance atau pengusaha developer khusus pembuatan library (komponen dalam pemrograman) terkait AI;</t>
  </si>
  <si>
    <t>aktivitas programming (pengembangan sistem perangkat lunak) secara umum atau yang SELAIN untuk e commerce; pemanfaatan tenologi blockchain; media imersif; pemrograman untuk komponen AI. TERMASUK juga perangkat lunak aplikasi untuk Internet of Things; keamanan siber; kebutuhan bisnis; keuangan; basis data; grafis; pemodelan; laman web; dan aplikasi khusus lainnya. aplikasi atau perangkat lunak digunakan oleh END USER.;</t>
  </si>
  <si>
    <t>Penyediaan dan pengelolaan identitas digital yang serius dan enterprise-level. BUKAN sekadar membuat aplikasi dengan fitur otentikasi. MENCAKUP konsultasi; perencanaan; pengembangan dan pemeliharaan sistem pengelolaan identitas digital. MENCAKUP keseluruhan aktivitas usaha; bukan hanya terkait programming untuk fitur kemanan identitas digital nya saja;</t>
  </si>
  <si>
    <t>aktivitas jasa konsultansi; perancangan; dan pembuatan sistem terintegrasi berdasarkan pesanan. TERMASUK modifikasi perangkat keras yang sudah ada seperti sensor dan mikrokontroler agar bisa digunakan atau diintegrasikan dengan aplikasi/ perangkat lunak Internet of Things.;</t>
  </si>
  <si>
    <t>konsultasi mengenai jenis atau tipe; konfigurasi; dan kebuthan perangkat keras/lunak. LEBIH UMUM; konsultasi perencanaan dan perancangan sistem komputer dengan atau tanpa instalasi; pelatihan; dan dukungan pengguna; jasa manajemen dan pengoperasioan sistem komputer dan/ fasilitas pengolahan data milik klien;</t>
  </si>
  <si>
    <t>Jasa TI yang belum tercakup. TERMASUK jasa pemulihan kerusakan komputer; jasa instalasi PC; dan jasa instalasi perangkat lunak Jasa dukungan TI seperti manajemen insiden dan digital forensik;</t>
  </si>
  <si>
    <t>melakukan pengolahan data mulai dari persiapan seperti entri; cleaning; normalisasi; tabulasi; sampaia analisis data. Sumber data bisa terstruktur ataupun tidak; citra satelit; big data;TERMASUK juga data dari klien;</t>
  </si>
  <si>
    <t>Menyediakan infrastruktur komputasi dan hosting; menyediakan jasa yang mendukung aktivitas pengelolaan dan distribusi data secara digital;</t>
  </si>
  <si>
    <t>menyediakan informasi / pencarian informasi / portal informasi;BUKAN transaksi jual beli.;Jadi inti utamanya:;;search engine;portal informasi;direktori;agregator informasi;sistem informasi;layanan pencarian data/informasi;</t>
  </si>
  <si>
    <t/>
  </si>
  <si>
    <t>pencari berita; wartawan (bukan pegawai); kantor berita;</t>
  </si>
  <si>
    <t>pembangkitan listrik; energi fosil; emisi; batu bara; PLTU; PLTD; PLTG;</t>
  </si>
  <si>
    <t>pembangkitan listrik; non emisi; nuklir; hidrogen; amonia; PLTN;</t>
  </si>
  <si>
    <t>energi terbarukan; PLTA; PLTS; PLTB; panas bumi; pembangkit listrik tenaga air/angin/surya;</t>
  </si>
  <si>
    <t>distribusi listrik; transmisi listrik; jaringan listrik; gardu induk; PLN;</t>
  </si>
  <si>
    <t>penyimpanan listrik; baterai; pump storage; SPBKLU; kendaraan listrik;</t>
  </si>
  <si>
    <t>utilitas listrik terpadu; penyediaan tenaga listrik;</t>
  </si>
  <si>
    <t>operasi instalasi listrik; instalasi pembangkit;</t>
  </si>
  <si>
    <t>instalasi listrik;</t>
  </si>
  <si>
    <t>jasa penunjang listrik; pencatatan meter;</t>
  </si>
  <si>
    <t>produksi gas;gas alam; biogas;</t>
  </si>
  <si>
    <t>distribusi gas; jaringan gas; gas pipa;</t>
  </si>
  <si>
    <t>uap panas; pendingin udara; air panas;</t>
  </si>
  <si>
    <t>produksi es; pabrik es;</t>
  </si>
  <si>
    <t>broker listrik; agen listrik; token listrik;</t>
  </si>
  <si>
    <t>broker gas; agen gas LPG; distribusi gas;</t>
  </si>
  <si>
    <t>air minum; pengolahan air; distribusi air; PDAM;</t>
  </si>
  <si>
    <t>air baku; jaringan irigasi; penyediaan air industri;</t>
  </si>
  <si>
    <t>distribusi air; Pedagang air pikulan;</t>
  </si>
  <si>
    <t>air limbah; saluran limbah; sedot wc; tangki septik;</t>
  </si>
  <si>
    <t>pengolahan limbah ; IPAL;</t>
  </si>
  <si>
    <t>sampah rumah tangga; pengumpulan sampah; pemulung;</t>
  </si>
  <si>
    <t>limbah B3; limbah/sampah berbahaya;</t>
  </si>
  <si>
    <t>limbah radioaktif;</t>
  </si>
  <si>
    <t>pengolahan sampah; sampah tidak berbahaya; PLTBg;</t>
  </si>
  <si>
    <t>kompos; sampah organik;</t>
  </si>
  <si>
    <t>pembuangan limbah; limbah non-B3; TPA;</t>
  </si>
  <si>
    <t>pengolahan limbah B3; pembakaran limbah; limbah berbahaya;</t>
  </si>
  <si>
    <t>limbah radioaktif; penyimpanan radioaktif;</t>
  </si>
  <si>
    <t>daur ulang logam; logam; besi tua;</t>
  </si>
  <si>
    <t>daur ulang plastik; plastik bekas; cacahan plastik;</t>
  </si>
  <si>
    <t>daur ulang kertas; kaca; barang bekas;</t>
  </si>
  <si>
    <t>penangkapan karbon; emisi karbon;</t>
  </si>
  <si>
    <t>penyimpanan karbon; CCS; injeksi karbon;</t>
  </si>
  <si>
    <t>remediasi; pemulihan lingkungan; dekontaminasi;</t>
  </si>
  <si>
    <t>PRT; ART; asisten rumah tangga; sopir pribadi; pengasuh anak; tukang kebun;</t>
  </si>
  <si>
    <t>produksi sendiri; konsumsi sendiri; pertanian rumah tangga; peternakan rumah tangga;</t>
  </si>
  <si>
    <t>jasa rumah tangga; memasak; mengajar; merawat; menjaga keluarga;</t>
  </si>
  <si>
    <t>- badan internasional ;- organisasi internasional;- perwakilan UNDP; WHO; UNICEF;</t>
  </si>
  <si>
    <t>- Hotel bintang lima;- Akomodasi;- Penginapan;- Perhotelan;- Hospitality;- Penyediaan kamar;- Jasa hotel;- Resort mewah;- Layanan inap;- Fasilitas hotel;</t>
  </si>
  <si>
    <t>-Hotel bintang empat;- Akomodasi;- Penginapan;- Jasa hotel;- Hospitality;- Penyediaan kamar;</t>
  </si>
  <si>
    <t>- Hotel bintang tiga;- Penginapan;- Akomodasi;- Jasa hotel;- Hospitality;- Penyediaan kamar;</t>
  </si>
  <si>
    <t>- Hotel bintang dua;Penginapan;Akomodasi;Jasa hotel;Penyediaan kamar;Perhotelan;</t>
  </si>
  <si>
    <t>Camping ground wisata alam;Area campervan;Bumi perkemahan pramuka;Eco camping park;Tempat wisata camping keluarg;</t>
  </si>
  <si>
    <t>Rumah kos;Kost;Boarding house;Co-living;Hunian bersama;Asrama pekerja;Mess karyawan;Worker dormitory;Student accommodation;Dormitory;Akomodasi pekerja;Akomodasi mahasiswa;Rumah sewa kamar;</t>
  </si>
  <si>
    <t>warung tenda;food truck;street food;gerobak makanan;stan makanan;makanan keliling;booth makanan;pop-up food stall;usaha makanan tidak permanen;</t>
  </si>
  <si>
    <t>rumah minum;kafe / cafe;coffee shop;beverage shop;tempat minum;kedai kopi modern;tea house / kedai teh;beverage bar (non-nightlife);tempat konsumsi minuman;</t>
  </si>
  <si>
    <t>kedai minuman;beverage stand;kios minuman;warung minuman;booth minuman;gerai minuman sederhana;minuman siap saji;coffee stand;juice stand;usaha minuman skala kecil;stand bisa dibongkar pasang atau dibawa pulang;</t>
  </si>
  <si>
    <t>Servis TV;Reparasi TV;Bengkel elektronik;Servis elektronik;Servis audio;Servis video;Servis speaker;Servis home theater;Servis radio;Servis DVD player;Servis Blu-ray player;Servis kamera video;Servis PlayStation;Servis Xbox;Servis game console;Pemasangan antena TV;</t>
  </si>
  <si>
    <t>penerbit jurnal ilmiah; jadwal siaran; siaran; majalah; buletin; tabloid? jurnal universitas;</t>
  </si>
  <si>
    <t>distribusi film;</t>
  </si>
  <si>
    <t>pemutaran film;</t>
  </si>
  <si>
    <t>linier; satu arah;</t>
  </si>
  <si>
    <t>siaran radio digital;</t>
  </si>
  <si>
    <t>siaran radio pemerintah;</t>
  </si>
  <si>
    <t>jejaring sosial;</t>
  </si>
  <si>
    <t>blockchain;</t>
  </si>
  <si>
    <t>konsultansi; keamanan siber;</t>
  </si>
  <si>
    <t>konsultasi komputer;</t>
  </si>
  <si>
    <t>Mengoperasikan; membangkitkan; menghasilkan;</t>
  </si>
  <si>
    <t>Menyalurkan; mendistribusikan;</t>
  </si>
  <si>
    <t>Menyimpan; mengonversi;</t>
  </si>
  <si>
    <t>Mengoperasikan; mengisi daya; menyediakan;</t>
  </si>
  <si>
    <t>Membangkitan; menyalurkan; menjual;</t>
  </si>
  <si>
    <t>Mengoperasikan;</t>
  </si>
  <si>
    <t>Mencatat; pencatatan; menagih;</t>
  </si>
  <si>
    <t>Mengolah; memproduksi; memurnikan;</t>
  </si>
  <si>
    <t>Menyalurkan; mendistribusikan; mengalirkan; memasok;</t>
  </si>
  <si>
    <t>Memproduksi; mendistribusikan;</t>
  </si>
  <si>
    <t>Menjual; perantara;</t>
  </si>
  <si>
    <t>Menampung; mengolah; mendistribusikan;</t>
  </si>
  <si>
    <t>Menyediakan; mengelola;</t>
  </si>
  <si>
    <t>Menyalurkan; mengirim; menyewakan; mendistribusikan;</t>
  </si>
  <si>
    <t>Mengumpulkan; mengangkut; membersihkan; menyedot;</t>
  </si>
  <si>
    <t>Mengolah; membersihkan; membuang;</t>
  </si>
  <si>
    <t>Mengumpulkan; memindahkan; menampung;</t>
  </si>
  <si>
    <t>Mengidentifikasi; menangani; mengemas; mengumpulkan;</t>
  </si>
  <si>
    <t>Mengumpulkan; menangani; mengemas;</t>
  </si>
  <si>
    <t>Mengolah; membakar;</t>
  </si>
  <si>
    <t>Mengolah; memproduksi;</t>
  </si>
  <si>
    <t>Mengolah; membuang; menimbun;</t>
  </si>
  <si>
    <t>Mengolah; membakar; menetralkan;</t>
  </si>
  <si>
    <t>Mengolah; menyimpan; memusnahkan; membuang;</t>
  </si>
  <si>
    <t>Memilah; mengolah; mendaur ulang;</t>
  </si>
  <si>
    <t>Menangkap; memisahkan;</t>
  </si>
  <si>
    <t>Menyimpan; menginjeksikan;</t>
  </si>
  <si>
    <t>Membersihkan; mendekontaminasi; mengelola;</t>
  </si>
  <si>
    <t>Mempekerjakan; mengasuh; membersihkan; menjaga; memasak; mengemudikan;</t>
  </si>
  <si>
    <t>Menanam; beternak; berburu; mengumpulkan; memproduksi; membuat;</t>
  </si>
  <si>
    <t>Memasak; mengajar; mendidik; merawat; menjaga; membersihkan;</t>
  </si>
  <si>
    <t>Mengoordinasikan; memfasilitasi; melaksanakan; mendukung; mengelola;</t>
  </si>
  <si>
    <t>Menyediakan kamar penginapan;Melayani reservasi tamu;Menyediakan layanan kebersihan kamar;Menyediakan restoran sederhana/café;Mengoperasikan layanan perhotelan dasar;</t>
  </si>
  <si>
    <t>Menyediakan kamar penginapan sederhana;Melayani tamu hotel;Mengelola reservasi kamar;Menyediakan layanan kebersihan kamar;Mengoperasikan fasilitas penginapan dasar;</t>
  </si>
  <si>
    <t>Menyediakan penginapan;Melayani tamu;Menyewakan kamar;Mengelola penginapan;Mengoperasikan hotel melati;</t>
  </si>
  <si>
    <t>Menyediakan akomodasi;Menyewakan penginapan;Mengelola penginapan wisata;Melayani tamu;Mengoperasikan akomodasi wisata;</t>
  </si>
  <si>
    <t>Menyediakan tempat perkemahan;Mengelola camping ground;Menyewakan area camping;Mengoperasikan bumi perkemahan;Melayani wisata berkemah;Menyediakan fasilitas karavan;</t>
  </si>
  <si>
    <t>Menyediakan akomodasi;Menyewakan vila;Mengelola vila wisata;Melayani tamu penginapan;Mengoperasikan vila;Menyediakan fasilitas inap;</t>
  </si>
  <si>
    <t>Menyediakan akomodasi;Mengelola apartemen hotel;Mengoperasikan condotel;Menyewakan unit;Menerima tamu;Melayani tamu;Membersihkan unit;Memasarkan penginapan;Mengelola reservasi;Menyediakan fasilitas menginap;</t>
  </si>
  <si>
    <t>menyediakan;menyewakan;mengelola;mengoperasikan;melayani;menyelenggarakan;menerima tamu;memfasilitasi penginapan;menjalankan usaha akomodasi;menawarkan jasa menginap;</t>
  </si>
  <si>
    <t>bumi perkemahan;camping ground;persinggahan karavan;taman karavan;akomodasi alam terbuka;tempat berkemah;caravan park;bivouac;shelter wisata alam;</t>
  </si>
  <si>
    <t>menyediakan;mengelola;mengoperasikan;menyewakan;menyelenggarakan;menerima tamu;menyediakan tempat tinggal sementara;</t>
  </si>
  <si>
    <t>jasa manajemen akomodasi;pengelolaan hotel;operator hotel;manajemen villa;pengelolaan resort;operator penginapan;hospitality management;management fee;pengelolaan operasional penginapan;</t>
  </si>
  <si>
    <t>menyediakan;mengelola;mengoperasikan;menyelenggarakan;memasak;menyajikan;menjual makanan dan minuman;melayani konsumen;menyediakan layanan restoran;</t>
  </si>
  <si>
    <t>menyediakan;mengelola;mengoperasikan;menyelenggarakan;menjual makanan;menyajikan makanan;melayani konsumen;berjualan makanan keliling;menyediakan layanan makanan siap saji;</t>
  </si>
  <si>
    <t>menyediakan;mengelola;mengoperasikan;menyajikan;menyiapkan;mendistribusikan;melayani;mengirimkan makanan;melaksanakan jasa catering;</t>
  </si>
  <si>
    <t>menyediakan;mengelola;mengoperasikan;menyelenggarakan;memasak;mendistribusikan;melayani;mengantarkan makanan;menjalankan jasa catering kontrak;</t>
  </si>
  <si>
    <t>menyediakan;mengelola;mengoperasikan;menyajikan;menjual minuman;melayani pelanggan;menghidangkan minuman;menjalankan usaha bar;</t>
  </si>
  <si>
    <t>menyediakan;mengelola;mengoperasikan;menyelenggarakan;menyajikan minuman;menyediakan hiburan malam;menjalankan usaha klub malam;mengadakan pertunjukan musik dan DJ;melayani konsumsi minuman di tempat;</t>
  </si>
  <si>
    <t>menyediakan;mengelola;mengoperasikan;menyajikan;meracik minuman;melayani pelanggan;menjual minuman;menjalankan usaha kafe / coffee shop;</t>
  </si>
  <si>
    <t>menyediakan;menjual;mengelola;mengoperasikan;meracik minuman;menyajikan minuman;melayani pelanggan;menjalankan usaha kedai minuman;</t>
  </si>
  <si>
    <t>menyediakan;mengelola;mengoperasikan;meracik;menyajikan;menjual;melayani;mengolah bahan herbal;menjalankan usaha kedai jamu;</t>
  </si>
  <si>
    <t>menyediakan;menjual;mengelola;mengoperasikan;meracik;mengedarkan;berjualan keliling;menyajikan minuman;menjalankan usaha minuman mobile;</t>
  </si>
  <si>
    <t>mempertemukan;menyediakan platform;mengelola sistem pemesanan;memfasilitasi reservasi;menghubungkan pelanggan dan vendor;mengatur booking restoran;mengelola layanan intermediasi;menyediakan marketplace makanan;</t>
  </si>
  <si>
    <t>menyelenggarakan;mengelola;melaksanakan;membina;memfasilitasi;mengadakan;menjalankan kegiatan dakwah;memberikan pelayanan keagamaan;menyebarluaskan syiar Islam;</t>
  </si>
  <si>
    <t>menyelenggarakan;mengelola;melaksanakan;membina;memfasilitasi;memberikan pelayanan rohani;mengadakan ibadah;menjalankan kegiatan sosial keagamaan;menyebarluaskan ajaran Kristen;</t>
  </si>
  <si>
    <t>menyelenggarakan;mengelola;membina;mewakili;memperjuangkan;memberikan advokasi;melakukan mediasi;melindungi hak pekerja;memfasilitasi hubungan industrial;</t>
  </si>
  <si>
    <t>Menyelenggarakan kegiatan keagamaan;Membina umat/jamaah;Mengelola organisasi keagamaan;Melayani kegiatan ibadah;Menyebarkan ajaran agama;Menyelenggarakan retreat keagamaan;Menyediakan layanan keagamaan;</t>
  </si>
  <si>
    <t>Menyelenggarakan pendidikan politik;Melaksanakan kaderisasi anggota;Mengorganisasi kegiatan politik;Menggalang dukungan masyarakat;Melakukan sosialisasi program politik;Mengadvokasi kebijakan publik;Mengelola organisasi politik;Menyelenggarakan rapat dan musyawarah politik;Melakukan kampanye politik (sesuai peraturan);Mengembangkan partisipasi politik masyarakat;</t>
  </si>
  <si>
    <t>Menyelenggarakan kegiatan sosial;Menghimpun anggota;Melakukan advokasi masyarakat;Memberikan bantuan sosial;Mengelola organisasi kemasyarakatan;Menggalang partisipasi masyarakat;Melaksanakan kegiatan kepemudaan;Mengembangkan kegiatan lingkungan;Menyelenggarakan kegiatan sukarela;Membina komunitas;</t>
  </si>
  <si>
    <t>Memperbaiki;Mereparasi;Memelihara;Menginstal;Mengganti komponen;Menguji perangkat;Mengonfigurasi;Mendiagnosis kerusakan;Melakukan troubleshooting;Mengoptimalkan kinerja perangkat;</t>
  </si>
  <si>
    <t>Memperbaiki;Mereparasi;Memelihara;Menguji;Mengganti komponen;Menginstal;Mengkalibrasi;Mendiagnosis kerusakan;Melakukan troubleshooting;Merawat perangkat elektronik;</t>
  </si>
  <si>
    <t>Memperbaiki;Mereparasi;Memelihara;Merestorasi;Melapisi ulang;Mengecat ulang;Memasang;Merakit;Mengganti komponen;Memulihkan kondisi furnitur;</t>
  </si>
  <si>
    <t>Memperbaiki;Memvermak;Menjahit;Mengubah ukuran;Memodifikasi;Mengecilkan;Membesarkan;Memendekkan;Memanjangkan;Mengganti resleting;Mengganti kancing;Menyesuaikan pakaian;</t>
  </si>
  <si>
    <t>Memperbaiki;Mereparasi;Memelihara;Menyetem;Mengganti komponen;Mengelas;Menambal;Memoles;Mengubah (alterasi);Menduplikasi kunci;Merawat;Mengembalikan fungsi barang;</t>
  </si>
  <si>
    <t>Memperbaiki;Mereparasi;Memelihara;Menservis;Mendiagnosis;Mengganti komponen;Memasang aksesori;Mengecat;Menyetel;Menguji kendaraan;Melakukan tune up;Melakukan spooring;Melakukan balancing;Melakukan overhaul;</t>
  </si>
  <si>
    <t>Mencuci;Membersihkan;Memoles;Menyemir;Melapisi;Merawat;Menyedot debu;Mengeringkan;Melakukan detailing;Memasang aksesori;Mengilapkan;Menjaga kebersihan kendaraan;</t>
  </si>
  <si>
    <t>Memperbaiki;Mereparasi;Menservis;Memelihara;Mendiagnosis;Mengganti suku cadang;Mengganti oli;Menyetel;Menguji kendaraan;Melakukan tune up;Melakukan overhaul;Memasang aksesori;</t>
  </si>
  <si>
    <t>Memperbaiki;Mereparasi;Memelihara;Menyetel;Mengganti komponen;Mengelas;Merakit;Membongkar;Memasang;Menguji fungsi peralatan;Merawat;Mengembalikan fungsi alat transportasi;</t>
  </si>
  <si>
    <t>Melatih;Membimbing;Mendampingi;Mengarahkan;Menginstruksikan;Mengembangkan program latihan;Mengevaluasi kebugaran;Mengawasi latihan;Memberikan konsultasi kebugaran;Meningkatkan kebugaran fisik;</t>
  </si>
  <si>
    <t>Mencuci;Membersihkan;Melaundry;Melakukan dry cleaning;Menyetrika;Mengeringkan;Melipat;Menghilangkan noda;Merawat tekstil;Mengemas pakaian hasil laundry;</t>
  </si>
  <si>
    <t>Merawat;Memandikan;Membersihkan;Mencukur;Menyisir;Memotong kuku;Menitipkan;Memelihara;Melatih;Mendampingi;Mengurus;Menjaga kesehatan dan kebersihan hewan;</t>
  </si>
  <si>
    <t>Menguburkan;Mengkremasi;Mengelola;Memelihara;Menyelenggarakan;Menyediakan;Mengurus;Memindahkan makam;Membersihkan makam;Merawat area pemakaman;Mengangkut jenazah;</t>
  </si>
  <si>
    <t>Memberikan layanan;Melayani;Menato;Menindik;Meramal;Mengkonsultasikan;Mendampingi;Menyemir;Menelusuri;Menyusun;Membantu kebutuhan pribadi pelanggan;</t>
  </si>
  <si>
    <t>Mempekerjakan;Mengupah;Mengontrak;Menugaskan;Mengelola tenaga domestik;Memberikan pekerjaan;Menyediakan pekerjaan rumah tangga;Mengawasi pekerjaan domestik;</t>
  </si>
  <si>
    <t>Melayani;Membantu;Mendampingi;Mengurus;Menyelenggarakan;Mengelola;Memfasilitasi;Memberikan konsultasi;Menyediakan layanan;Mengoordinasikan;</t>
  </si>
  <si>
    <t>menerbitkan buku telepon; mencetak foto; mencetak poster; mencetak ukiran; mencetak kalender; membuat piala masuk 32909 (industri);</t>
  </si>
  <si>
    <t>melakukan pendistribusian film; video; atau karya audiovisual; memproduksi karya sejenis untuk bioskop gambar bergerak; film layar lebar; pameran.;</t>
  </si>
  <si>
    <t>penerbitan musik; label musik; pengurusan hak cipta lagu; pemberian izin penggunaan musik;</t>
  </si>
  <si>
    <t>menyiarkan informasi dengan media radio milik pemerintah;</t>
  </si>
  <si>
    <t>pencarian; pengumpulan; pengolahan;dan penyebarluasan berita oleh swasta melalui media (baik cetak maupun elektronik); penerbit; atau penyiar; dengan tujuan untuk menyampaikannya kepada masyarakat sebagai informasi;</t>
  </si>
  <si>
    <t>pengoperasioan; pemeliharaan; penyediaan jaringan telekomunikasi menggunakan infrastruktur telekomunikasi yang memanfaatkan gelompang elektromagnetik untuk transmisi suara; data; teks; audio; dan vidio di permukaan bumi;</t>
  </si>
  <si>
    <t>menyediakan layanan telekomunikasi push; push sms;</t>
  </si>
  <si>
    <t>mengembangkan/ membuat aplikasi yang mendukung transaksi perdagangan;</t>
  </si>
  <si>
    <t>mengembangkan perangkat lunak aplikasi berbasis media imersif; membuat program; programming;</t>
  </si>
  <si>
    <t>mengembangkan perangkat lunak aplikasi berbasis teknologi blockchain; membuat program; programming;</t>
  </si>
  <si>
    <t>mengembangkan sistem perangkat lunak; mengembangkan aplikasi; membuat aplikasi; membuat website; mengembangkan sistem keamanan siber;</t>
  </si>
  <si>
    <t>memberikan jasa konsultasi di bidang keamanan siber; merencanakan dan mengawasi keamanan informasi; menjadmin keamanan siber; menyusun kebijakan dan prosedur keamanan informasi;</t>
  </si>
  <si>
    <t>Menyediakan atau menerbitkan sertifikasi elektronik dan jasa terkait; menyediakan jasa berbasis teknologi kriptografi;</t>
  </si>
  <si>
    <t>menyediakan jasa konsultansi; perancangan; dan pembuatan solusi sistem terintegrasi berdasarkan pesanan. Memodifikasi perangkat keras IoT;</t>
  </si>
  <si>
    <t>menyediakan konsultasi; memeberikan jasa konsultasi komputer yang lebih umum.;</t>
  </si>
  <si>
    <t>membantu orang mencari informasi;mengumpulkan informasi;menampilkan informasi;mengarahkan ke situs lain;menyediakan database/portal;</t>
  </si>
  <si>
    <t>Batu bara; gas alam; minyak bumi; gambut; BBM fosil;</t>
  </si>
  <si>
    <t>Nuklir; hidrogen; amonia;</t>
  </si>
  <si>
    <t>Air; angin; sinar matahari; biomassa; panas bumi;</t>
  </si>
  <si>
    <t>Energi listrik;</t>
  </si>
  <si>
    <t>Energi listrik; baterai;</t>
  </si>
  <si>
    <t>Instalasi penyediaan tenaga listrik;</t>
  </si>
  <si>
    <t>Instalasi pemanfaatan tenaga listrik;</t>
  </si>
  <si>
    <t>Data meteran; sistem listrik; Data pemakaian listrik;</t>
  </si>
  <si>
    <t>Gas alam; batubara; biomassa;</t>
  </si>
  <si>
    <t>Gas alam; gas buatan;</t>
  </si>
  <si>
    <t>Air; energi panas;</t>
  </si>
  <si>
    <t>Air; air murni;</t>
  </si>
  <si>
    <t>Tenaga listrik; token listrik; layanan kelistrikan;</t>
  </si>
  <si>
    <t>Air permukaan; air tanah; air laut;</t>
  </si>
  <si>
    <t>Air baku;</t>
  </si>
  <si>
    <t>Air bersih; jaringan distribusi air;</t>
  </si>
  <si>
    <t>Air limbah rumah tangga; limbah cair industri; isi tangki septik;</t>
  </si>
  <si>
    <t>Air limbah;</t>
  </si>
  <si>
    <t>Sampah rumah tangga;</t>
  </si>
  <si>
    <t>Limbah B3; sampah berbahaya;</t>
  </si>
  <si>
    <t>Limbah radioaktif;</t>
  </si>
  <si>
    <t>Sampah organik;</t>
  </si>
  <si>
    <t>Limbah B3; Limbah medis; oli bekas; limbah kimia; aki bekas; baterai bekas;</t>
  </si>
  <si>
    <t>Besi tua; baja bekas; aluminium bekas; tembaga bekas; aki bekas; kaleng bekas;</t>
  </si>
  <si>
    <t>Botol plastik bekas; gelas plastik bekas; plastik kemasan;</t>
  </si>
  <si>
    <t>Kertas bekas; kaca; Barang bekas campuran;</t>
  </si>
  <si>
    <t>Emisi karbon;</t>
  </si>
  <si>
    <t>Karbon terkompresi; Karbon hasil penangkapan karbon;</t>
  </si>
  <si>
    <t>Limbah; sampah; polutan;</t>
  </si>
  <si>
    <t>Tenaga kerja rumah tangga (PRT);</t>
  </si>
  <si>
    <t>Benih; tanaman; ternak; bahan pangan; bahan baku rumah tangga;</t>
  </si>
  <si>
    <t>Tenaga kerja anggota rumah tangga; peralatan rumah tangga;</t>
  </si>
  <si>
    <t>Dana; program; bantuan; kerja sama internasional;</t>
  </si>
  <si>
    <t>Mengacu ke KBLI;</t>
  </si>
  <si>
    <t>Tenaga listik; Energi listrik;</t>
  </si>
  <si>
    <t>Distribusi tenaga listrik; jasa penyaluran;</t>
  </si>
  <si>
    <t>Energi listrik tersimpan; Jasa penyimpanan tenaga listrik;</t>
  </si>
  <si>
    <t>Jasa pengisian daya;</t>
  </si>
  <si>
    <t>Penyediaan tenaga listrik;</t>
  </si>
  <si>
    <t>Jasa operasi instalasi listrik;</t>
  </si>
  <si>
    <t>Jasa penunjang listrik;</t>
  </si>
  <si>
    <t>Gas bahan bakar; gas alam olahan;</t>
  </si>
  <si>
    <t>Distribusi gas;</t>
  </si>
  <si>
    <t>Uap; air panas; udara dingin;</t>
  </si>
  <si>
    <t>Es batu; es balok; es kristal;</t>
  </si>
  <si>
    <t>Jasa broker atau agen penjualan tenaga listrik;</t>
  </si>
  <si>
    <t>Jasa broker atau agen penjualan gas;</t>
  </si>
  <si>
    <t>Air minum;</t>
  </si>
  <si>
    <t>Jasa penunjang penyediaan air;</t>
  </si>
  <si>
    <t>Air limbah terkumpul; Jasa pengumpulan dan pengangkutan air limbah;</t>
  </si>
  <si>
    <t>Air limbah terolah; jasa pengolahan air limbah;</t>
  </si>
  <si>
    <t>Sampah terkumpul;</t>
  </si>
  <si>
    <t>Limbah berbahaya terkumpul; Jasa pengumpulan limbah B3 nonradioaktif;</t>
  </si>
  <si>
    <t>Limbah radioaktif terkumpul; Jasa pengumpulan limbah radioaktif;</t>
  </si>
  <si>
    <t>Energi; abu; residu;</t>
  </si>
  <si>
    <t>Kompos;</t>
  </si>
  <si>
    <t>Jasa pengolahan limbah/sampah;</t>
  </si>
  <si>
    <t>Limbah aman terolah; Jasa pengolahan dan pembuangan limbah B3;</t>
  </si>
  <si>
    <t>Limbah radioaktif terkelola; Jasa pengolahan dan pembuangan limbah radioaktif;</t>
  </si>
  <si>
    <t>Bahan baku logam sekunder;</t>
  </si>
  <si>
    <t>Biji plastik daur ulang; cacahan plastik; bahan baku plastik daur ulang;</t>
  </si>
  <si>
    <t>Bahan baku sekunder;</t>
  </si>
  <si>
    <t>Karbon tertangkap;</t>
  </si>
  <si>
    <t>Jasa penyimpanan karbon; karbon tersimpan permanen;</t>
  </si>
  <si>
    <t>Jasa remediasi dan pemulihan lingkungan;</t>
  </si>
  <si>
    <t>Jasa pekerjaan rumah tangga;</t>
  </si>
  <si>
    <t>Barang untuk konsumsi sendiri;</t>
  </si>
  <si>
    <t>Jasa rumah tangga untuk kebutuhan sendiri;</t>
  </si>
  <si>
    <t>Jasa kelembagaan internasional;</t>
  </si>
  <si>
    <t>Jasa penginapan hotel bintang dua;Jasa akomodasi hotel;Penyewaan kamar hotel;Jasa perhotelan;Jasa hospitality;</t>
  </si>
  <si>
    <t>Jasa penginapan hotel bintang satu;Jasa akomodasi hotel;Penyewaan kamar;Jasa perhotelan sederhana;</t>
  </si>
  <si>
    <t>Jasa penginapan hotel melati;Jasa akomodasi sederhana;Penyewaan kamar harian;Jasa losmen/penginapan;</t>
  </si>
  <si>
    <t>Jasa akomodasi jangka pendek;Jasa penginapan wisata;Penyewaan cottage/villa/bungalow;Jasa inap wisata;</t>
  </si>
  <si>
    <t>Jasa bumi perkemahan;Jasa camping ground;Jasa penyediaan tempat karavan;Jasa akomodasi perkemahan;Penyewaan area camping;</t>
  </si>
  <si>
    <t>Jasa penyewaan vila;Jasa akomodasi vila;Jasa penginapan wisata;Penyewaan rumah liburan;Jasa inap harian;</t>
  </si>
  <si>
    <t>Jasa akomodasi jangka pendek;Jasa penginapan harian;Jasa sewa vila;Jasa sewa apartemen harian;Jasa sewa cottage;Jasa pengelolaan rumah liburan;Jasa penyewaan bungalow;</t>
  </si>
  <si>
    <t>jasa sewa kamar harian;jasa menginap wisata;penyewaan cabin/glamping;layanan hostel backpacker;paket staycation;penyewaan tempat tidur kapsul;layanan breakfast tambahan;penyewaan area camping eksklusif;</t>
  </si>
  <si>
    <t>menyediakan;mengelola;mengoperasikan;menyewakan;menyelenggarakan;memfasilitasi;menerima wisatawan;menyediakan area camping;</t>
  </si>
  <si>
    <t>Jasa akomodasi asrama;Jasa penginapan asrama;Jasa penyediaan tempat tinggal sementara;Jasa pengelolaan dormitori;Jasa akomodasi mahasiswa;Jasa akomodasi pekerja;</t>
  </si>
  <si>
    <t>restoran;rumah makan;cafe;kantin;kafetaria;restoran cepat saji;take away;dine in;food service;penyediaan makanan;</t>
  </si>
  <si>
    <t>makanan siap saji;minuman siap konsumsi;layanan makanan keliling;makanan street food;layanan food truck;makanan bazar/event;makanan takeaway;</t>
  </si>
  <si>
    <t>makanan siap saji untuk event;paket catering (prasmanan / box);minuman event;layanan penyajian makanan;layanan pramusaji (waiter event);logistik makanan ke lokasi acara;</t>
  </si>
  <si>
    <t>;Jasa penyediaan makanan berdasarkan kontrak;Jasa pengelolaan kantin;Jasa katering industri;Jasa katering institusi;Makanan siap santap untuk karyawan;Makanan siap santap untuk siswa;Makanan siap santap untuk pasien;Jasa food service management;</t>
  </si>
  <si>
    <t>layanan hiburan malam;penjualan minuman (utama);akses tempat hiburan (entry/cover charge);pertunjukan DJ / musik live;layanan VIP / table service;pengalaman entertainment malam;</t>
  </si>
  <si>
    <t>Minuman siap konsumsi;Teh siap minum;Jus buah segar;Bubble tea (boba);Smoothies;Minuman cokelat;Minuman sari buah;Minuman kesehatan;Minuman nonalkohol siap saji;</t>
  </si>
  <si>
    <t>Minuman jamu siap konsumsi;Minuman herbal siap minum;Jamu tradisional;Minuman obat bahan alam;Minuman rempah;Jasa penyediaan minuman herbal;</t>
  </si>
  <si>
    <t>minuman siap konsumsi;minuman tradisional / herbal;layanan penjualan keliling;minuman event sementara;produk minuman UMKM;</t>
  </si>
  <si>
    <t>Jasa reservasi restoran;Jasa intermediasi katering;Jasa pemesanan meja restoran;Jasa marketplace makanan dan minuman;Jasa penghubung pelanggan dengan penyedia makanan;Komisi intermediasi makanan dan minuman;</t>
  </si>
  <si>
    <t>Jasa organisasi profesi;Jasa pengembangan profesi;Seminar dan konferensi profesi;Publikasi ilmiah;Standar profesi;Kode etik profesi;Sertifikat keanggotaan;Jasa advokasi profesi;</t>
  </si>
  <si>
    <t>Jasa organisasi profesi;Jasa pengembangan profesi;Seminar ilmiah;Konferensi teknologi;Pelatihan profesi;Sertifikasi profesi;Publikasi ilmiah;Standar profesi;Kode etik profesi;Jasa advokasi profesi;</t>
  </si>
  <si>
    <t>advokasi pekerja;perlindungan hak tenaga kerja;perjanjian kerja bersama (PKB);pembinaan hubungan industrial;pendidikan dan pelatihan pekerja;pelayanan organisasi anggota;</t>
  </si>
  <si>
    <t>Jasa pelayanan keagamaan;Jasa penyelenggaraan kegiatan ibadah;Jasa pembinaan umat/jamaah;Jasa retreat keagamaan;Jasa pemakaman keagamaan;Layanan organisasi keagamaan;</t>
  </si>
  <si>
    <t>Jasa organisasi politik;Jasa pendidikan politik;Jasa kaderisasi politik;Jasa advokasi kebijakan;Jasa sosialisasi politik;Jasa pengelolaan organisasi politik;Layanan representasi kepentingan politik anggota;</t>
  </si>
  <si>
    <t>Jasa organisasi kemasyarakatan;Jasa advokasi masyarakat;Jasa pemberdayaan masyarakat;Jasa pembinaan anggota;Jasa kegiatan kepemudaan;Jasa perlindungan konsumen;Jasa kegiatan lingkungan hidup;Jasa kegiatan sukarelawan dan filantropi;</t>
  </si>
  <si>
    <t>Jasa reparasi komputer;Jasa servis laptop;Jasa pemeliharaan komputer;Jasa perbaikan printer;Jasa instalasi perangkat komputer;Jasa troubleshooting perangkat TI;Jasa pemeliharaan server;Jasa perbaikan perangkat pendukung komputer;</t>
  </si>
  <si>
    <t>Jasa servis AC;Jasa perbaikan kulkas;Jasa servis mesin cuci;Jasa reparasi kompor;Jasa perbaikan dispenser;Jasa servis vacuum cleaner;Jasa pemeliharaan peralatan rumah tangga;Jasa reparasi peralatan rumah dan kebun;</t>
  </si>
  <si>
    <t>Jasa reparasi sepatu;Jasa servis tas;Jasa perbaikan koper;Jasa perbaikan sandal;Jasa reparasi barang kulit;Jasa penggantian sol sepatu;Jasa penggantian tumit sepatu;Jasa pemeliharaan barang kulit;</t>
  </si>
  <si>
    <t>Jasa reparasi furnitur;Jasa servis sofa;Jasa perbaikan meja dan kursi;Jasa restorasi furnitur;Jasa finishing furnitur;Jasa perawatan perabot rumah tangga;Jasa perbaikan perabot kantor;Jasa perakitan furnitur;</t>
  </si>
  <si>
    <t>Jasa vermak pakaian;Jasa alterasi pakaian;Jasa perbaikan pakaian;Jasa modifikasi pakaian;Jasa penyesuaian ukuran pakaian;Jasa penggantian resleting dan kancing;</t>
  </si>
  <si>
    <t>Jasa reparasi sepeda;Jasa servis jam tangan;Jasa reparasi perhiasan;Jasa duplikasi kunci;Jasa perbaikan alat musik;Jasa penyeteman piano;Jasa reparasi alat olahraga;Jasa reparasi mainan;Jasa perbaikan barang pribadi;Jasa pemeliharaan perlengkapan rumah tangga lainnya;</t>
  </si>
  <si>
    <t>Jasa reparasi mobil;Jasa servis mobil;Jasa perawatan kendaraan roda empat;Jasa body repair;Jasa pengecatan mobil;Jasa servis AC mobil;Jasa penggantian ban;Jasa perbaikan sistem kelistrikan mobil;Jasa perawatan mesin mobil;</t>
  </si>
  <si>
    <t>Jasa pencucian mobil;Jasa salon mobil;Jasa detailing mobil;Jasa poles mobil;Jasa perawatan interior mobil;Jasa coating kendaraan;Jasa pembersihan kendaraan roda empat;Jasa pemasangan aksesori mobil ringan;</t>
  </si>
  <si>
    <t>Jasa reparasi sepeda motor;Jasa servis sepeda motor;Jasa pemeliharaan sepeda motor;Jasa tune up motor;Jasa servis injeksi;Jasa perbaikan kelistrikan motor;Jasa penggantian suku cadang motor;Jasa perawatan motor listrik;</t>
  </si>
  <si>
    <t>Jasa reparasi sepeda;Jasa servis sepeda listrik;Jasa perbaikan becak;Jasa reparasi kursi roda;Jasa perbaikan gerobak;Jasa pemeliharaan alat transportasi tidak bermotor;Jasa penggantian komponen sepeda;Jasa servis peralatan transportasi lainnya;</t>
  </si>
  <si>
    <t>Jasa pelatihan kebugaran;Jasa personal trainer;Jasa instruktur senam;Jasa instruktur yoga;Jasa instruktur pilates;Jasa konsultasi kebugaran;Jasa pendampingan latihan fisik;Jasa pembinaan kebugaran;</t>
  </si>
  <si>
    <t>Jasa grooming hewan;Jasa penitipan hewan;Jasa perawatan hewan peliharaan;Jasa pelatihan hewan peliharaan;Jasa pet day care;Jasa pet hotel;Jasa kebersihan hewan peliharaan;Jasa pemeliharaan hewan peliharaan;</t>
  </si>
  <si>
    <t>Jasa pemakaman;Jasa kremasi;Jasa pengelolaan pemakaman;Jasa pemeliharaan makam;Jasa pengangkutan jenazah;Jasa penyelenggaraan pemakaman;Jasa penyediaan lahan makam;Jasa pemakaman hewan;</t>
  </si>
  <si>
    <t>Jasa tato;Jasa tindik;Jasa peramalan;Jasa astrologi;Jasa biro jodoh;Jasa semir sepatu;Jasa pendamping pribadi;Jasa penyusunan silsilah keluarga;Jasa perorangan lainnya;</t>
  </si>
  <si>
    <t>Jasa asisten rumah tangga;Jasa pengasuh anak;Jasa sopir pribadi;Jasa tukang kebun rumah tangga;Jasa penjaga rumah;Jasa juru masak rumah tangga;Jasa perawatan lansia di rumah;Jasa personel domestik lainnya;</t>
  </si>
  <si>
    <t>Jasa pendampingan pribadi;Jasa pengurusan administrasi pribadi;Jasa asisten pribadi;Jasa concierge;Jasa konsultasi etiket;Jasa layanan perorangan lainnya;</t>
  </si>
  <si>
    <t>apakah jurnal ilmiah maksudnya??;</t>
  </si>
  <si>
    <t>konten pada profil pengguna medsos; platform distribusi game online (non publisher); buku online yang tidak terkait penerbit;</t>
  </si>
  <si>
    <t>tower BTS;</t>
  </si>
  <si>
    <t>Sertifikat elektronik;</t>
  </si>
  <si>
    <t xml:space="preserve"> Menyediakan akomodasi; Melayani tamu; Mengelola hotel; Menyelenggarakan penginapan; Menawarkan fasilitas perhotelan; Mengoperasikan hotel berbintang; Menyewakan kamar;</t>
  </si>
  <si>
    <t xml:space="preserve"> Menyediakan akomodasi; Mengoperasikan hotel; Melayani penginapan; Mengelola reservasi; Menyelenggarakan layanan perhotelan;</t>
  </si>
  <si>
    <t xml:space="preserve"> Menyediakan kamar penginapan hotel; Melayani reservasi dan tamu hotel; Menyediakan restoran/café hotel; Menyelenggarakan ruang rapat sederhana; Mengoperasikan layanan laundry dan room service; Menyediakan fasilitas rekreasi dasar;</t>
  </si>
  <si>
    <t>penyediaan akomodasi lainnya;rumah kos;coliving;communal living;asrama pekerja;asrama pelajar;dormitory;penginapan sementara;akomodasi pekerja musiman;</t>
  </si>
  <si>
    <t>membuat konten di sosmed; membuat konten di situs blog; wiki; situs game; membuat ebook atau buku elektronik yang tidak terkait dengan kegiatan penerbitan; (apakah semua kegiatan ini harus ada duitnya dulu baru dianggap usaha?);</t>
  </si>
  <si>
    <t>Sampah nonB3; sampah rumah tangga; sampah pasar;</t>
  </si>
  <si>
    <t>Limbah nonB3; Sampah rumah tangga; sampah pasar;</t>
  </si>
  <si>
    <t xml:space="preserve"> Jasa penginapan hotel bintang lima; Jasa akomodasi premium; Penyewaan kamar hotel mewah; Jasa pelayanan hospitality; Jasa penyelenggaraan konferensi dan acara; Jasa makanan dan minuman hotel; Jasa spa dan rekreasi hotel; Paket menginap/resort; Layanan room service dan concierge; Fasilitas perhotelan berbintang lima;</t>
  </si>
  <si>
    <t xml:space="preserve"> Jasa penginapan hotel bintang empat; Jasa akomodasi hotel; Jasa perhotelan; Penyewaan kamar hotel; Jasa hospitality;</t>
  </si>
  <si>
    <t xml:space="preserve"> Jasa penginapan hotel bintang tiga; Jasa akomodasi hotel; Jasa perhotelan; Penyewaan kamar hotel; Jasa hospitality;</t>
  </si>
  <si>
    <t>Jasa penyewaan kamar kos;Jasa akomodasi asrama pekerja;Jasa pengelolaan mess karyawan;Jasa penyediaan coliving;Jasa akomodasi mahasiswa;Jasa penyediaan tempat tinggal sementara;</t>
  </si>
  <si>
    <t>minuman siap saji (cocktail; juice; beer);layanan konsumsi di tempat (dinein beverage service);snack ringan pendamping minuman;pengalaman hiburan malam (entertainment service);pelayanan bartender;</t>
  </si>
  <si>
    <t>minuman siap konsumsi (coffee; tea; juice);makanan ringan (pastry; snack);layanan dinein café;takeaway minuman;layanan barista / beverage service;</t>
  </si>
  <si>
    <t>Jasa reparasi televisi;Jasa servis radio;Jasa perbaikan perangkat audiovideo;Jasa servis home theater;Jasa perbaikan kamera video;Jasa reparasi konsol permainan video;Jasa pemasangan antena TV;Jasa pemeliharaan alat elektronik konsumen;</t>
  </si>
  <si>
    <t>buku; brosur/booklet ilmiah/edukasi; kamus; ensiklopedia; atlas; peta; grafik; buku elektronik; ebook; ebook; komik; novel; buku audio audio book;</t>
  </si>
  <si>
    <t>DIGITAL (INDUSTRY)</t>
  </si>
  <si>
    <t>GREEN (ECONOMY)</t>
  </si>
  <si>
    <t>PLTN; Pembangkit Hidrogen;</t>
  </si>
  <si>
    <t>Sangat Jarang Ditemukan</t>
  </si>
  <si>
    <t>Instalasi Pengolahan Air Limbah (IPAL); Pengelolaan dan pembersihan saluran air limbah oleh Pemda; IPAL PT RAPP;</t>
  </si>
  <si>
    <t>Pengumpul oli bekas, aki dan baterai bekas bengkel; pengumpul limbah medis rumah sakit; pengumpul aki; TPS limbah B3 industri;</t>
  </si>
  <si>
    <t>Pengumpulan limbah radioaktif rumah sakit/laboratorium penelitian; jasa pengangkutan limbah radioaktif berizin;</t>
  </si>
  <si>
    <t>Pembangkit listrik tenaga biogas (PLTBg); instalasi biogas limbah sawit; fasilitas pengolahan sampah menjadi RDF;</t>
  </si>
  <si>
    <t>PT Tenang Jaya Sejahtera Dumai; pengolah limbah medis rumah sakit; Pengolah limbah B3;</t>
  </si>
  <si>
    <t>Fasilitas limbah radioaktif medis atau laboratorium penelitian;</t>
  </si>
  <si>
    <t>Pabrik daur ulang kertas;Usaha pembongkaran elektronik bekas;pembongkaran aki bekas;</t>
  </si>
  <si>
    <t>Proyek CCUS di Blok Rokan;fasilitas penangkapan karbon industri migas;Proyek penyimpanan karbon (carbon storage);</t>
  </si>
  <si>
    <t>Penyimpanan karbon pada reservoir migas Blok Rokan;fasilitas CCS sektor migas;</t>
  </si>
  <si>
    <t>Jasa remediasi lingkungan; penyemprotan kuman;</t>
  </si>
  <si>
    <t>kantor pusat Penerbit Erlangg ; Penerbit Gramedia Pustaka Utama; Mizan; Elex Media Komputindo; riau : Zanafa publishing;</t>
  </si>
  <si>
    <t>Riau Camper Park;Bono RV Camp;Kampar Caravan Area;Pelalawan Camper Ground;Riau Motorhome Park</t>
  </si>
  <si>
    <t>REPARASI DAN PEMELIHARAAN PERALATAN RUMAH TANGGA DAN PERALATAN RUMAH DAN KEBUN</t>
  </si>
  <si>
    <t>REPARASI DAN PEMELIHARAAN BARANG KEPERLUAN PRIBADI DAN PERLENGKAPAN RUMAH TANGGA LAINNYA</t>
  </si>
  <si>
    <t>badan internasional ; organisasi internasional; perwakilan UNDP; WHO; UNICEF;</t>
  </si>
  <si>
    <t>Aktivitas rumah minum/kafe; oziq smoothies; chatime; warung jus; Kopi kenangan; tomoro; fore; Coffee shop modern yang makanannya sedikit/hanya snack; starbucks; jual jus di depan rumah; oziq smoothies; jual pop ice di depan rumah sendiri; mixue; momoyo</t>
  </si>
  <si>
    <t>rumah minum;kafe / cafe;coffee shop;beverage shop;tempat minum;kedai kopi modern;tea house / kedai teh;beverage bar (non-nightlife);tempat konsumsi minuman; ice cream &amp; tea; es krim dan the;</t>
  </si>
</sst>
</file>

<file path=xl/styles.xml><?xml version="1.0" encoding="utf-8"?>
<styleSheet xmlns="http://schemas.openxmlformats.org/spreadsheetml/2006/main" xmlns:mc="http://schemas.openxmlformats.org/markup-compatibility/2006" xmlns:x14ac="http://schemas.microsoft.com/office/spreadsheetml/2009/9/ac" mc:Ignorable="x14ac">
  <fonts count="23" x14ac:knownFonts="1">
    <font>
      <sz val="11"/>
      <color theme="1"/>
      <name val="Calibri"/>
      <family val="2"/>
      <scheme val="minor"/>
    </font>
    <font>
      <b/>
      <sz val="11"/>
      <color theme="1"/>
      <name val="Calibri"/>
      <family val="2"/>
      <scheme val="minor"/>
    </font>
    <font>
      <sz val="11"/>
      <color theme="1"/>
      <name val="Calibri"/>
      <family val="2"/>
    </font>
    <font>
      <b/>
      <sz val="11"/>
      <color theme="1"/>
      <name val="Calibri"/>
      <family val="2"/>
    </font>
    <font>
      <sz val="10"/>
      <color theme="1"/>
      <name val="Calibri"/>
      <family val="2"/>
      <scheme val="minor"/>
    </font>
    <font>
      <sz val="10"/>
      <color theme="1"/>
      <name val="Arial"/>
      <family val="2"/>
    </font>
    <font>
      <u/>
      <sz val="10"/>
      <color rgb="FF0000FF"/>
      <name val="Arial"/>
      <family val="2"/>
    </font>
    <font>
      <sz val="10"/>
      <color rgb="FFFF0000"/>
      <name val="Arial"/>
      <family val="2"/>
    </font>
    <font>
      <sz val="11"/>
      <color theme="1"/>
      <name val="Calibri"/>
      <family val="2"/>
    </font>
    <font>
      <b/>
      <sz val="11"/>
      <color theme="1"/>
      <name val="Calibri"/>
      <family val="2"/>
    </font>
    <font>
      <sz val="9"/>
      <color rgb="FF000000"/>
      <name val="Calibri"/>
      <family val="2"/>
      <scheme val="minor"/>
    </font>
    <font>
      <sz val="12"/>
      <color rgb="FF000000"/>
      <name val="Calibri"/>
      <family val="2"/>
      <scheme val="minor"/>
    </font>
    <font>
      <b/>
      <sz val="9"/>
      <color rgb="FF000000"/>
      <name val="Calibri"/>
      <family val="2"/>
      <scheme val="minor"/>
    </font>
    <font>
      <sz val="10"/>
      <color theme="1"/>
      <name val="Calibri"/>
      <family val="2"/>
      <scheme val="minor"/>
    </font>
    <font>
      <sz val="10"/>
      <color rgb="FF000000"/>
      <name val="Calibri"/>
      <family val="2"/>
      <scheme val="minor"/>
    </font>
    <font>
      <sz val="10"/>
      <name val="Calibri"/>
      <family val="2"/>
      <scheme val="minor"/>
    </font>
    <font>
      <b/>
      <sz val="10"/>
      <name val="Calibri"/>
      <family val="2"/>
      <scheme val="minor"/>
    </font>
    <font>
      <sz val="10"/>
      <color theme="1"/>
      <name val="Arial"/>
      <family val="2"/>
    </font>
    <font>
      <sz val="10"/>
      <name val="Calibri"/>
      <family val="2"/>
      <scheme val="minor"/>
    </font>
    <font>
      <sz val="10"/>
      <name val="Calibri"/>
      <family val="2"/>
    </font>
    <font>
      <b/>
      <sz val="10"/>
      <color theme="1"/>
      <name val="Arial"/>
      <family val="2"/>
    </font>
    <font>
      <sz val="10"/>
      <color rgb="FFFF0000"/>
      <name val="Arial"/>
      <family val="2"/>
    </font>
    <font>
      <b/>
      <sz val="10"/>
      <color rgb="FFFFFFFF"/>
      <name val="Arial"/>
      <family val="2"/>
    </font>
  </fonts>
  <fills count="5">
    <fill>
      <patternFill patternType="none"/>
    </fill>
    <fill>
      <patternFill patternType="gray125"/>
    </fill>
    <fill>
      <patternFill patternType="solid">
        <fgColor rgb="FFCFE2F3"/>
        <bgColor indexed="64"/>
      </patternFill>
    </fill>
    <fill>
      <patternFill patternType="solid">
        <fgColor rgb="FFFFFF00"/>
        <bgColor indexed="64"/>
      </patternFill>
    </fill>
    <fill>
      <patternFill patternType="solid">
        <fgColor rgb="FF38761D"/>
        <bgColor indexed="64"/>
      </patternFill>
    </fill>
  </fills>
  <borders count="8">
    <border>
      <left/>
      <right/>
      <top/>
      <bottom/>
      <diagonal/>
    </border>
    <border>
      <left style="thin">
        <color rgb="FF000000"/>
      </left>
      <right style="thin">
        <color rgb="FF000000"/>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000000"/>
      </left>
      <right style="medium">
        <color rgb="FFCCCCCC"/>
      </right>
      <top style="medium">
        <color rgb="FFCCCCCC"/>
      </top>
      <bottom style="medium">
        <color rgb="FFCCCCCC"/>
      </bottom>
      <diagonal/>
    </border>
    <border>
      <left style="medium">
        <color rgb="FF000000"/>
      </left>
      <right style="medium">
        <color rgb="FF000000"/>
      </right>
      <top style="medium">
        <color rgb="FFCCCCCC"/>
      </top>
      <bottom style="medium">
        <color rgb="FFCCCCCC"/>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93">
    <xf numFmtId="0" fontId="0" fillId="0" borderId="0" xfId="0"/>
    <xf numFmtId="0" fontId="1" fillId="0" borderId="0" xfId="0" applyFont="1" applyAlignment="1">
      <alignment horizontal="center" vertical="center" wrapText="1"/>
    </xf>
    <xf numFmtId="0" fontId="2" fillId="0" borderId="0" xfId="0" applyFont="1" applyAlignment="1"/>
    <xf numFmtId="0" fontId="2" fillId="0" borderId="0" xfId="0" applyFont="1" applyAlignment="1">
      <alignment horizontal="right"/>
    </xf>
    <xf numFmtId="0" fontId="2" fillId="0" borderId="0" xfId="0" applyFont="1" applyAlignment="1">
      <alignment wrapText="1"/>
    </xf>
    <xf numFmtId="0" fontId="3" fillId="0" borderId="0" xfId="0" applyFont="1" applyAlignment="1">
      <alignment horizontal="right"/>
    </xf>
    <xf numFmtId="0" fontId="4" fillId="0" borderId="0" xfId="0" applyFont="1" applyAlignment="1">
      <alignment wrapText="1"/>
    </xf>
    <xf numFmtId="0" fontId="5" fillId="0" borderId="0" xfId="0" applyFont="1" applyAlignment="1">
      <alignment horizontal="center" vertical="top" wrapText="1"/>
    </xf>
    <xf numFmtId="0" fontId="5" fillId="0" borderId="1" xfId="0" applyFont="1" applyBorder="1" applyAlignment="1">
      <alignment vertical="top" wrapText="1"/>
    </xf>
    <xf numFmtId="0" fontId="6" fillId="0" borderId="1" xfId="0" applyFont="1" applyBorder="1" applyAlignment="1">
      <alignment vertical="top" wrapText="1"/>
    </xf>
    <xf numFmtId="0" fontId="5" fillId="0" borderId="1" xfId="0" applyFont="1" applyBorder="1" applyAlignment="1">
      <alignment wrapText="1"/>
    </xf>
    <xf numFmtId="0" fontId="5" fillId="0" borderId="0" xfId="0" applyFont="1" applyAlignment="1">
      <alignment wrapText="1"/>
    </xf>
    <xf numFmtId="0" fontId="7" fillId="0" borderId="0" xfId="0" applyFont="1" applyAlignment="1">
      <alignment wrapText="1"/>
    </xf>
    <xf numFmtId="0" fontId="0" fillId="0" borderId="0" xfId="0" applyFont="1" applyAlignment="1"/>
    <xf numFmtId="0" fontId="8" fillId="0" borderId="2" xfId="0" applyFont="1" applyBorder="1" applyAlignment="1">
      <alignment wrapText="1"/>
    </xf>
    <xf numFmtId="0" fontId="8" fillId="0" borderId="2" xfId="0" applyFont="1" applyBorder="1" applyAlignment="1">
      <alignment horizontal="right" wrapText="1"/>
    </xf>
    <xf numFmtId="0" fontId="8" fillId="0" borderId="3" xfId="0" applyFont="1" applyBorder="1" applyAlignment="1">
      <alignment wrapText="1"/>
    </xf>
    <xf numFmtId="0" fontId="9" fillId="0" borderId="2" xfId="0" applyFont="1" applyBorder="1" applyAlignment="1">
      <alignment horizontal="right" wrapText="1"/>
    </xf>
    <xf numFmtId="0" fontId="0" fillId="0" borderId="0" xfId="0" applyAlignment="1"/>
    <xf numFmtId="0" fontId="0" fillId="0" borderId="0" xfId="0" applyAlignment="1">
      <alignment wrapText="1"/>
    </xf>
    <xf numFmtId="0" fontId="10" fillId="0" borderId="0" xfId="0" applyFont="1" applyAlignment="1">
      <alignment horizontal="justify" vertical="center"/>
    </xf>
    <xf numFmtId="0" fontId="0" fillId="0" borderId="0" xfId="0" applyAlignment="1">
      <alignment horizontal="justify" vertical="center" readingOrder="1"/>
    </xf>
    <xf numFmtId="0" fontId="0" fillId="0" borderId="0" xfId="0" applyAlignment="1">
      <alignment horizontal="left" vertical="center" readingOrder="1"/>
    </xf>
    <xf numFmtId="0" fontId="10" fillId="0" borderId="0" xfId="0" applyFont="1" applyAlignment="1">
      <alignment horizontal="left" vertical="center"/>
    </xf>
    <xf numFmtId="0" fontId="11" fillId="0" borderId="0" xfId="0" applyFont="1" applyAlignment="1">
      <alignment horizontal="left" vertical="center"/>
    </xf>
    <xf numFmtId="0" fontId="12" fillId="0" borderId="0" xfId="0" applyFont="1" applyAlignment="1">
      <alignment horizontal="justify" vertical="center"/>
    </xf>
    <xf numFmtId="0" fontId="12" fillId="0" borderId="0" xfId="0" applyFont="1" applyAlignment="1">
      <alignment horizontal="left" vertical="center"/>
    </xf>
    <xf numFmtId="0" fontId="13" fillId="0" borderId="0" xfId="0" applyFont="1"/>
    <xf numFmtId="0" fontId="14" fillId="0" borderId="0" xfId="0" applyFont="1" applyAlignment="1">
      <alignment horizontal="justify" vertical="center"/>
    </xf>
    <xf numFmtId="0" fontId="15" fillId="0" borderId="0" xfId="0" applyFont="1" applyAlignment="1">
      <alignment horizontal="justify" vertical="center"/>
    </xf>
    <xf numFmtId="0" fontId="15" fillId="0" borderId="0" xfId="0" applyFont="1" applyAlignment="1">
      <alignment horizontal="justify" vertical="center" wrapText="1"/>
    </xf>
    <xf numFmtId="0" fontId="15" fillId="0" borderId="0" xfId="0" applyFont="1" applyAlignment="1">
      <alignment horizontal="left" vertical="center"/>
    </xf>
    <xf numFmtId="0" fontId="15" fillId="0" borderId="0" xfId="0" applyFont="1" applyAlignment="1">
      <alignment horizontal="left" vertical="center" wrapText="1"/>
    </xf>
    <xf numFmtId="0" fontId="16" fillId="0" borderId="0" xfId="0" applyFont="1" applyAlignment="1">
      <alignment horizontal="left" vertical="center" wrapText="1"/>
    </xf>
    <xf numFmtId="0" fontId="16" fillId="0" borderId="0" xfId="0" applyFont="1" applyAlignment="1">
      <alignment horizontal="justify" vertical="center"/>
    </xf>
    <xf numFmtId="0" fontId="15" fillId="0" borderId="0" xfId="0" applyFont="1" applyAlignment="1"/>
    <xf numFmtId="0" fontId="16" fillId="0" borderId="0" xfId="0" applyFont="1" applyAlignment="1">
      <alignment horizontal="left" vertical="center"/>
    </xf>
    <xf numFmtId="0" fontId="13" fillId="0" borderId="0" xfId="0" applyFont="1" applyAlignment="1">
      <alignment wrapText="1"/>
    </xf>
    <xf numFmtId="0" fontId="15" fillId="0" borderId="0" xfId="0" applyFont="1" applyAlignment="1">
      <alignment wrapText="1"/>
    </xf>
    <xf numFmtId="0" fontId="0" fillId="0" borderId="0" xfId="0"/>
    <xf numFmtId="0" fontId="8" fillId="0" borderId="2" xfId="0" applyFont="1" applyBorder="1" applyAlignment="1">
      <alignment horizontal="right" wrapText="1"/>
    </xf>
    <xf numFmtId="0" fontId="8" fillId="0" borderId="2" xfId="0" applyFont="1" applyBorder="1" applyAlignment="1">
      <alignment wrapText="1"/>
    </xf>
    <xf numFmtId="0" fontId="17" fillId="0" borderId="0" xfId="0" applyFont="1" applyAlignment="1">
      <alignment horizontal="left" vertical="top" wrapText="1"/>
    </xf>
    <xf numFmtId="0" fontId="0" fillId="0" borderId="0" xfId="0" applyAlignment="1">
      <alignment wrapText="1"/>
    </xf>
    <xf numFmtId="0" fontId="1" fillId="0" borderId="0" xfId="0" applyFont="1" applyAlignment="1">
      <alignment horizontal="left" vertical="top" wrapText="1"/>
    </xf>
    <xf numFmtId="0" fontId="0" fillId="0" borderId="0" xfId="0" applyAlignment="1">
      <alignment horizontal="left" vertical="top"/>
    </xf>
    <xf numFmtId="0" fontId="10" fillId="0" borderId="0" xfId="0" applyFont="1" applyAlignment="1">
      <alignment horizontal="left" vertical="top" wrapText="1"/>
    </xf>
    <xf numFmtId="0" fontId="0" fillId="0" borderId="0" xfId="0" applyFont="1" applyAlignment="1">
      <alignment horizontal="left" vertical="top"/>
    </xf>
    <xf numFmtId="0" fontId="12" fillId="0" borderId="0" xfId="0" applyFont="1" applyAlignment="1">
      <alignment horizontal="left" vertical="top" wrapText="1"/>
    </xf>
    <xf numFmtId="0" fontId="8" fillId="0" borderId="0" xfId="0" applyFont="1" applyAlignment="1">
      <alignment horizontal="left" vertical="top"/>
    </xf>
    <xf numFmtId="0" fontId="9" fillId="0" borderId="0" xfId="0" applyFont="1" applyAlignment="1">
      <alignment horizontal="left" vertical="top"/>
    </xf>
    <xf numFmtId="0" fontId="10" fillId="0" borderId="0" xfId="0" applyFont="1" applyAlignment="1">
      <alignment horizontal="left" vertical="top"/>
    </xf>
    <xf numFmtId="0" fontId="12" fillId="0" borderId="0" xfId="0" applyFont="1" applyAlignment="1">
      <alignment horizontal="left" vertical="top"/>
    </xf>
    <xf numFmtId="0" fontId="18" fillId="0" borderId="0" xfId="0" applyFont="1" applyAlignment="1"/>
    <xf numFmtId="0" fontId="18" fillId="0" borderId="0" xfId="0" applyNumberFormat="1" applyFont="1" applyAlignment="1">
      <alignment wrapText="1"/>
    </xf>
    <xf numFmtId="0" fontId="0" fillId="0" borderId="0" xfId="0"/>
    <xf numFmtId="0" fontId="8" fillId="0" borderId="2" xfId="0" applyFont="1" applyBorder="1" applyAlignment="1">
      <alignment horizontal="right" wrapText="1"/>
    </xf>
    <xf numFmtId="0" fontId="8" fillId="0" borderId="2" xfId="0" applyFont="1" applyBorder="1" applyAlignment="1">
      <alignment wrapText="1"/>
    </xf>
    <xf numFmtId="0" fontId="17" fillId="0" borderId="2" xfId="0" applyFont="1" applyBorder="1" applyAlignment="1">
      <alignment wrapText="1"/>
    </xf>
    <xf numFmtId="0" fontId="17" fillId="0" borderId="2" xfId="0" applyFont="1" applyBorder="1" applyAlignment="1">
      <alignment horizontal="right" wrapText="1"/>
    </xf>
    <xf numFmtId="0" fontId="17" fillId="0" borderId="5" xfId="0" applyFont="1" applyBorder="1" applyAlignment="1">
      <alignment vertical="top" wrapText="1"/>
    </xf>
    <xf numFmtId="0" fontId="17" fillId="0" borderId="5" xfId="0" quotePrefix="1" applyFont="1" applyBorder="1" applyAlignment="1">
      <alignment vertical="top" wrapText="1"/>
    </xf>
    <xf numFmtId="0" fontId="0" fillId="0" borderId="0" xfId="0" applyAlignment="1">
      <alignment wrapText="1"/>
    </xf>
    <xf numFmtId="0" fontId="9" fillId="0" borderId="5" xfId="0" applyFont="1" applyBorder="1" applyAlignment="1">
      <alignment horizontal="center" vertical="top" wrapText="1"/>
    </xf>
    <xf numFmtId="0" fontId="8" fillId="0" borderId="3" xfId="0" applyFont="1" applyBorder="1" applyAlignment="1">
      <alignment horizontal="right" vertical="top" wrapText="1"/>
    </xf>
    <xf numFmtId="0" fontId="17" fillId="0" borderId="3" xfId="0" applyFont="1" applyBorder="1" applyAlignment="1">
      <alignment vertical="top" wrapText="1"/>
    </xf>
    <xf numFmtId="0" fontId="8" fillId="0" borderId="5" xfId="0" applyFont="1" applyBorder="1" applyAlignment="1">
      <alignment horizontal="center" vertical="top" wrapText="1"/>
    </xf>
    <xf numFmtId="0" fontId="8" fillId="0" borderId="3" xfId="0" applyFont="1" applyBorder="1" applyAlignment="1">
      <alignment vertical="top" wrapText="1"/>
    </xf>
    <xf numFmtId="0" fontId="17" fillId="0" borderId="2" xfId="0" applyFont="1" applyBorder="1" applyAlignment="1">
      <alignment vertical="top" wrapText="1"/>
    </xf>
    <xf numFmtId="0" fontId="17" fillId="0" borderId="3" xfId="0" applyFont="1" applyBorder="1" applyAlignment="1">
      <alignment wrapText="1"/>
    </xf>
    <xf numFmtId="0" fontId="17" fillId="0" borderId="4" xfId="0" applyFont="1" applyBorder="1" applyAlignment="1">
      <alignment vertical="top" wrapText="1"/>
    </xf>
    <xf numFmtId="0" fontId="8" fillId="0" borderId="2" xfId="0" applyFont="1" applyBorder="1" applyAlignment="1">
      <alignment horizontal="right" vertical="top" wrapText="1"/>
    </xf>
    <xf numFmtId="0" fontId="17" fillId="0" borderId="4" xfId="0" applyFont="1" applyBorder="1" applyAlignment="1">
      <alignment wrapText="1"/>
    </xf>
    <xf numFmtId="0" fontId="17" fillId="2" borderId="4" xfId="0" applyFont="1" applyFill="1" applyBorder="1" applyAlignment="1">
      <alignment wrapText="1"/>
    </xf>
    <xf numFmtId="0" fontId="17" fillId="2" borderId="2" xfId="0" applyFont="1" applyFill="1" applyBorder="1" applyAlignment="1">
      <alignment vertical="top" wrapText="1"/>
    </xf>
    <xf numFmtId="0" fontId="17" fillId="2" borderId="2" xfId="0" applyFont="1" applyFill="1" applyBorder="1" applyAlignment="1">
      <alignment wrapText="1"/>
    </xf>
    <xf numFmtId="0" fontId="21" fillId="0" borderId="3" xfId="0" applyFont="1" applyBorder="1" applyAlignment="1">
      <alignment wrapText="1"/>
    </xf>
    <xf numFmtId="0" fontId="20" fillId="0" borderId="3" xfId="0" applyFont="1" applyBorder="1" applyAlignment="1">
      <alignment wrapText="1"/>
    </xf>
    <xf numFmtId="0" fontId="17" fillId="0" borderId="6" xfId="0" applyFont="1" applyBorder="1" applyAlignment="1">
      <alignment vertical="top" wrapText="1"/>
    </xf>
    <xf numFmtId="0" fontId="8" fillId="0" borderId="7" xfId="0" applyFont="1" applyBorder="1" applyAlignment="1">
      <alignment vertical="top" wrapText="1"/>
    </xf>
    <xf numFmtId="0" fontId="17" fillId="0" borderId="7" xfId="0" applyFont="1" applyBorder="1" applyAlignment="1">
      <alignment wrapText="1"/>
    </xf>
    <xf numFmtId="0" fontId="21" fillId="0" borderId="5" xfId="0" applyFont="1" applyBorder="1" applyAlignment="1">
      <alignment vertical="top" wrapText="1"/>
    </xf>
    <xf numFmtId="0" fontId="17" fillId="0" borderId="5" xfId="0" applyFont="1" applyBorder="1" applyAlignment="1">
      <alignment wrapText="1"/>
    </xf>
    <xf numFmtId="0" fontId="17" fillId="0" borderId="6" xfId="0" applyFont="1" applyBorder="1" applyAlignment="1">
      <alignment wrapText="1"/>
    </xf>
    <xf numFmtId="0" fontId="19" fillId="0" borderId="0" xfId="0" applyNumberFormat="1" applyFont="1" applyAlignment="1"/>
    <xf numFmtId="0" fontId="0" fillId="3" borderId="0" xfId="0" applyFill="1" applyAlignment="1">
      <alignment wrapText="1"/>
    </xf>
    <xf numFmtId="0" fontId="13" fillId="3" borderId="0" xfId="0" applyFont="1" applyFill="1" applyAlignment="1">
      <alignment wrapText="1"/>
    </xf>
    <xf numFmtId="0" fontId="22" fillId="4" borderId="2" xfId="0" applyFont="1" applyFill="1" applyBorder="1" applyAlignment="1">
      <alignment horizontal="center" wrapText="1"/>
    </xf>
    <xf numFmtId="0" fontId="17" fillId="0" borderId="2" xfId="0" applyFont="1" applyBorder="1" applyAlignment="1">
      <alignment horizontal="center" vertical="top" wrapText="1"/>
    </xf>
    <xf numFmtId="0" fontId="18" fillId="0" borderId="0" xfId="0" applyNumberFormat="1" applyFont="1" applyAlignment="1"/>
    <xf numFmtId="0" fontId="1" fillId="0" borderId="0" xfId="0" applyFont="1" applyAlignment="1">
      <alignment horizontal="center" vertical="center"/>
    </xf>
    <xf numFmtId="0" fontId="0" fillId="0" borderId="0" xfId="0" applyAlignment="1">
      <alignment horizontal="left" wrapText="1"/>
    </xf>
    <xf numFmtId="0" fontId="5" fillId="0" borderId="5" xfId="0" applyFont="1" applyBorder="1" applyAlignment="1">
      <alignment vertical="top" wrapText="1"/>
    </xf>
  </cellXfs>
  <cellStyles count="1">
    <cellStyle name="Normal" xfId="0" builtinId="0"/>
  </cellStyles>
  <dxfs count="23">
    <dxf>
      <font>
        <b val="0"/>
        <i val="0"/>
        <strike val="0"/>
        <condense val="0"/>
        <extend val="0"/>
        <outline val="0"/>
        <shadow val="0"/>
        <u val="none"/>
        <vertAlign val="baseline"/>
        <sz val="10"/>
        <color auto="1"/>
        <name val="Calibri"/>
        <scheme val="minor"/>
      </font>
      <numFmt numFmtId="0" formatCode="General"/>
      <alignment textRotation="0" wrapText="0" indent="0" justifyLastLine="0" shrinkToFit="0" readingOrder="0"/>
    </dxf>
    <dxf>
      <font>
        <b val="0"/>
        <i val="0"/>
        <strike val="0"/>
        <condense val="0"/>
        <extend val="0"/>
        <outline val="0"/>
        <shadow val="0"/>
        <u val="none"/>
        <vertAlign val="baseline"/>
        <sz val="10"/>
        <color auto="1"/>
        <name val="Calibri"/>
        <scheme val="minor"/>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Calibri"/>
        <scheme val="minor"/>
      </font>
      <alignment textRotation="0" wrapText="0" indent="0" justifyLastLine="0" shrinkToFit="0" readingOrder="0"/>
    </dxf>
    <dxf>
      <font>
        <b val="0"/>
        <i val="0"/>
        <strike val="0"/>
        <condense val="0"/>
        <extend val="0"/>
        <outline val="0"/>
        <shadow val="0"/>
        <u val="none"/>
        <vertAlign val="baseline"/>
        <sz val="10"/>
        <color auto="1"/>
        <name val="Calibri"/>
        <scheme val="minor"/>
      </font>
      <alignment textRotation="0" wrapText="0" indent="0" justifyLastLine="0" shrinkToFit="0" readingOrder="0"/>
    </dxf>
    <dxf>
      <font>
        <b val="0"/>
        <i val="0"/>
        <strike val="0"/>
        <condense val="0"/>
        <extend val="0"/>
        <outline val="0"/>
        <shadow val="0"/>
        <u val="none"/>
        <vertAlign val="baseline"/>
        <sz val="10"/>
        <color auto="1"/>
        <name val="Calibri"/>
        <scheme val="minor"/>
      </font>
      <alignment textRotation="0" wrapText="0" indent="0" justifyLastLine="0" shrinkToFit="0" readingOrder="0"/>
    </dxf>
    <dxf>
      <font>
        <b val="0"/>
        <i val="0"/>
        <strike val="0"/>
        <condense val="0"/>
        <extend val="0"/>
        <outline val="0"/>
        <shadow val="0"/>
        <u val="none"/>
        <vertAlign val="baseline"/>
        <sz val="10"/>
        <color auto="1"/>
        <name val="Calibri"/>
        <scheme val="minor"/>
      </font>
      <alignment horizontal="left" vertical="center" textRotation="0" wrapText="1" indent="0" justifyLastLine="0" shrinkToFit="0" readingOrder="0"/>
    </dxf>
    <dxf>
      <font>
        <b val="0"/>
        <i val="0"/>
        <strike val="0"/>
        <condense val="0"/>
        <extend val="0"/>
        <outline val="0"/>
        <shadow val="0"/>
        <u val="none"/>
        <vertAlign val="baseline"/>
        <sz val="10"/>
        <color auto="1"/>
        <name val="Calibri"/>
        <scheme val="minor"/>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justify"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textRotation="0" wrapText="0" indent="0" justifyLastLine="0" shrinkToFit="0" readingOrder="0"/>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auto="1"/>
        <name val="Calibri"/>
        <scheme val="none"/>
      </font>
      <numFmt numFmtId="0" formatCode="General"/>
      <alignment textRotation="0" wrapText="0" indent="0" justifyLastLine="0" shrinkToFit="0" readingOrder="0"/>
    </dxf>
    <dxf>
      <font>
        <b val="0"/>
        <i val="0"/>
        <strike val="0"/>
        <condense val="0"/>
        <extend val="0"/>
        <outline val="0"/>
        <shadow val="0"/>
        <u val="none"/>
        <vertAlign val="baseline"/>
        <sz val="10"/>
        <color auto="1"/>
        <name val="Calibri"/>
        <scheme val="none"/>
      </font>
      <numFmt numFmtId="0" formatCode="General"/>
      <alignment textRotation="0" wrapText="0" indent="0" justifyLastLine="0" shrinkToFit="0" readingOrder="0"/>
    </dxf>
    <dxf>
      <font>
        <b val="0"/>
        <i val="0"/>
        <strike val="0"/>
        <condense val="0"/>
        <extend val="0"/>
        <outline val="0"/>
        <shadow val="0"/>
        <u val="none"/>
        <vertAlign val="baseline"/>
        <sz val="10"/>
        <color auto="1"/>
        <name val="Calibri"/>
        <scheme val="none"/>
      </font>
      <numFmt numFmtId="0" formatCode="General"/>
      <alignment textRotation="0" wrapText="0" indent="0" justifyLastLine="0" shrinkToFit="0" readingOrder="0"/>
    </dxf>
    <dxf>
      <font>
        <b val="0"/>
        <i val="0"/>
        <strike val="0"/>
        <condense val="0"/>
        <extend val="0"/>
        <outline val="0"/>
        <shadow val="0"/>
        <u val="none"/>
        <vertAlign val="baseline"/>
        <sz val="10"/>
        <color auto="1"/>
        <name val="Calibri"/>
        <scheme val="minor"/>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Calibri"/>
        <scheme val="minor"/>
      </font>
      <numFmt numFmtId="0" formatCode="General"/>
      <alignment textRotation="0" wrapText="0" indent="0" justifyLastLine="0" shrinkToFit="0" readingOrder="0"/>
    </dxf>
    <dxf>
      <font>
        <b val="0"/>
        <i val="0"/>
        <strike val="0"/>
        <condense val="0"/>
        <extend val="0"/>
        <outline val="0"/>
        <shadow val="0"/>
        <u val="none"/>
        <vertAlign val="baseline"/>
        <sz val="10"/>
        <color auto="1"/>
        <name val="Calibri"/>
        <scheme val="minor"/>
      </font>
      <numFmt numFmtId="0" formatCode="General"/>
      <alignment textRotation="0" wrapText="0" indent="0" justifyLastLine="0" shrinkToFit="0" readingOrder="0"/>
    </dxf>
    <dxf>
      <font>
        <b val="0"/>
        <i val="0"/>
        <strike val="0"/>
        <condense val="0"/>
        <extend val="0"/>
        <outline val="0"/>
        <shadow val="0"/>
        <u val="none"/>
        <vertAlign val="baseline"/>
        <sz val="10"/>
        <color auto="1"/>
        <name val="Calibri"/>
        <scheme val="minor"/>
      </font>
      <numFmt numFmtId="0" formatCode="General"/>
      <alignment textRotation="0" wrapText="0" indent="0" justifyLastLine="0" shrinkToFit="0" readingOrder="0"/>
    </dxf>
    <dxf>
      <font>
        <b val="0"/>
        <i val="0"/>
        <strike val="0"/>
        <condense val="0"/>
        <extend val="0"/>
        <outline val="0"/>
        <shadow val="0"/>
        <u val="none"/>
        <vertAlign val="baseline"/>
        <sz val="10"/>
        <color auto="1"/>
        <name val="Calibri"/>
        <scheme val="minor"/>
      </font>
      <numFmt numFmtId="0" formatCode="General"/>
      <alignment horizontal="left" vertical="center" textRotation="0" wrapText="1" indent="0" justifyLastLine="0" shrinkToFit="0" readingOrder="0"/>
    </dxf>
    <dxf>
      <font>
        <b val="0"/>
        <i val="0"/>
        <strike val="0"/>
        <condense val="0"/>
        <extend val="0"/>
        <outline val="0"/>
        <shadow val="0"/>
        <u val="none"/>
        <vertAlign val="baseline"/>
        <sz val="10"/>
        <color auto="1"/>
        <name val="Calibri"/>
        <scheme val="none"/>
      </font>
      <numFmt numFmtId="0" formatCode="Genera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auto="1"/>
        <name val="Calibri"/>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auto="1"/>
        <name val="Calibri"/>
        <scheme val="minor"/>
      </font>
      <alignment textRotation="0" wrapText="0" indent="0" justifyLastLine="0" shrinkToFit="0" readingOrder="0"/>
    </dxf>
    <dxf>
      <font>
        <b val="0"/>
        <i val="0"/>
        <strike val="0"/>
        <condense val="0"/>
        <extend val="0"/>
        <outline val="0"/>
        <shadow val="0"/>
        <u val="none"/>
        <vertAlign val="baseline"/>
        <sz val="10"/>
        <color auto="1"/>
        <name val="Calibri"/>
        <scheme val="none"/>
      </font>
      <alignment textRotation="0" wrapText="0" indent="0" justifyLastLine="0" shrinkToFit="0" readingOrder="0"/>
    </dxf>
    <dxf>
      <font>
        <b val="0"/>
        <i val="0"/>
        <strike val="0"/>
        <condense val="0"/>
        <extend val="0"/>
        <outline val="0"/>
        <shadow val="0"/>
        <u val="none"/>
        <vertAlign val="baseline"/>
        <sz val="10"/>
        <color theme="1"/>
        <name val="Calibri"/>
        <scheme val="minor"/>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id="2" name="Table13" displayName="Table13" ref="A1:K1560" totalsRowShown="0" headerRowDxfId="22" dataDxfId="21">
  <autoFilter ref="A1:K1560"/>
  <tableColumns count="11">
    <tableColumn id="1" name="kbli1" dataDxfId="20"/>
    <tableColumn id="2" name="kbli5" dataDxfId="19"/>
    <tableColumn id="3" name="judul" dataDxfId="18"/>
    <tableColumn id="4" name="contoh_usaha" dataDxfId="17">
      <calculatedColumnFormula>VLOOKUP(Table13[[#This Row],[kbli5]],Table1[[#All],[kbli5]:[digital_hijau]],3,)</calculatedColumnFormula>
    </tableColumn>
    <tableColumn id="5" name="kata_kunci" dataDxfId="16">
      <calculatedColumnFormula>VLOOKUP(Table13[[#This Row],[kbli5]],kata_kunci!$B:$H,4,FALSE)</calculatedColumnFormula>
    </tableColumn>
    <tableColumn id="7" name="kategori" dataDxfId="15">
      <calculatedColumnFormula>VLOOKUP(Table13[[#This Row],[kbli5]],Table1[[#All],[kbli5]:[digital_hijau]],5,)</calculatedColumnFormula>
    </tableColumn>
    <tableColumn id="6" name="digital_hijau" dataDxfId="14">
      <calculatedColumnFormula>VLOOKUP(Table13[[#This Row],[kbli5]],Table1[[#All],[kbli5]:[digital_hijau]],6,)</calculatedColumnFormula>
    </tableColumn>
    <tableColumn id="9" name="ciri_usaha" dataDxfId="13">
      <calculatedColumnFormula>VLOOKUP(Table13[[#This Row],[kbli5]],kata_kunci!$B:$H,3,FALSE)</calculatedColumnFormula>
    </tableColumn>
    <tableColumn id="12" name="proses" dataDxfId="12">
      <calculatedColumnFormula>VLOOKUP(Table13[[#This Row],[kbli5]],kata_kunci!$B:$H,5,FALSE)</calculatedColumnFormula>
    </tableColumn>
    <tableColumn id="13" name="bahan_baku" dataDxfId="11">
      <calculatedColumnFormula>VLOOKUP(Table13[[#This Row],[kbli5]],kata_kunci!$B:$H,6,FALSE)</calculatedColumnFormula>
    </tableColumn>
    <tableColumn id="14" name="output" dataDxfId="10">
      <calculatedColumnFormula>VLOOKUP(Table13[[#This Row],[kbli5]],kata_kunci!$B:$H,7,FALSE)</calculatedColumnFormula>
    </tableColumn>
  </tableColumns>
  <tableStyleInfo name="TableStyleLight7" showFirstColumn="0" showLastColumn="0" showRowStripes="1" showColumnStripes="0"/>
</table>
</file>

<file path=xl/tables/table2.xml><?xml version="1.0" encoding="utf-8"?>
<table xmlns="http://schemas.openxmlformats.org/spreadsheetml/2006/main" id="1" name="Table1" displayName="Table1" ref="A1:H165" totalsRowShown="0" headerRowDxfId="9" dataDxfId="8">
  <autoFilter ref="A1:H165"/>
  <tableColumns count="8">
    <tableColumn id="2" name="kbli5" dataDxfId="7"/>
    <tableColumn id="3" name="judul" dataDxfId="6">
      <calculatedColumnFormula>VLOOKUP(Table1[[#This Row],[kbli5]],master!$A$2:$B$1560,2,FALSE)</calculatedColumnFormula>
    </tableColumn>
    <tableColumn id="4" name="contoh_usaha" dataDxfId="5"/>
    <tableColumn id="5" name="kata_kunci" dataDxfId="4"/>
    <tableColumn id="7" name="kategori" dataDxfId="3"/>
    <tableColumn id="6" name="digital_hijau" dataDxfId="2"/>
    <tableColumn id="9" name="versi 1" dataDxfId="1">
      <calculatedColumnFormula>VLOOKUP(Table1[[#This Row],[kbli5]],data_versi1!$B$2:$D$101,3, FALSE)</calculatedColumnFormula>
    </tableColumn>
    <tableColumn id="10" name="cek " dataDxfId="0">
      <calculatedColumnFormula>IF(Table1[[#This Row],[contoh_usaha]]=Table1[[#This Row],[versi 1]],TRUE,FALSE)</calculatedColumnFormula>
    </tableColumn>
  </tableColumns>
  <tableStyleInfo name="TableStyleLight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cakaplah.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K1560"/>
  <sheetViews>
    <sheetView tabSelected="1" topLeftCell="C1" workbookViewId="0">
      <pane ySplit="1" topLeftCell="A2" activePane="bottomLeft" state="frozen"/>
      <selection pane="bottomLeft" sqref="A1:K1"/>
    </sheetView>
  </sheetViews>
  <sheetFormatPr defaultRowHeight="15" x14ac:dyDescent="0.25"/>
  <cols>
    <col min="3" max="3" width="21.5703125" customWidth="1"/>
    <col min="4" max="4" width="27.7109375" style="62" customWidth="1"/>
    <col min="5" max="5" width="30.140625" style="18" customWidth="1"/>
    <col min="6" max="7" width="18" customWidth="1"/>
    <col min="8" max="11" width="32.42578125" customWidth="1"/>
  </cols>
  <sheetData>
    <row r="1" spans="1:11" x14ac:dyDescent="0.25">
      <c r="A1" s="1" t="s">
        <v>1</v>
      </c>
      <c r="B1" s="1" t="s">
        <v>2</v>
      </c>
      <c r="C1" s="1" t="s">
        <v>3</v>
      </c>
      <c r="D1" s="1" t="s">
        <v>4</v>
      </c>
      <c r="E1" s="90" t="s">
        <v>5</v>
      </c>
      <c r="F1" s="1" t="s">
        <v>0</v>
      </c>
      <c r="G1" s="55" t="s">
        <v>2059</v>
      </c>
      <c r="H1" s="55" t="s">
        <v>2129</v>
      </c>
      <c r="I1" s="55" t="s">
        <v>2131</v>
      </c>
      <c r="J1" s="55" t="s">
        <v>2132</v>
      </c>
      <c r="K1" s="55" t="s">
        <v>2133</v>
      </c>
    </row>
    <row r="2" spans="1:11" hidden="1" x14ac:dyDescent="0.25">
      <c r="A2" s="2" t="s">
        <v>118</v>
      </c>
      <c r="B2" s="3" t="s">
        <v>119</v>
      </c>
      <c r="C2" s="4" t="s">
        <v>120</v>
      </c>
      <c r="D2" s="6" t="e">
        <v>#N/A</v>
      </c>
      <c r="E2" s="55" t="e">
        <v>#N/A</v>
      </c>
      <c r="F2" s="7" t="e">
        <v>#N/A</v>
      </c>
      <c r="G2" s="55" t="e">
        <v>#N/A</v>
      </c>
      <c r="H2" s="55" t="e">
        <v>#N/A</v>
      </c>
      <c r="I2" s="55" t="e">
        <v>#N/A</v>
      </c>
      <c r="J2" s="55" t="e">
        <v>#N/A</v>
      </c>
      <c r="K2" s="55" t="e">
        <v>#N/A</v>
      </c>
    </row>
    <row r="3" spans="1:11" ht="45" hidden="1" x14ac:dyDescent="0.25">
      <c r="A3" s="2" t="s">
        <v>118</v>
      </c>
      <c r="B3" s="3" t="s">
        <v>121</v>
      </c>
      <c r="C3" s="4" t="s">
        <v>122</v>
      </c>
      <c r="D3" s="6" t="e">
        <v>#N/A</v>
      </c>
      <c r="E3" s="55" t="e">
        <v>#N/A</v>
      </c>
      <c r="F3" s="7" t="e">
        <v>#N/A</v>
      </c>
      <c r="G3" s="55" t="e">
        <v>#N/A</v>
      </c>
      <c r="H3" s="55" t="e">
        <v>#N/A</v>
      </c>
      <c r="I3" s="55" t="e">
        <v>#N/A</v>
      </c>
      <c r="J3" s="55" t="e">
        <v>#N/A</v>
      </c>
      <c r="K3" s="55" t="e">
        <v>#N/A</v>
      </c>
    </row>
    <row r="4" spans="1:11" hidden="1" x14ac:dyDescent="0.25">
      <c r="A4" s="2" t="s">
        <v>118</v>
      </c>
      <c r="B4" s="3" t="s">
        <v>123</v>
      </c>
      <c r="C4" s="4" t="s">
        <v>124</v>
      </c>
      <c r="D4" s="8" t="e">
        <v>#N/A</v>
      </c>
      <c r="E4" s="55" t="e">
        <v>#N/A</v>
      </c>
      <c r="F4" s="7" t="e">
        <v>#N/A</v>
      </c>
      <c r="G4" s="55" t="e">
        <v>#N/A</v>
      </c>
      <c r="H4" s="55" t="e">
        <v>#N/A</v>
      </c>
      <c r="I4" s="55" t="e">
        <v>#N/A</v>
      </c>
      <c r="J4" s="55" t="e">
        <v>#N/A</v>
      </c>
      <c r="K4" s="55" t="e">
        <v>#N/A</v>
      </c>
    </row>
    <row r="5" spans="1:11" ht="30" hidden="1" x14ac:dyDescent="0.25">
      <c r="A5" s="2" t="s">
        <v>118</v>
      </c>
      <c r="B5" s="3" t="s">
        <v>125</v>
      </c>
      <c r="C5" s="4" t="s">
        <v>126</v>
      </c>
      <c r="D5" s="6" t="e">
        <v>#N/A</v>
      </c>
      <c r="E5" s="55" t="e">
        <v>#N/A</v>
      </c>
      <c r="F5" s="7" t="e">
        <v>#N/A</v>
      </c>
      <c r="G5" s="55" t="e">
        <v>#N/A</v>
      </c>
      <c r="H5" s="55" t="e">
        <v>#N/A</v>
      </c>
      <c r="I5" s="55" t="e">
        <v>#N/A</v>
      </c>
      <c r="J5" s="55" t="e">
        <v>#N/A</v>
      </c>
      <c r="K5" s="55" t="e">
        <v>#N/A</v>
      </c>
    </row>
    <row r="6" spans="1:11" ht="30" hidden="1" x14ac:dyDescent="0.25">
      <c r="A6" s="2" t="s">
        <v>118</v>
      </c>
      <c r="B6" s="3" t="s">
        <v>127</v>
      </c>
      <c r="C6" s="4" t="s">
        <v>128</v>
      </c>
      <c r="D6" s="6" t="e">
        <v>#N/A</v>
      </c>
      <c r="E6" s="55" t="e">
        <v>#N/A</v>
      </c>
      <c r="F6" s="7" t="e">
        <v>#N/A</v>
      </c>
      <c r="G6" s="55" t="e">
        <v>#N/A</v>
      </c>
      <c r="H6" s="55" t="e">
        <v>#N/A</v>
      </c>
      <c r="I6" s="55" t="e">
        <v>#N/A</v>
      </c>
      <c r="J6" s="55" t="e">
        <v>#N/A</v>
      </c>
      <c r="K6" s="55" t="e">
        <v>#N/A</v>
      </c>
    </row>
    <row r="7" spans="1:11" ht="60" hidden="1" x14ac:dyDescent="0.25">
      <c r="A7" s="2" t="s">
        <v>118</v>
      </c>
      <c r="B7" s="3" t="s">
        <v>129</v>
      </c>
      <c r="C7" s="4" t="s">
        <v>130</v>
      </c>
      <c r="D7" s="6" t="e">
        <v>#N/A</v>
      </c>
      <c r="E7" s="55" t="e">
        <v>#N/A</v>
      </c>
      <c r="F7" s="7" t="e">
        <v>#N/A</v>
      </c>
      <c r="G7" s="55" t="e">
        <v>#N/A</v>
      </c>
      <c r="H7" s="55" t="e">
        <v>#N/A</v>
      </c>
      <c r="I7" s="55" t="e">
        <v>#N/A</v>
      </c>
      <c r="J7" s="55" t="e">
        <v>#N/A</v>
      </c>
      <c r="K7" s="55" t="e">
        <v>#N/A</v>
      </c>
    </row>
    <row r="8" spans="1:11" ht="45" hidden="1" x14ac:dyDescent="0.25">
      <c r="A8" s="2" t="s">
        <v>118</v>
      </c>
      <c r="B8" s="3" t="s">
        <v>131</v>
      </c>
      <c r="C8" s="4" t="s">
        <v>132</v>
      </c>
      <c r="D8" s="6" t="e">
        <v>#N/A</v>
      </c>
      <c r="E8" s="55" t="e">
        <v>#N/A</v>
      </c>
      <c r="F8" s="7" t="e">
        <v>#N/A</v>
      </c>
      <c r="G8" s="55" t="e">
        <v>#N/A</v>
      </c>
      <c r="H8" s="55" t="e">
        <v>#N/A</v>
      </c>
      <c r="I8" s="55" t="e">
        <v>#N/A</v>
      </c>
      <c r="J8" s="55" t="e">
        <v>#N/A</v>
      </c>
      <c r="K8" s="55" t="e">
        <v>#N/A</v>
      </c>
    </row>
    <row r="9" spans="1:11" ht="60" hidden="1" x14ac:dyDescent="0.25">
      <c r="A9" s="2" t="s">
        <v>118</v>
      </c>
      <c r="B9" s="3" t="s">
        <v>133</v>
      </c>
      <c r="C9" s="4" t="s">
        <v>134</v>
      </c>
      <c r="D9" s="6" t="e">
        <v>#N/A</v>
      </c>
      <c r="E9" s="55" t="e">
        <v>#N/A</v>
      </c>
      <c r="F9" s="7" t="e">
        <v>#N/A</v>
      </c>
      <c r="G9" s="55" t="e">
        <v>#N/A</v>
      </c>
      <c r="H9" s="55" t="e">
        <v>#N/A</v>
      </c>
      <c r="I9" s="55" t="e">
        <v>#N/A</v>
      </c>
      <c r="J9" s="55" t="e">
        <v>#N/A</v>
      </c>
      <c r="K9" s="55" t="e">
        <v>#N/A</v>
      </c>
    </row>
    <row r="10" spans="1:11" ht="30" hidden="1" x14ac:dyDescent="0.25">
      <c r="A10" s="2" t="s">
        <v>118</v>
      </c>
      <c r="B10" s="3" t="s">
        <v>135</v>
      </c>
      <c r="C10" s="4" t="s">
        <v>136</v>
      </c>
      <c r="D10" s="6" t="e">
        <v>#N/A</v>
      </c>
      <c r="E10" s="55" t="e">
        <v>#N/A</v>
      </c>
      <c r="F10" s="7" t="e">
        <v>#N/A</v>
      </c>
      <c r="G10" s="55" t="e">
        <v>#N/A</v>
      </c>
      <c r="H10" s="55" t="e">
        <v>#N/A</v>
      </c>
      <c r="I10" s="55" t="e">
        <v>#N/A</v>
      </c>
      <c r="J10" s="55" t="e">
        <v>#N/A</v>
      </c>
      <c r="K10" s="55" t="e">
        <v>#N/A</v>
      </c>
    </row>
    <row r="11" spans="1:11" ht="30" hidden="1" x14ac:dyDescent="0.25">
      <c r="A11" s="2" t="s">
        <v>118</v>
      </c>
      <c r="B11" s="3" t="s">
        <v>137</v>
      </c>
      <c r="C11" s="4" t="s">
        <v>138</v>
      </c>
      <c r="D11" s="6" t="e">
        <v>#N/A</v>
      </c>
      <c r="E11" s="55" t="e">
        <v>#N/A</v>
      </c>
      <c r="F11" s="7" t="e">
        <v>#N/A</v>
      </c>
      <c r="G11" s="55" t="e">
        <v>#N/A</v>
      </c>
      <c r="H11" s="55" t="e">
        <v>#N/A</v>
      </c>
      <c r="I11" s="55" t="e">
        <v>#N/A</v>
      </c>
      <c r="J11" s="55" t="e">
        <v>#N/A</v>
      </c>
      <c r="K11" s="55" t="e">
        <v>#N/A</v>
      </c>
    </row>
    <row r="12" spans="1:11" ht="30" hidden="1" x14ac:dyDescent="0.25">
      <c r="A12" s="2" t="s">
        <v>118</v>
      </c>
      <c r="B12" s="3" t="s">
        <v>139</v>
      </c>
      <c r="C12" s="4" t="s">
        <v>140</v>
      </c>
      <c r="D12" s="6" t="e">
        <v>#N/A</v>
      </c>
      <c r="E12" s="55" t="e">
        <v>#N/A</v>
      </c>
      <c r="F12" s="7" t="e">
        <v>#N/A</v>
      </c>
      <c r="G12" s="55" t="e">
        <v>#N/A</v>
      </c>
      <c r="H12" s="55" t="e">
        <v>#N/A</v>
      </c>
      <c r="I12" s="55" t="e">
        <v>#N/A</v>
      </c>
      <c r="J12" s="55" t="e">
        <v>#N/A</v>
      </c>
      <c r="K12" s="55" t="e">
        <v>#N/A</v>
      </c>
    </row>
    <row r="13" spans="1:11" ht="30" hidden="1" x14ac:dyDescent="0.25">
      <c r="A13" s="2" t="s">
        <v>118</v>
      </c>
      <c r="B13" s="3" t="s">
        <v>141</v>
      </c>
      <c r="C13" s="4" t="s">
        <v>142</v>
      </c>
      <c r="D13" s="6" t="e">
        <v>#N/A</v>
      </c>
      <c r="E13" s="55" t="e">
        <v>#N/A</v>
      </c>
      <c r="F13" s="7" t="e">
        <v>#N/A</v>
      </c>
      <c r="G13" s="55" t="e">
        <v>#N/A</v>
      </c>
      <c r="H13" s="55" t="e">
        <v>#N/A</v>
      </c>
      <c r="I13" s="55" t="e">
        <v>#N/A</v>
      </c>
      <c r="J13" s="55" t="e">
        <v>#N/A</v>
      </c>
      <c r="K13" s="55" t="e">
        <v>#N/A</v>
      </c>
    </row>
    <row r="14" spans="1:11" ht="30" hidden="1" x14ac:dyDescent="0.25">
      <c r="A14" s="2" t="s">
        <v>118</v>
      </c>
      <c r="B14" s="3" t="s">
        <v>143</v>
      </c>
      <c r="C14" s="4" t="s">
        <v>144</v>
      </c>
      <c r="D14" s="9" t="e">
        <v>#N/A</v>
      </c>
      <c r="E14" s="55" t="e">
        <v>#N/A</v>
      </c>
      <c r="F14" s="7" t="e">
        <v>#N/A</v>
      </c>
      <c r="G14" s="55" t="e">
        <v>#N/A</v>
      </c>
      <c r="H14" s="55" t="e">
        <v>#N/A</v>
      </c>
      <c r="I14" s="55" t="e">
        <v>#N/A</v>
      </c>
      <c r="J14" s="55" t="e">
        <v>#N/A</v>
      </c>
      <c r="K14" s="55" t="e">
        <v>#N/A</v>
      </c>
    </row>
    <row r="15" spans="1:11" ht="30" hidden="1" x14ac:dyDescent="0.25">
      <c r="A15" s="2" t="s">
        <v>118</v>
      </c>
      <c r="B15" s="3" t="s">
        <v>145</v>
      </c>
      <c r="C15" s="4" t="s">
        <v>146</v>
      </c>
      <c r="D15" s="10" t="e">
        <v>#N/A</v>
      </c>
      <c r="E15" s="55" t="e">
        <v>#N/A</v>
      </c>
      <c r="F15" s="7" t="e">
        <v>#N/A</v>
      </c>
      <c r="G15" s="55" t="e">
        <v>#N/A</v>
      </c>
      <c r="H15" s="55" t="e">
        <v>#N/A</v>
      </c>
      <c r="I15" s="55" t="e">
        <v>#N/A</v>
      </c>
      <c r="J15" s="55" t="e">
        <v>#N/A</v>
      </c>
      <c r="K15" s="55" t="e">
        <v>#N/A</v>
      </c>
    </row>
    <row r="16" spans="1:11" hidden="1" x14ac:dyDescent="0.25">
      <c r="A16" s="2" t="s">
        <v>118</v>
      </c>
      <c r="B16" s="3" t="s">
        <v>147</v>
      </c>
      <c r="C16" s="4" t="s">
        <v>148</v>
      </c>
      <c r="D16" s="10" t="e">
        <v>#N/A</v>
      </c>
      <c r="E16" s="55" t="e">
        <v>#N/A</v>
      </c>
      <c r="F16" s="7" t="e">
        <v>#N/A</v>
      </c>
      <c r="G16" s="55" t="e">
        <v>#N/A</v>
      </c>
      <c r="H16" s="55" t="e">
        <v>#N/A</v>
      </c>
      <c r="I16" s="55" t="e">
        <v>#N/A</v>
      </c>
      <c r="J16" s="55" t="e">
        <v>#N/A</v>
      </c>
      <c r="K16" s="55" t="e">
        <v>#N/A</v>
      </c>
    </row>
    <row r="17" spans="1:11" hidden="1" x14ac:dyDescent="0.25">
      <c r="A17" s="2" t="s">
        <v>118</v>
      </c>
      <c r="B17" s="3" t="s">
        <v>149</v>
      </c>
      <c r="C17" s="4" t="s">
        <v>150</v>
      </c>
      <c r="D17" s="10" t="e">
        <v>#N/A</v>
      </c>
      <c r="E17" s="55" t="e">
        <v>#N/A</v>
      </c>
      <c r="F17" s="7" t="e">
        <v>#N/A</v>
      </c>
      <c r="G17" s="55" t="e">
        <v>#N/A</v>
      </c>
      <c r="H17" s="55" t="e">
        <v>#N/A</v>
      </c>
      <c r="I17" s="55" t="e">
        <v>#N/A</v>
      </c>
      <c r="J17" s="55" t="e">
        <v>#N/A</v>
      </c>
      <c r="K17" s="55" t="e">
        <v>#N/A</v>
      </c>
    </row>
    <row r="18" spans="1:11" ht="45" hidden="1" x14ac:dyDescent="0.25">
      <c r="A18" s="2" t="s">
        <v>118</v>
      </c>
      <c r="B18" s="3" t="s">
        <v>151</v>
      </c>
      <c r="C18" s="4" t="s">
        <v>152</v>
      </c>
      <c r="D18" s="10" t="e">
        <v>#N/A</v>
      </c>
      <c r="E18" s="55" t="e">
        <v>#N/A</v>
      </c>
      <c r="F18" s="7" t="e">
        <v>#N/A</v>
      </c>
      <c r="G18" s="55" t="e">
        <v>#N/A</v>
      </c>
      <c r="H18" s="55" t="e">
        <v>#N/A</v>
      </c>
      <c r="I18" s="55" t="e">
        <v>#N/A</v>
      </c>
      <c r="J18" s="55" t="e">
        <v>#N/A</v>
      </c>
      <c r="K18" s="55" t="e">
        <v>#N/A</v>
      </c>
    </row>
    <row r="19" spans="1:11" hidden="1" x14ac:dyDescent="0.25">
      <c r="A19" s="2" t="s">
        <v>118</v>
      </c>
      <c r="B19" s="5" t="s">
        <v>153</v>
      </c>
      <c r="C19" s="4" t="s">
        <v>154</v>
      </c>
      <c r="D19" s="11" t="e">
        <v>#N/A</v>
      </c>
      <c r="E19" s="55" t="e">
        <v>#N/A</v>
      </c>
      <c r="F19" s="7" t="e">
        <v>#N/A</v>
      </c>
      <c r="G19" s="55" t="e">
        <v>#N/A</v>
      </c>
      <c r="H19" s="55" t="e">
        <v>#N/A</v>
      </c>
      <c r="I19" s="55" t="e">
        <v>#N/A</v>
      </c>
      <c r="J19" s="55" t="e">
        <v>#N/A</v>
      </c>
      <c r="K19" s="55" t="e">
        <v>#N/A</v>
      </c>
    </row>
    <row r="20" spans="1:11" ht="30" hidden="1" x14ac:dyDescent="0.25">
      <c r="A20" s="2" t="s">
        <v>118</v>
      </c>
      <c r="B20" s="5" t="s">
        <v>155</v>
      </c>
      <c r="C20" s="4" t="s">
        <v>156</v>
      </c>
      <c r="D20" s="11" t="e">
        <v>#N/A</v>
      </c>
      <c r="E20" s="55" t="e">
        <v>#N/A</v>
      </c>
      <c r="F20" s="7" t="e">
        <v>#N/A</v>
      </c>
      <c r="G20" s="55" t="e">
        <v>#N/A</v>
      </c>
      <c r="H20" s="55" t="e">
        <v>#N/A</v>
      </c>
      <c r="I20" s="55" t="e">
        <v>#N/A</v>
      </c>
      <c r="J20" s="55" t="e">
        <v>#N/A</v>
      </c>
      <c r="K20" s="55" t="e">
        <v>#N/A</v>
      </c>
    </row>
    <row r="21" spans="1:11" hidden="1" x14ac:dyDescent="0.25">
      <c r="A21" s="2" t="s">
        <v>118</v>
      </c>
      <c r="B21" s="5" t="s">
        <v>157</v>
      </c>
      <c r="C21" s="4" t="s">
        <v>158</v>
      </c>
      <c r="D21" s="11" t="e">
        <v>#N/A</v>
      </c>
      <c r="E21" s="55" t="e">
        <v>#N/A</v>
      </c>
      <c r="F21" s="7" t="e">
        <v>#N/A</v>
      </c>
      <c r="G21" s="55" t="e">
        <v>#N/A</v>
      </c>
      <c r="H21" s="55" t="e">
        <v>#N/A</v>
      </c>
      <c r="I21" s="55" t="e">
        <v>#N/A</v>
      </c>
      <c r="J21" s="55" t="e">
        <v>#N/A</v>
      </c>
      <c r="K21" s="55" t="e">
        <v>#N/A</v>
      </c>
    </row>
    <row r="22" spans="1:11" ht="30" hidden="1" x14ac:dyDescent="0.25">
      <c r="A22" s="2" t="s">
        <v>118</v>
      </c>
      <c r="B22" s="5" t="s">
        <v>159</v>
      </c>
      <c r="C22" s="4" t="s">
        <v>160</v>
      </c>
      <c r="D22" s="11" t="e">
        <v>#N/A</v>
      </c>
      <c r="E22" s="55" t="e">
        <v>#N/A</v>
      </c>
      <c r="F22" s="7" t="e">
        <v>#N/A</v>
      </c>
      <c r="G22" s="55" t="e">
        <v>#N/A</v>
      </c>
      <c r="H22" s="55" t="e">
        <v>#N/A</v>
      </c>
      <c r="I22" s="55" t="e">
        <v>#N/A</v>
      </c>
      <c r="J22" s="55" t="e">
        <v>#N/A</v>
      </c>
      <c r="K22" s="55" t="e">
        <v>#N/A</v>
      </c>
    </row>
    <row r="23" spans="1:11" ht="30" hidden="1" x14ac:dyDescent="0.25">
      <c r="A23" s="2" t="s">
        <v>118</v>
      </c>
      <c r="B23" s="3" t="s">
        <v>161</v>
      </c>
      <c r="C23" s="4" t="s">
        <v>162</v>
      </c>
      <c r="D23" s="11" t="e">
        <v>#N/A</v>
      </c>
      <c r="E23" s="55" t="e">
        <v>#N/A</v>
      </c>
      <c r="F23" s="7" t="e">
        <v>#N/A</v>
      </c>
      <c r="G23" s="55" t="e">
        <v>#N/A</v>
      </c>
      <c r="H23" s="55" t="e">
        <v>#N/A</v>
      </c>
      <c r="I23" s="55" t="e">
        <v>#N/A</v>
      </c>
      <c r="J23" s="55" t="e">
        <v>#N/A</v>
      </c>
      <c r="K23" s="55" t="e">
        <v>#N/A</v>
      </c>
    </row>
    <row r="24" spans="1:11" ht="45" hidden="1" x14ac:dyDescent="0.25">
      <c r="A24" s="2" t="s">
        <v>118</v>
      </c>
      <c r="B24" s="3" t="s">
        <v>163</v>
      </c>
      <c r="C24" s="4" t="s">
        <v>164</v>
      </c>
      <c r="D24" s="11" t="e">
        <v>#N/A</v>
      </c>
      <c r="E24" s="55" t="e">
        <v>#N/A</v>
      </c>
      <c r="F24" s="7" t="e">
        <v>#N/A</v>
      </c>
      <c r="G24" s="55" t="e">
        <v>#N/A</v>
      </c>
      <c r="H24" s="55" t="e">
        <v>#N/A</v>
      </c>
      <c r="I24" s="55" t="e">
        <v>#N/A</v>
      </c>
      <c r="J24" s="55" t="e">
        <v>#N/A</v>
      </c>
      <c r="K24" s="55" t="e">
        <v>#N/A</v>
      </c>
    </row>
    <row r="25" spans="1:11" ht="75" hidden="1" x14ac:dyDescent="0.25">
      <c r="A25" s="2" t="s">
        <v>118</v>
      </c>
      <c r="B25" s="3" t="s">
        <v>165</v>
      </c>
      <c r="C25" s="4" t="s">
        <v>166</v>
      </c>
      <c r="D25" s="11" t="e">
        <v>#N/A</v>
      </c>
      <c r="E25" s="55" t="e">
        <v>#N/A</v>
      </c>
      <c r="F25" s="7" t="e">
        <v>#N/A</v>
      </c>
      <c r="G25" s="55" t="e">
        <v>#N/A</v>
      </c>
      <c r="H25" s="55" t="e">
        <v>#N/A</v>
      </c>
      <c r="I25" s="55" t="e">
        <v>#N/A</v>
      </c>
      <c r="J25" s="55" t="e">
        <v>#N/A</v>
      </c>
      <c r="K25" s="55" t="e">
        <v>#N/A</v>
      </c>
    </row>
    <row r="26" spans="1:11" ht="30" hidden="1" x14ac:dyDescent="0.25">
      <c r="A26" s="2" t="s">
        <v>118</v>
      </c>
      <c r="B26" s="3" t="s">
        <v>167</v>
      </c>
      <c r="C26" s="4" t="s">
        <v>168</v>
      </c>
      <c r="D26" s="12" t="e">
        <v>#N/A</v>
      </c>
      <c r="E26" s="55" t="e">
        <v>#N/A</v>
      </c>
      <c r="F26" s="7" t="e">
        <v>#N/A</v>
      </c>
      <c r="G26" s="55" t="e">
        <v>#N/A</v>
      </c>
      <c r="H26" s="55" t="e">
        <v>#N/A</v>
      </c>
      <c r="I26" s="55" t="e">
        <v>#N/A</v>
      </c>
      <c r="J26" s="55" t="e">
        <v>#N/A</v>
      </c>
      <c r="K26" s="55" t="e">
        <v>#N/A</v>
      </c>
    </row>
    <row r="27" spans="1:11" ht="45" hidden="1" x14ac:dyDescent="0.25">
      <c r="A27" s="2" t="s">
        <v>118</v>
      </c>
      <c r="B27" s="3" t="s">
        <v>169</v>
      </c>
      <c r="C27" s="4" t="s">
        <v>170</v>
      </c>
      <c r="D27" s="11" t="e">
        <v>#N/A</v>
      </c>
      <c r="E27" s="55" t="e">
        <v>#N/A</v>
      </c>
      <c r="F27" s="7" t="e">
        <v>#N/A</v>
      </c>
      <c r="G27" s="55" t="e">
        <v>#N/A</v>
      </c>
      <c r="H27" s="55" t="e">
        <v>#N/A</v>
      </c>
      <c r="I27" s="55" t="e">
        <v>#N/A</v>
      </c>
      <c r="J27" s="55" t="e">
        <v>#N/A</v>
      </c>
      <c r="K27" s="55" t="e">
        <v>#N/A</v>
      </c>
    </row>
    <row r="28" spans="1:11" ht="45" hidden="1" x14ac:dyDescent="0.25">
      <c r="A28" s="2" t="s">
        <v>118</v>
      </c>
      <c r="B28" s="3" t="s">
        <v>171</v>
      </c>
      <c r="C28" s="4" t="s">
        <v>172</v>
      </c>
      <c r="D28" s="11" t="e">
        <v>#N/A</v>
      </c>
      <c r="E28" s="55" t="e">
        <v>#N/A</v>
      </c>
      <c r="F28" s="7" t="e">
        <v>#N/A</v>
      </c>
      <c r="G28" s="55" t="e">
        <v>#N/A</v>
      </c>
      <c r="H28" s="55" t="e">
        <v>#N/A</v>
      </c>
      <c r="I28" s="55" t="e">
        <v>#N/A</v>
      </c>
      <c r="J28" s="55" t="e">
        <v>#N/A</v>
      </c>
      <c r="K28" s="55" t="e">
        <v>#N/A</v>
      </c>
    </row>
    <row r="29" spans="1:11" ht="30" hidden="1" x14ac:dyDescent="0.25">
      <c r="A29" s="2" t="s">
        <v>118</v>
      </c>
      <c r="B29" s="3" t="s">
        <v>173</v>
      </c>
      <c r="C29" s="4" t="s">
        <v>174</v>
      </c>
      <c r="D29" s="11" t="e">
        <v>#N/A</v>
      </c>
      <c r="E29" s="55" t="e">
        <v>#N/A</v>
      </c>
      <c r="F29" s="7" t="e">
        <v>#N/A</v>
      </c>
      <c r="G29" s="55" t="e">
        <v>#N/A</v>
      </c>
      <c r="H29" s="55" t="e">
        <v>#N/A</v>
      </c>
      <c r="I29" s="55" t="e">
        <v>#N/A</v>
      </c>
      <c r="J29" s="55" t="e">
        <v>#N/A</v>
      </c>
      <c r="K29" s="55" t="e">
        <v>#N/A</v>
      </c>
    </row>
    <row r="30" spans="1:11" ht="45" hidden="1" x14ac:dyDescent="0.25">
      <c r="A30" s="2" t="s">
        <v>118</v>
      </c>
      <c r="B30" s="3" t="s">
        <v>175</v>
      </c>
      <c r="C30" s="4" t="s">
        <v>176</v>
      </c>
      <c r="D30" s="12" t="e">
        <v>#N/A</v>
      </c>
      <c r="E30" s="55" t="e">
        <v>#N/A</v>
      </c>
      <c r="F30" s="7" t="e">
        <v>#N/A</v>
      </c>
      <c r="G30" s="55" t="e">
        <v>#N/A</v>
      </c>
      <c r="H30" s="55" t="e">
        <v>#N/A</v>
      </c>
      <c r="I30" s="55" t="e">
        <v>#N/A</v>
      </c>
      <c r="J30" s="55" t="e">
        <v>#N/A</v>
      </c>
      <c r="K30" s="55" t="e">
        <v>#N/A</v>
      </c>
    </row>
    <row r="31" spans="1:11" ht="30" hidden="1" x14ac:dyDescent="0.25">
      <c r="A31" s="2" t="s">
        <v>118</v>
      </c>
      <c r="B31" s="3" t="s">
        <v>177</v>
      </c>
      <c r="C31" s="4" t="s">
        <v>178</v>
      </c>
      <c r="D31" s="11" t="e">
        <v>#N/A</v>
      </c>
      <c r="E31" s="55" t="e">
        <v>#N/A</v>
      </c>
      <c r="F31" s="7" t="e">
        <v>#N/A</v>
      </c>
      <c r="G31" s="55" t="e">
        <v>#N/A</v>
      </c>
      <c r="H31" s="55" t="e">
        <v>#N/A</v>
      </c>
      <c r="I31" s="55" t="e">
        <v>#N/A</v>
      </c>
      <c r="J31" s="55" t="e">
        <v>#N/A</v>
      </c>
      <c r="K31" s="55" t="e">
        <v>#N/A</v>
      </c>
    </row>
    <row r="32" spans="1:11" ht="60" hidden="1" x14ac:dyDescent="0.25">
      <c r="A32" s="2" t="s">
        <v>118</v>
      </c>
      <c r="B32" s="3" t="s">
        <v>179</v>
      </c>
      <c r="C32" s="4" t="s">
        <v>180</v>
      </c>
      <c r="D32" s="11" t="e">
        <v>#N/A</v>
      </c>
      <c r="E32" s="55" t="e">
        <v>#N/A</v>
      </c>
      <c r="F32" s="7" t="e">
        <v>#N/A</v>
      </c>
      <c r="G32" s="55" t="e">
        <v>#N/A</v>
      </c>
      <c r="H32" s="55" t="e">
        <v>#N/A</v>
      </c>
      <c r="I32" s="55" t="e">
        <v>#N/A</v>
      </c>
      <c r="J32" s="55" t="e">
        <v>#N/A</v>
      </c>
      <c r="K32" s="55" t="e">
        <v>#N/A</v>
      </c>
    </row>
    <row r="33" spans="1:11" hidden="1" x14ac:dyDescent="0.25">
      <c r="A33" s="2" t="s">
        <v>118</v>
      </c>
      <c r="B33" s="3" t="s">
        <v>181</v>
      </c>
      <c r="C33" s="4" t="s">
        <v>182</v>
      </c>
      <c r="D33" s="11" t="e">
        <v>#N/A</v>
      </c>
      <c r="E33" s="55" t="e">
        <v>#N/A</v>
      </c>
      <c r="F33" s="7" t="e">
        <v>#N/A</v>
      </c>
      <c r="G33" s="55" t="e">
        <v>#N/A</v>
      </c>
      <c r="H33" s="55" t="e">
        <v>#N/A</v>
      </c>
      <c r="I33" s="55" t="e">
        <v>#N/A</v>
      </c>
      <c r="J33" s="55" t="e">
        <v>#N/A</v>
      </c>
      <c r="K33" s="55" t="e">
        <v>#N/A</v>
      </c>
    </row>
    <row r="34" spans="1:11" ht="30" hidden="1" x14ac:dyDescent="0.25">
      <c r="A34" s="2" t="s">
        <v>118</v>
      </c>
      <c r="B34" s="3" t="s">
        <v>183</v>
      </c>
      <c r="C34" s="4" t="s">
        <v>184</v>
      </c>
      <c r="D34" s="12" t="e">
        <v>#N/A</v>
      </c>
      <c r="E34" s="55" t="e">
        <v>#N/A</v>
      </c>
      <c r="F34" s="7" t="e">
        <v>#N/A</v>
      </c>
      <c r="G34" s="55" t="e">
        <v>#N/A</v>
      </c>
      <c r="H34" s="55" t="e">
        <v>#N/A</v>
      </c>
      <c r="I34" s="55" t="e">
        <v>#N/A</v>
      </c>
      <c r="J34" s="55" t="e">
        <v>#N/A</v>
      </c>
      <c r="K34" s="55" t="e">
        <v>#N/A</v>
      </c>
    </row>
    <row r="35" spans="1:11" ht="30" hidden="1" x14ac:dyDescent="0.25">
      <c r="A35" s="2" t="s">
        <v>118</v>
      </c>
      <c r="B35" s="3" t="s">
        <v>185</v>
      </c>
      <c r="C35" s="4" t="s">
        <v>186</v>
      </c>
      <c r="D35" s="11" t="e">
        <v>#N/A</v>
      </c>
      <c r="E35" s="55" t="e">
        <v>#N/A</v>
      </c>
      <c r="F35" s="7" t="e">
        <v>#N/A</v>
      </c>
      <c r="G35" s="55" t="e">
        <v>#N/A</v>
      </c>
      <c r="H35" s="55" t="e">
        <v>#N/A</v>
      </c>
      <c r="I35" s="55" t="e">
        <v>#N/A</v>
      </c>
      <c r="J35" s="55" t="e">
        <v>#N/A</v>
      </c>
      <c r="K35" s="55" t="e">
        <v>#N/A</v>
      </c>
    </row>
    <row r="36" spans="1:11" ht="30" hidden="1" x14ac:dyDescent="0.25">
      <c r="A36" s="2" t="s">
        <v>118</v>
      </c>
      <c r="B36" s="3" t="s">
        <v>187</v>
      </c>
      <c r="C36" s="4" t="s">
        <v>188</v>
      </c>
      <c r="D36" s="11" t="e">
        <v>#N/A</v>
      </c>
      <c r="E36" s="55" t="e">
        <v>#N/A</v>
      </c>
      <c r="F36" s="7" t="e">
        <v>#N/A</v>
      </c>
      <c r="G36" s="55" t="e">
        <v>#N/A</v>
      </c>
      <c r="H36" s="55" t="e">
        <v>#N/A</v>
      </c>
      <c r="I36" s="55" t="e">
        <v>#N/A</v>
      </c>
      <c r="J36" s="55" t="e">
        <v>#N/A</v>
      </c>
      <c r="K36" s="55" t="e">
        <v>#N/A</v>
      </c>
    </row>
    <row r="37" spans="1:11" hidden="1" x14ac:dyDescent="0.25">
      <c r="A37" s="2" t="s">
        <v>118</v>
      </c>
      <c r="B37" s="3" t="s">
        <v>189</v>
      </c>
      <c r="C37" s="4" t="s">
        <v>190</v>
      </c>
      <c r="D37" s="11" t="e">
        <v>#N/A</v>
      </c>
      <c r="E37" s="55" t="e">
        <v>#N/A</v>
      </c>
      <c r="F37" s="7" t="e">
        <v>#N/A</v>
      </c>
      <c r="G37" s="55" t="e">
        <v>#N/A</v>
      </c>
      <c r="H37" s="55" t="e">
        <v>#N/A</v>
      </c>
      <c r="I37" s="55" t="e">
        <v>#N/A</v>
      </c>
      <c r="J37" s="55" t="e">
        <v>#N/A</v>
      </c>
      <c r="K37" s="55" t="e">
        <v>#N/A</v>
      </c>
    </row>
    <row r="38" spans="1:11" ht="30" hidden="1" x14ac:dyDescent="0.25">
      <c r="A38" s="2" t="s">
        <v>118</v>
      </c>
      <c r="B38" s="3" t="s">
        <v>191</v>
      </c>
      <c r="C38" s="4" t="s">
        <v>192</v>
      </c>
      <c r="D38" s="11" t="e">
        <v>#N/A</v>
      </c>
      <c r="E38" s="55" t="e">
        <v>#N/A</v>
      </c>
      <c r="F38" s="7" t="e">
        <v>#N/A</v>
      </c>
      <c r="G38" s="55" t="e">
        <v>#N/A</v>
      </c>
      <c r="H38" s="55" t="e">
        <v>#N/A</v>
      </c>
      <c r="I38" s="55" t="e">
        <v>#N/A</v>
      </c>
      <c r="J38" s="55" t="e">
        <v>#N/A</v>
      </c>
      <c r="K38" s="55" t="e">
        <v>#N/A</v>
      </c>
    </row>
    <row r="39" spans="1:11" ht="30" hidden="1" x14ac:dyDescent="0.25">
      <c r="A39" s="2" t="s">
        <v>118</v>
      </c>
      <c r="B39" s="3" t="s">
        <v>193</v>
      </c>
      <c r="C39" s="4" t="s">
        <v>194</v>
      </c>
      <c r="D39" s="12" t="e">
        <v>#N/A</v>
      </c>
      <c r="E39" s="55" t="e">
        <v>#N/A</v>
      </c>
      <c r="F39" s="7" t="e">
        <v>#N/A</v>
      </c>
      <c r="G39" s="55" t="e">
        <v>#N/A</v>
      </c>
      <c r="H39" s="55" t="e">
        <v>#N/A</v>
      </c>
      <c r="I39" s="55" t="e">
        <v>#N/A</v>
      </c>
      <c r="J39" s="55" t="e">
        <v>#N/A</v>
      </c>
      <c r="K39" s="55" t="e">
        <v>#N/A</v>
      </c>
    </row>
    <row r="40" spans="1:11" hidden="1" x14ac:dyDescent="0.25">
      <c r="A40" s="2" t="s">
        <v>118</v>
      </c>
      <c r="B40" s="3" t="s">
        <v>195</v>
      </c>
      <c r="C40" s="4" t="s">
        <v>196</v>
      </c>
      <c r="D40" s="11" t="e">
        <v>#N/A</v>
      </c>
      <c r="E40" s="55" t="e">
        <v>#N/A</v>
      </c>
      <c r="F40" s="7" t="e">
        <v>#N/A</v>
      </c>
      <c r="G40" s="55" t="e">
        <v>#N/A</v>
      </c>
      <c r="H40" s="55" t="e">
        <v>#N/A</v>
      </c>
      <c r="I40" s="55" t="e">
        <v>#N/A</v>
      </c>
      <c r="J40" s="55" t="e">
        <v>#N/A</v>
      </c>
      <c r="K40" s="55" t="e">
        <v>#N/A</v>
      </c>
    </row>
    <row r="41" spans="1:11" ht="30" hidden="1" x14ac:dyDescent="0.25">
      <c r="A41" s="2" t="s">
        <v>118</v>
      </c>
      <c r="B41" s="3" t="s">
        <v>197</v>
      </c>
      <c r="C41" s="4" t="s">
        <v>198</v>
      </c>
      <c r="D41" s="11" t="e">
        <v>#N/A</v>
      </c>
      <c r="E41" s="55" t="e">
        <v>#N/A</v>
      </c>
      <c r="F41" s="7" t="e">
        <v>#N/A</v>
      </c>
      <c r="G41" s="55" t="e">
        <v>#N/A</v>
      </c>
      <c r="H41" s="55" t="e">
        <v>#N/A</v>
      </c>
      <c r="I41" s="55" t="e">
        <v>#N/A</v>
      </c>
      <c r="J41" s="55" t="e">
        <v>#N/A</v>
      </c>
      <c r="K41" s="55" t="e">
        <v>#N/A</v>
      </c>
    </row>
    <row r="42" spans="1:11" hidden="1" x14ac:dyDescent="0.25">
      <c r="A42" s="2" t="s">
        <v>118</v>
      </c>
      <c r="B42" s="3" t="s">
        <v>199</v>
      </c>
      <c r="C42" s="4" t="s">
        <v>200</v>
      </c>
      <c r="D42" s="11" t="e">
        <v>#N/A</v>
      </c>
      <c r="E42" s="55" t="e">
        <v>#N/A</v>
      </c>
      <c r="F42" s="7" t="e">
        <v>#N/A</v>
      </c>
      <c r="G42" s="55" t="e">
        <v>#N/A</v>
      </c>
      <c r="H42" s="55" t="e">
        <v>#N/A</v>
      </c>
      <c r="I42" s="55" t="e">
        <v>#N/A</v>
      </c>
      <c r="J42" s="55" t="e">
        <v>#N/A</v>
      </c>
      <c r="K42" s="55" t="e">
        <v>#N/A</v>
      </c>
    </row>
    <row r="43" spans="1:11" ht="60" hidden="1" x14ac:dyDescent="0.25">
      <c r="A43" s="2" t="s">
        <v>118</v>
      </c>
      <c r="B43" s="3" t="s">
        <v>201</v>
      </c>
      <c r="C43" s="4" t="s">
        <v>202</v>
      </c>
      <c r="D43" s="11" t="e">
        <v>#N/A</v>
      </c>
      <c r="E43" s="55" t="e">
        <v>#N/A</v>
      </c>
      <c r="F43" s="7" t="e">
        <v>#N/A</v>
      </c>
      <c r="G43" s="55" t="e">
        <v>#N/A</v>
      </c>
      <c r="H43" s="55" t="e">
        <v>#N/A</v>
      </c>
      <c r="I43" s="55" t="e">
        <v>#N/A</v>
      </c>
      <c r="J43" s="55" t="e">
        <v>#N/A</v>
      </c>
      <c r="K43" s="55" t="e">
        <v>#N/A</v>
      </c>
    </row>
    <row r="44" spans="1:11" hidden="1" x14ac:dyDescent="0.25">
      <c r="A44" s="2" t="s">
        <v>118</v>
      </c>
      <c r="B44" s="3" t="s">
        <v>203</v>
      </c>
      <c r="C44" s="4" t="s">
        <v>204</v>
      </c>
      <c r="D44" s="11" t="e">
        <v>#N/A</v>
      </c>
      <c r="E44" s="55" t="e">
        <v>#N/A</v>
      </c>
      <c r="F44" s="7" t="e">
        <v>#N/A</v>
      </c>
      <c r="G44" s="55" t="e">
        <v>#N/A</v>
      </c>
      <c r="H44" s="55" t="e">
        <v>#N/A</v>
      </c>
      <c r="I44" s="55" t="e">
        <v>#N/A</v>
      </c>
      <c r="J44" s="55" t="e">
        <v>#N/A</v>
      </c>
      <c r="K44" s="55" t="e">
        <v>#N/A</v>
      </c>
    </row>
    <row r="45" spans="1:11" hidden="1" x14ac:dyDescent="0.25">
      <c r="A45" s="2" t="s">
        <v>118</v>
      </c>
      <c r="B45" s="3" t="s">
        <v>205</v>
      </c>
      <c r="C45" s="4" t="s">
        <v>206</v>
      </c>
      <c r="D45" s="11" t="e">
        <v>#N/A</v>
      </c>
      <c r="E45" s="55" t="e">
        <v>#N/A</v>
      </c>
      <c r="F45" s="7" t="e">
        <v>#N/A</v>
      </c>
      <c r="G45" s="55" t="e">
        <v>#N/A</v>
      </c>
      <c r="H45" s="55" t="e">
        <v>#N/A</v>
      </c>
      <c r="I45" s="55" t="e">
        <v>#N/A</v>
      </c>
      <c r="J45" s="55" t="e">
        <v>#N/A</v>
      </c>
      <c r="K45" s="55" t="e">
        <v>#N/A</v>
      </c>
    </row>
    <row r="46" spans="1:11" hidden="1" x14ac:dyDescent="0.25">
      <c r="A46" s="2" t="s">
        <v>118</v>
      </c>
      <c r="B46" s="3" t="s">
        <v>207</v>
      </c>
      <c r="C46" s="4" t="s">
        <v>208</v>
      </c>
      <c r="D46" s="11" t="e">
        <v>#N/A</v>
      </c>
      <c r="E46" s="55" t="e">
        <v>#N/A</v>
      </c>
      <c r="F46" s="7" t="e">
        <v>#N/A</v>
      </c>
      <c r="G46" s="55" t="e">
        <v>#N/A</v>
      </c>
      <c r="H46" s="55" t="e">
        <v>#N/A</v>
      </c>
      <c r="I46" s="55" t="e">
        <v>#N/A</v>
      </c>
      <c r="J46" s="55" t="e">
        <v>#N/A</v>
      </c>
      <c r="K46" s="55" t="e">
        <v>#N/A</v>
      </c>
    </row>
    <row r="47" spans="1:11" ht="45" hidden="1" x14ac:dyDescent="0.25">
      <c r="A47" s="2" t="s">
        <v>118</v>
      </c>
      <c r="B47" s="3" t="s">
        <v>209</v>
      </c>
      <c r="C47" s="4" t="s">
        <v>210</v>
      </c>
      <c r="D47" s="11" t="e">
        <v>#N/A</v>
      </c>
      <c r="E47" s="55" t="e">
        <v>#N/A</v>
      </c>
      <c r="F47" s="7" t="e">
        <v>#N/A</v>
      </c>
      <c r="G47" s="55" t="e">
        <v>#N/A</v>
      </c>
      <c r="H47" s="55" t="e">
        <v>#N/A</v>
      </c>
      <c r="I47" s="55" t="e">
        <v>#N/A</v>
      </c>
      <c r="J47" s="55" t="e">
        <v>#N/A</v>
      </c>
      <c r="K47" s="55" t="e">
        <v>#N/A</v>
      </c>
    </row>
    <row r="48" spans="1:11" ht="45" hidden="1" x14ac:dyDescent="0.25">
      <c r="A48" s="2" t="s">
        <v>118</v>
      </c>
      <c r="B48" s="3" t="s">
        <v>211</v>
      </c>
      <c r="C48" s="4" t="s">
        <v>212</v>
      </c>
      <c r="D48" s="11" t="e">
        <v>#N/A</v>
      </c>
      <c r="E48" s="55" t="e">
        <v>#N/A</v>
      </c>
      <c r="F48" s="7" t="e">
        <v>#N/A</v>
      </c>
      <c r="G48" s="55" t="e">
        <v>#N/A</v>
      </c>
      <c r="H48" s="55" t="e">
        <v>#N/A</v>
      </c>
      <c r="I48" s="55" t="e">
        <v>#N/A</v>
      </c>
      <c r="J48" s="55" t="e">
        <v>#N/A</v>
      </c>
      <c r="K48" s="55" t="e">
        <v>#N/A</v>
      </c>
    </row>
    <row r="49" spans="1:11" ht="45" hidden="1" x14ac:dyDescent="0.25">
      <c r="A49" s="2" t="s">
        <v>118</v>
      </c>
      <c r="B49" s="3" t="s">
        <v>213</v>
      </c>
      <c r="C49" s="4" t="s">
        <v>214</v>
      </c>
      <c r="D49" s="11" t="e">
        <v>#N/A</v>
      </c>
      <c r="E49" s="55" t="e">
        <v>#N/A</v>
      </c>
      <c r="F49" s="7" t="e">
        <v>#N/A</v>
      </c>
      <c r="G49" s="55" t="e">
        <v>#N/A</v>
      </c>
      <c r="H49" s="55" t="e">
        <v>#N/A</v>
      </c>
      <c r="I49" s="55" t="e">
        <v>#N/A</v>
      </c>
      <c r="J49" s="55" t="e">
        <v>#N/A</v>
      </c>
      <c r="K49" s="55" t="e">
        <v>#N/A</v>
      </c>
    </row>
    <row r="50" spans="1:11" ht="75" hidden="1" x14ac:dyDescent="0.25">
      <c r="A50" s="2" t="s">
        <v>118</v>
      </c>
      <c r="B50" s="3" t="s">
        <v>215</v>
      </c>
      <c r="C50" s="4" t="s">
        <v>216</v>
      </c>
      <c r="D50" s="11" t="e">
        <v>#N/A</v>
      </c>
      <c r="E50" s="55" t="e">
        <v>#N/A</v>
      </c>
      <c r="F50" s="7" t="e">
        <v>#N/A</v>
      </c>
      <c r="G50" s="55" t="e">
        <v>#N/A</v>
      </c>
      <c r="H50" s="55" t="e">
        <v>#N/A</v>
      </c>
      <c r="I50" s="55" t="e">
        <v>#N/A</v>
      </c>
      <c r="J50" s="55" t="e">
        <v>#N/A</v>
      </c>
      <c r="K50" s="55" t="e">
        <v>#N/A</v>
      </c>
    </row>
    <row r="51" spans="1:11" ht="60" hidden="1" x14ac:dyDescent="0.25">
      <c r="A51" s="2" t="s">
        <v>118</v>
      </c>
      <c r="B51" s="3" t="s">
        <v>217</v>
      </c>
      <c r="C51" s="4" t="s">
        <v>218</v>
      </c>
      <c r="D51" s="11" t="e">
        <v>#N/A</v>
      </c>
      <c r="E51" s="55" t="e">
        <v>#N/A</v>
      </c>
      <c r="F51" s="7" t="e">
        <v>#N/A</v>
      </c>
      <c r="G51" s="55" t="e">
        <v>#N/A</v>
      </c>
      <c r="H51" s="55" t="e">
        <v>#N/A</v>
      </c>
      <c r="I51" s="55" t="e">
        <v>#N/A</v>
      </c>
      <c r="J51" s="55" t="e">
        <v>#N/A</v>
      </c>
      <c r="K51" s="55" t="e">
        <v>#N/A</v>
      </c>
    </row>
    <row r="52" spans="1:11" ht="60" hidden="1" x14ac:dyDescent="0.25">
      <c r="A52" s="2" t="s">
        <v>118</v>
      </c>
      <c r="B52" s="3" t="s">
        <v>219</v>
      </c>
      <c r="C52" s="4" t="s">
        <v>220</v>
      </c>
      <c r="D52" s="11" t="e">
        <v>#N/A</v>
      </c>
      <c r="E52" s="55" t="e">
        <v>#N/A</v>
      </c>
      <c r="F52" s="7" t="e">
        <v>#N/A</v>
      </c>
      <c r="G52" s="55" t="e">
        <v>#N/A</v>
      </c>
      <c r="H52" s="55" t="e">
        <v>#N/A</v>
      </c>
      <c r="I52" s="55" t="e">
        <v>#N/A</v>
      </c>
      <c r="J52" s="55" t="e">
        <v>#N/A</v>
      </c>
      <c r="K52" s="55" t="e">
        <v>#N/A</v>
      </c>
    </row>
    <row r="53" spans="1:11" ht="45" hidden="1" x14ac:dyDescent="0.25">
      <c r="A53" s="2" t="s">
        <v>118</v>
      </c>
      <c r="B53" s="3" t="s">
        <v>221</v>
      </c>
      <c r="C53" s="4" t="s">
        <v>222</v>
      </c>
      <c r="D53" s="11" t="e">
        <v>#N/A</v>
      </c>
      <c r="E53" s="55" t="e">
        <v>#N/A</v>
      </c>
      <c r="F53" s="7" t="e">
        <v>#N/A</v>
      </c>
      <c r="G53" s="55" t="e">
        <v>#N/A</v>
      </c>
      <c r="H53" s="55" t="e">
        <v>#N/A</v>
      </c>
      <c r="I53" s="55" t="e">
        <v>#N/A</v>
      </c>
      <c r="J53" s="55" t="e">
        <v>#N/A</v>
      </c>
      <c r="K53" s="55" t="e">
        <v>#N/A</v>
      </c>
    </row>
    <row r="54" spans="1:11" ht="30" hidden="1" x14ac:dyDescent="0.25">
      <c r="A54" s="2" t="s">
        <v>118</v>
      </c>
      <c r="B54" s="3" t="s">
        <v>223</v>
      </c>
      <c r="C54" s="4" t="s">
        <v>224</v>
      </c>
      <c r="D54" s="11" t="e">
        <v>#N/A</v>
      </c>
      <c r="E54" s="55" t="e">
        <v>#N/A</v>
      </c>
      <c r="F54" s="7" t="e">
        <v>#N/A</v>
      </c>
      <c r="G54" s="55" t="e">
        <v>#N/A</v>
      </c>
      <c r="H54" s="55" t="e">
        <v>#N/A</v>
      </c>
      <c r="I54" s="55" t="e">
        <v>#N/A</v>
      </c>
      <c r="J54" s="55" t="e">
        <v>#N/A</v>
      </c>
      <c r="K54" s="55" t="e">
        <v>#N/A</v>
      </c>
    </row>
    <row r="55" spans="1:11" ht="30" hidden="1" x14ac:dyDescent="0.25">
      <c r="A55" s="2" t="s">
        <v>118</v>
      </c>
      <c r="B55" s="3" t="s">
        <v>225</v>
      </c>
      <c r="C55" s="4" t="s">
        <v>226</v>
      </c>
      <c r="D55" s="11" t="e">
        <v>#N/A</v>
      </c>
      <c r="E55" s="55" t="e">
        <v>#N/A</v>
      </c>
      <c r="F55" s="7" t="e">
        <v>#N/A</v>
      </c>
      <c r="G55" s="55" t="e">
        <v>#N/A</v>
      </c>
      <c r="H55" s="55" t="e">
        <v>#N/A</v>
      </c>
      <c r="I55" s="55" t="e">
        <v>#N/A</v>
      </c>
      <c r="J55" s="55" t="e">
        <v>#N/A</v>
      </c>
      <c r="K55" s="55" t="e">
        <v>#N/A</v>
      </c>
    </row>
    <row r="56" spans="1:11" ht="30" hidden="1" x14ac:dyDescent="0.25">
      <c r="A56" s="2" t="s">
        <v>118</v>
      </c>
      <c r="B56" s="3" t="s">
        <v>227</v>
      </c>
      <c r="C56" s="4" t="s">
        <v>228</v>
      </c>
      <c r="D56" s="11" t="e">
        <v>#N/A</v>
      </c>
      <c r="E56" s="55" t="e">
        <v>#N/A</v>
      </c>
      <c r="F56" s="7" t="e">
        <v>#N/A</v>
      </c>
      <c r="G56" s="55" t="e">
        <v>#N/A</v>
      </c>
      <c r="H56" s="55" t="e">
        <v>#N/A</v>
      </c>
      <c r="I56" s="55" t="e">
        <v>#N/A</v>
      </c>
      <c r="J56" s="55" t="e">
        <v>#N/A</v>
      </c>
      <c r="K56" s="55" t="e">
        <v>#N/A</v>
      </c>
    </row>
    <row r="57" spans="1:11" ht="45" hidden="1" x14ac:dyDescent="0.25">
      <c r="A57" s="2" t="s">
        <v>118</v>
      </c>
      <c r="B57" s="3" t="s">
        <v>229</v>
      </c>
      <c r="C57" s="4" t="s">
        <v>230</v>
      </c>
      <c r="D57" s="11" t="e">
        <v>#N/A</v>
      </c>
      <c r="E57" s="55" t="e">
        <v>#N/A</v>
      </c>
      <c r="F57" s="7" t="e">
        <v>#N/A</v>
      </c>
      <c r="G57" s="55" t="e">
        <v>#N/A</v>
      </c>
      <c r="H57" s="55" t="e">
        <v>#N/A</v>
      </c>
      <c r="I57" s="55" t="e">
        <v>#N/A</v>
      </c>
      <c r="J57" s="55" t="e">
        <v>#N/A</v>
      </c>
      <c r="K57" s="55" t="e">
        <v>#N/A</v>
      </c>
    </row>
    <row r="58" spans="1:11" ht="45" hidden="1" x14ac:dyDescent="0.25">
      <c r="A58" s="2" t="s">
        <v>118</v>
      </c>
      <c r="B58" s="3" t="s">
        <v>231</v>
      </c>
      <c r="C58" s="4" t="s">
        <v>232</v>
      </c>
      <c r="D58" s="11" t="e">
        <v>#N/A</v>
      </c>
      <c r="E58" s="55" t="e">
        <v>#N/A</v>
      </c>
      <c r="F58" s="7" t="e">
        <v>#N/A</v>
      </c>
      <c r="G58" s="55" t="e">
        <v>#N/A</v>
      </c>
      <c r="H58" s="55" t="e">
        <v>#N/A</v>
      </c>
      <c r="I58" s="55" t="e">
        <v>#N/A</v>
      </c>
      <c r="J58" s="55" t="e">
        <v>#N/A</v>
      </c>
      <c r="K58" s="55" t="e">
        <v>#N/A</v>
      </c>
    </row>
    <row r="59" spans="1:11" ht="45" hidden="1" x14ac:dyDescent="0.25">
      <c r="A59" s="2" t="s">
        <v>118</v>
      </c>
      <c r="B59" s="3" t="s">
        <v>233</v>
      </c>
      <c r="C59" s="4" t="s">
        <v>234</v>
      </c>
      <c r="D59" s="12" t="e">
        <v>#N/A</v>
      </c>
      <c r="E59" s="55" t="e">
        <v>#N/A</v>
      </c>
      <c r="F59" s="7" t="e">
        <v>#N/A</v>
      </c>
      <c r="G59" s="55" t="e">
        <v>#N/A</v>
      </c>
      <c r="H59" s="55" t="e">
        <v>#N/A</v>
      </c>
      <c r="I59" s="55" t="e">
        <v>#N/A</v>
      </c>
      <c r="J59" s="55" t="e">
        <v>#N/A</v>
      </c>
      <c r="K59" s="55" t="e">
        <v>#N/A</v>
      </c>
    </row>
    <row r="60" spans="1:11" ht="45" hidden="1" x14ac:dyDescent="0.25">
      <c r="A60" s="2" t="s">
        <v>118</v>
      </c>
      <c r="B60" s="3" t="s">
        <v>235</v>
      </c>
      <c r="C60" s="4" t="s">
        <v>236</v>
      </c>
      <c r="D60" s="11" t="e">
        <v>#N/A</v>
      </c>
      <c r="E60" s="55" t="e">
        <v>#N/A</v>
      </c>
      <c r="F60" s="7" t="e">
        <v>#N/A</v>
      </c>
      <c r="G60" s="55" t="e">
        <v>#N/A</v>
      </c>
      <c r="H60" s="55" t="e">
        <v>#N/A</v>
      </c>
      <c r="I60" s="55" t="e">
        <v>#N/A</v>
      </c>
      <c r="J60" s="55" t="e">
        <v>#N/A</v>
      </c>
      <c r="K60" s="55" t="e">
        <v>#N/A</v>
      </c>
    </row>
    <row r="61" spans="1:11" ht="30" hidden="1" x14ac:dyDescent="0.25">
      <c r="A61" s="2" t="s">
        <v>118</v>
      </c>
      <c r="B61" s="3" t="s">
        <v>237</v>
      </c>
      <c r="C61" s="4" t="s">
        <v>238</v>
      </c>
      <c r="D61" s="11" t="e">
        <v>#N/A</v>
      </c>
      <c r="E61" s="55" t="e">
        <v>#N/A</v>
      </c>
      <c r="F61" s="7" t="e">
        <v>#N/A</v>
      </c>
      <c r="G61" s="55" t="e">
        <v>#N/A</v>
      </c>
      <c r="H61" s="55" t="e">
        <v>#N/A</v>
      </c>
      <c r="I61" s="55" t="e">
        <v>#N/A</v>
      </c>
      <c r="J61" s="55" t="e">
        <v>#N/A</v>
      </c>
      <c r="K61" s="55" t="e">
        <v>#N/A</v>
      </c>
    </row>
    <row r="62" spans="1:11" ht="30" hidden="1" x14ac:dyDescent="0.25">
      <c r="A62" s="2" t="s">
        <v>118</v>
      </c>
      <c r="B62" s="3" t="s">
        <v>239</v>
      </c>
      <c r="C62" s="4" t="s">
        <v>240</v>
      </c>
      <c r="D62" s="11" t="e">
        <v>#N/A</v>
      </c>
      <c r="E62" s="55" t="e">
        <v>#N/A</v>
      </c>
      <c r="F62" s="7" t="e">
        <v>#N/A</v>
      </c>
      <c r="G62" s="55" t="e">
        <v>#N/A</v>
      </c>
      <c r="H62" s="55" t="e">
        <v>#N/A</v>
      </c>
      <c r="I62" s="55" t="e">
        <v>#N/A</v>
      </c>
      <c r="J62" s="55" t="e">
        <v>#N/A</v>
      </c>
      <c r="K62" s="55" t="e">
        <v>#N/A</v>
      </c>
    </row>
    <row r="63" spans="1:11" ht="45" hidden="1" x14ac:dyDescent="0.25">
      <c r="A63" s="2" t="s">
        <v>118</v>
      </c>
      <c r="B63" s="3" t="s">
        <v>241</v>
      </c>
      <c r="C63" s="4" t="s">
        <v>242</v>
      </c>
      <c r="D63" s="11" t="e">
        <v>#N/A</v>
      </c>
      <c r="E63" s="55" t="e">
        <v>#N/A</v>
      </c>
      <c r="F63" s="7" t="e">
        <v>#N/A</v>
      </c>
      <c r="G63" s="55" t="e">
        <v>#N/A</v>
      </c>
      <c r="H63" s="55" t="e">
        <v>#N/A</v>
      </c>
      <c r="I63" s="55" t="e">
        <v>#N/A</v>
      </c>
      <c r="J63" s="55" t="e">
        <v>#N/A</v>
      </c>
      <c r="K63" s="55" t="e">
        <v>#N/A</v>
      </c>
    </row>
    <row r="64" spans="1:11" ht="45" hidden="1" x14ac:dyDescent="0.25">
      <c r="A64" s="2" t="s">
        <v>118</v>
      </c>
      <c r="B64" s="3" t="s">
        <v>243</v>
      </c>
      <c r="C64" s="4" t="s">
        <v>244</v>
      </c>
      <c r="D64" s="11" t="e">
        <v>#N/A</v>
      </c>
      <c r="E64" s="55" t="e">
        <v>#N/A</v>
      </c>
      <c r="F64" s="7" t="e">
        <v>#N/A</v>
      </c>
      <c r="G64" s="55" t="e">
        <v>#N/A</v>
      </c>
      <c r="H64" s="55" t="e">
        <v>#N/A</v>
      </c>
      <c r="I64" s="55" t="e">
        <v>#N/A</v>
      </c>
      <c r="J64" s="55" t="e">
        <v>#N/A</v>
      </c>
      <c r="K64" s="55" t="e">
        <v>#N/A</v>
      </c>
    </row>
    <row r="65" spans="1:11" ht="45" hidden="1" x14ac:dyDescent="0.25">
      <c r="A65" s="2" t="s">
        <v>118</v>
      </c>
      <c r="B65" s="3" t="s">
        <v>245</v>
      </c>
      <c r="C65" s="4" t="s">
        <v>246</v>
      </c>
      <c r="D65" s="11" t="e">
        <v>#N/A</v>
      </c>
      <c r="E65" s="55" t="e">
        <v>#N/A</v>
      </c>
      <c r="F65" s="7" t="e">
        <v>#N/A</v>
      </c>
      <c r="G65" s="55" t="e">
        <v>#N/A</v>
      </c>
      <c r="H65" s="55" t="e">
        <v>#N/A</v>
      </c>
      <c r="I65" s="55" t="e">
        <v>#N/A</v>
      </c>
      <c r="J65" s="55" t="e">
        <v>#N/A</v>
      </c>
      <c r="K65" s="55" t="e">
        <v>#N/A</v>
      </c>
    </row>
    <row r="66" spans="1:11" ht="45" hidden="1" x14ac:dyDescent="0.25">
      <c r="A66" s="2" t="s">
        <v>118</v>
      </c>
      <c r="B66" s="3" t="s">
        <v>247</v>
      </c>
      <c r="C66" s="4" t="s">
        <v>248</v>
      </c>
      <c r="D66" s="11" t="e">
        <v>#N/A</v>
      </c>
      <c r="E66" s="55" t="e">
        <v>#N/A</v>
      </c>
      <c r="F66" s="7" t="e">
        <v>#N/A</v>
      </c>
      <c r="G66" s="55" t="e">
        <v>#N/A</v>
      </c>
      <c r="H66" s="55" t="e">
        <v>#N/A</v>
      </c>
      <c r="I66" s="55" t="e">
        <v>#N/A</v>
      </c>
      <c r="J66" s="55" t="e">
        <v>#N/A</v>
      </c>
      <c r="K66" s="55" t="e">
        <v>#N/A</v>
      </c>
    </row>
    <row r="67" spans="1:11" ht="45" hidden="1" x14ac:dyDescent="0.25">
      <c r="A67" s="2" t="s">
        <v>118</v>
      </c>
      <c r="B67" s="3" t="s">
        <v>249</v>
      </c>
      <c r="C67" s="4" t="s">
        <v>250</v>
      </c>
      <c r="D67" s="6" t="e">
        <v>#N/A</v>
      </c>
      <c r="E67" s="13" t="e">
        <v>#N/A</v>
      </c>
      <c r="F67" s="7" t="e">
        <v>#N/A</v>
      </c>
      <c r="G67" s="55" t="e">
        <v>#N/A</v>
      </c>
      <c r="H67" s="55" t="e">
        <v>#N/A</v>
      </c>
      <c r="I67" s="55" t="e">
        <v>#N/A</v>
      </c>
      <c r="J67" s="55" t="e">
        <v>#N/A</v>
      </c>
      <c r="K67" s="55" t="e">
        <v>#N/A</v>
      </c>
    </row>
    <row r="68" spans="1:11" hidden="1" x14ac:dyDescent="0.25">
      <c r="A68" s="2" t="s">
        <v>118</v>
      </c>
      <c r="B68" s="3" t="s">
        <v>251</v>
      </c>
      <c r="C68" s="4" t="s">
        <v>252</v>
      </c>
      <c r="D68" s="6" t="e">
        <v>#N/A</v>
      </c>
      <c r="E68" s="13" t="e">
        <v>#N/A</v>
      </c>
      <c r="F68" s="7" t="e">
        <v>#N/A</v>
      </c>
      <c r="G68" s="55" t="e">
        <v>#N/A</v>
      </c>
      <c r="H68" s="55" t="e">
        <v>#N/A</v>
      </c>
      <c r="I68" s="55" t="e">
        <v>#N/A</v>
      </c>
      <c r="J68" s="55" t="e">
        <v>#N/A</v>
      </c>
      <c r="K68" s="55" t="e">
        <v>#N/A</v>
      </c>
    </row>
    <row r="69" spans="1:11" ht="30" hidden="1" x14ac:dyDescent="0.25">
      <c r="A69" s="2" t="s">
        <v>118</v>
      </c>
      <c r="B69" s="3" t="s">
        <v>253</v>
      </c>
      <c r="C69" s="4" t="s">
        <v>254</v>
      </c>
      <c r="D69" s="6" t="e">
        <v>#N/A</v>
      </c>
      <c r="E69" s="13" t="e">
        <v>#N/A</v>
      </c>
      <c r="F69" s="7" t="e">
        <v>#N/A</v>
      </c>
      <c r="G69" s="55" t="e">
        <v>#N/A</v>
      </c>
      <c r="H69" s="55" t="e">
        <v>#N/A</v>
      </c>
      <c r="I69" s="55" t="e">
        <v>#N/A</v>
      </c>
      <c r="J69" s="55" t="e">
        <v>#N/A</v>
      </c>
      <c r="K69" s="55" t="e">
        <v>#N/A</v>
      </c>
    </row>
    <row r="70" spans="1:11" ht="30" hidden="1" x14ac:dyDescent="0.25">
      <c r="A70" s="2" t="s">
        <v>118</v>
      </c>
      <c r="B70" s="3" t="s">
        <v>255</v>
      </c>
      <c r="C70" s="4" t="s">
        <v>256</v>
      </c>
      <c r="D70" s="8" t="e">
        <v>#N/A</v>
      </c>
      <c r="E70" s="13" t="e">
        <v>#N/A</v>
      </c>
      <c r="F70" s="7" t="e">
        <v>#N/A</v>
      </c>
      <c r="G70" s="55" t="e">
        <v>#N/A</v>
      </c>
      <c r="H70" s="55" t="e">
        <v>#N/A</v>
      </c>
      <c r="I70" s="55" t="e">
        <v>#N/A</v>
      </c>
      <c r="J70" s="55" t="e">
        <v>#N/A</v>
      </c>
      <c r="K70" s="55" t="e">
        <v>#N/A</v>
      </c>
    </row>
    <row r="71" spans="1:11" ht="45" hidden="1" x14ac:dyDescent="0.25">
      <c r="A71" s="2" t="s">
        <v>118</v>
      </c>
      <c r="B71" s="3" t="s">
        <v>257</v>
      </c>
      <c r="C71" s="4" t="s">
        <v>258</v>
      </c>
      <c r="D71" s="8" t="e">
        <v>#N/A</v>
      </c>
      <c r="E71" s="13" t="e">
        <v>#N/A</v>
      </c>
      <c r="F71" s="7" t="e">
        <v>#N/A</v>
      </c>
      <c r="G71" s="55" t="e">
        <v>#N/A</v>
      </c>
      <c r="H71" s="55" t="e">
        <v>#N/A</v>
      </c>
      <c r="I71" s="55" t="e">
        <v>#N/A</v>
      </c>
      <c r="J71" s="55" t="e">
        <v>#N/A</v>
      </c>
      <c r="K71" s="55" t="e">
        <v>#N/A</v>
      </c>
    </row>
    <row r="72" spans="1:11" ht="45" hidden="1" x14ac:dyDescent="0.25">
      <c r="A72" s="2" t="s">
        <v>118</v>
      </c>
      <c r="B72" s="3" t="s">
        <v>259</v>
      </c>
      <c r="C72" s="4" t="s">
        <v>260</v>
      </c>
      <c r="D72" s="8" t="e">
        <v>#N/A</v>
      </c>
      <c r="E72" s="13" t="e">
        <v>#N/A</v>
      </c>
      <c r="F72" s="7" t="e">
        <v>#N/A</v>
      </c>
      <c r="G72" s="55" t="e">
        <v>#N/A</v>
      </c>
      <c r="H72" s="55" t="e">
        <v>#N/A</v>
      </c>
      <c r="I72" s="55" t="e">
        <v>#N/A</v>
      </c>
      <c r="J72" s="55" t="e">
        <v>#N/A</v>
      </c>
      <c r="K72" s="55" t="e">
        <v>#N/A</v>
      </c>
    </row>
    <row r="73" spans="1:11" ht="45" hidden="1" x14ac:dyDescent="0.25">
      <c r="A73" s="2" t="s">
        <v>118</v>
      </c>
      <c r="B73" s="3" t="s">
        <v>261</v>
      </c>
      <c r="C73" s="4" t="s">
        <v>262</v>
      </c>
      <c r="D73" s="10" t="e">
        <v>#N/A</v>
      </c>
      <c r="E73" s="13" t="e">
        <v>#N/A</v>
      </c>
      <c r="F73" s="7" t="e">
        <v>#N/A</v>
      </c>
      <c r="G73" s="55" t="e">
        <v>#N/A</v>
      </c>
      <c r="H73" s="55" t="e">
        <v>#N/A</v>
      </c>
      <c r="I73" s="55" t="e">
        <v>#N/A</v>
      </c>
      <c r="J73" s="55" t="e">
        <v>#N/A</v>
      </c>
      <c r="K73" s="55" t="e">
        <v>#N/A</v>
      </c>
    </row>
    <row r="74" spans="1:11" ht="45" hidden="1" x14ac:dyDescent="0.25">
      <c r="A74" s="2" t="s">
        <v>118</v>
      </c>
      <c r="B74" s="3" t="s">
        <v>263</v>
      </c>
      <c r="C74" s="4" t="s">
        <v>264</v>
      </c>
      <c r="D74" s="10" t="e">
        <v>#N/A</v>
      </c>
      <c r="E74" s="13" t="e">
        <v>#N/A</v>
      </c>
      <c r="F74" s="7" t="e">
        <v>#N/A</v>
      </c>
      <c r="G74" s="55" t="e">
        <v>#N/A</v>
      </c>
      <c r="H74" s="55" t="e">
        <v>#N/A</v>
      </c>
      <c r="I74" s="55" t="e">
        <v>#N/A</v>
      </c>
      <c r="J74" s="55" t="e">
        <v>#N/A</v>
      </c>
      <c r="K74" s="55" t="e">
        <v>#N/A</v>
      </c>
    </row>
    <row r="75" spans="1:11" ht="45" hidden="1" x14ac:dyDescent="0.25">
      <c r="A75" s="2" t="s">
        <v>118</v>
      </c>
      <c r="B75" s="3" t="s">
        <v>265</v>
      </c>
      <c r="C75" s="4" t="s">
        <v>266</v>
      </c>
      <c r="D75" s="10" t="e">
        <v>#N/A</v>
      </c>
      <c r="E75" s="13" t="e">
        <v>#N/A</v>
      </c>
      <c r="F75" s="7" t="e">
        <v>#N/A</v>
      </c>
      <c r="G75" s="55" t="e">
        <v>#N/A</v>
      </c>
      <c r="H75" s="55" t="e">
        <v>#N/A</v>
      </c>
      <c r="I75" s="55" t="e">
        <v>#N/A</v>
      </c>
      <c r="J75" s="55" t="e">
        <v>#N/A</v>
      </c>
      <c r="K75" s="55" t="e">
        <v>#N/A</v>
      </c>
    </row>
    <row r="76" spans="1:11" ht="30" hidden="1" x14ac:dyDescent="0.25">
      <c r="A76" s="2" t="s">
        <v>118</v>
      </c>
      <c r="B76" s="3" t="s">
        <v>267</v>
      </c>
      <c r="C76" s="4" t="s">
        <v>268</v>
      </c>
      <c r="D76" s="10" t="e">
        <v>#N/A</v>
      </c>
      <c r="E76" s="13" t="e">
        <v>#N/A</v>
      </c>
      <c r="F76" s="7" t="e">
        <v>#N/A</v>
      </c>
      <c r="G76" s="55" t="e">
        <v>#N/A</v>
      </c>
      <c r="H76" s="55" t="e">
        <v>#N/A</v>
      </c>
      <c r="I76" s="55" t="e">
        <v>#N/A</v>
      </c>
      <c r="J76" s="55" t="e">
        <v>#N/A</v>
      </c>
      <c r="K76" s="55" t="e">
        <v>#N/A</v>
      </c>
    </row>
    <row r="77" spans="1:11" ht="45" hidden="1" x14ac:dyDescent="0.25">
      <c r="A77" s="2" t="s">
        <v>118</v>
      </c>
      <c r="B77" s="3" t="s">
        <v>269</v>
      </c>
      <c r="C77" s="4" t="s">
        <v>270</v>
      </c>
      <c r="D77" s="10" t="e">
        <v>#N/A</v>
      </c>
      <c r="E77" s="13" t="e">
        <v>#N/A</v>
      </c>
      <c r="F77" s="7" t="e">
        <v>#N/A</v>
      </c>
      <c r="G77" s="55" t="e">
        <v>#N/A</v>
      </c>
      <c r="H77" s="55" t="e">
        <v>#N/A</v>
      </c>
      <c r="I77" s="55" t="e">
        <v>#N/A</v>
      </c>
      <c r="J77" s="55" t="e">
        <v>#N/A</v>
      </c>
      <c r="K77" s="55" t="e">
        <v>#N/A</v>
      </c>
    </row>
    <row r="78" spans="1:11" ht="45" hidden="1" x14ac:dyDescent="0.25">
      <c r="A78" s="2" t="s">
        <v>118</v>
      </c>
      <c r="B78" s="3" t="s">
        <v>271</v>
      </c>
      <c r="C78" s="4" t="s">
        <v>272</v>
      </c>
      <c r="D78" s="10" t="e">
        <v>#N/A</v>
      </c>
      <c r="E78" s="13" t="e">
        <v>#N/A</v>
      </c>
      <c r="F78" s="7" t="e">
        <v>#N/A</v>
      </c>
      <c r="G78" s="55" t="e">
        <v>#N/A</v>
      </c>
      <c r="H78" s="55" t="e">
        <v>#N/A</v>
      </c>
      <c r="I78" s="55" t="e">
        <v>#N/A</v>
      </c>
      <c r="J78" s="55" t="e">
        <v>#N/A</v>
      </c>
      <c r="K78" s="55" t="e">
        <v>#N/A</v>
      </c>
    </row>
    <row r="79" spans="1:11" ht="45" hidden="1" x14ac:dyDescent="0.25">
      <c r="A79" s="2" t="s">
        <v>118</v>
      </c>
      <c r="B79" s="3" t="s">
        <v>273</v>
      </c>
      <c r="C79" s="4" t="s">
        <v>274</v>
      </c>
      <c r="D79" s="10" t="e">
        <v>#N/A</v>
      </c>
      <c r="E79" s="13" t="e">
        <v>#N/A</v>
      </c>
      <c r="F79" s="7" t="e">
        <v>#N/A</v>
      </c>
      <c r="G79" s="55" t="e">
        <v>#N/A</v>
      </c>
      <c r="H79" s="55" t="e">
        <v>#N/A</v>
      </c>
      <c r="I79" s="55" t="e">
        <v>#N/A</v>
      </c>
      <c r="J79" s="55" t="e">
        <v>#N/A</v>
      </c>
      <c r="K79" s="55" t="e">
        <v>#N/A</v>
      </c>
    </row>
    <row r="80" spans="1:11" ht="30" hidden="1" x14ac:dyDescent="0.25">
      <c r="A80" s="2" t="s">
        <v>118</v>
      </c>
      <c r="B80" s="3" t="s">
        <v>275</v>
      </c>
      <c r="C80" s="4" t="s">
        <v>276</v>
      </c>
      <c r="D80" s="10" t="e">
        <v>#N/A</v>
      </c>
      <c r="E80" s="7" t="e">
        <v>#N/A</v>
      </c>
      <c r="F80" s="7" t="e">
        <v>#N/A</v>
      </c>
      <c r="G80" s="55" t="e">
        <v>#N/A</v>
      </c>
      <c r="H80" s="55" t="e">
        <v>#N/A</v>
      </c>
      <c r="I80" s="55" t="e">
        <v>#N/A</v>
      </c>
      <c r="J80" s="55" t="e">
        <v>#N/A</v>
      </c>
      <c r="K80" s="55" t="e">
        <v>#N/A</v>
      </c>
    </row>
    <row r="81" spans="1:11" ht="30" hidden="1" x14ac:dyDescent="0.25">
      <c r="A81" s="2" t="s">
        <v>118</v>
      </c>
      <c r="B81" s="3" t="s">
        <v>277</v>
      </c>
      <c r="C81" s="4" t="s">
        <v>278</v>
      </c>
      <c r="D81" s="10" t="e">
        <v>#N/A</v>
      </c>
      <c r="E81" s="7" t="e">
        <v>#N/A</v>
      </c>
      <c r="F81" s="7" t="e">
        <v>#N/A</v>
      </c>
      <c r="G81" s="55" t="e">
        <v>#N/A</v>
      </c>
      <c r="H81" s="55" t="e">
        <v>#N/A</v>
      </c>
      <c r="I81" s="55" t="e">
        <v>#N/A</v>
      </c>
      <c r="J81" s="55" t="e">
        <v>#N/A</v>
      </c>
      <c r="K81" s="55" t="e">
        <v>#N/A</v>
      </c>
    </row>
    <row r="82" spans="1:11" ht="30" hidden="1" x14ac:dyDescent="0.25">
      <c r="A82" s="2" t="s">
        <v>118</v>
      </c>
      <c r="B82" s="3" t="s">
        <v>279</v>
      </c>
      <c r="C82" s="4" t="s">
        <v>280</v>
      </c>
      <c r="D82" s="10" t="e">
        <v>#N/A</v>
      </c>
      <c r="E82" s="7" t="e">
        <v>#N/A</v>
      </c>
      <c r="F82" s="7" t="e">
        <v>#N/A</v>
      </c>
      <c r="G82" s="55" t="e">
        <v>#N/A</v>
      </c>
      <c r="H82" s="55" t="e">
        <v>#N/A</v>
      </c>
      <c r="I82" s="55" t="e">
        <v>#N/A</v>
      </c>
      <c r="J82" s="55" t="e">
        <v>#N/A</v>
      </c>
      <c r="K82" s="55" t="e">
        <v>#N/A</v>
      </c>
    </row>
    <row r="83" spans="1:11" ht="30" hidden="1" x14ac:dyDescent="0.25">
      <c r="A83" s="2" t="s">
        <v>118</v>
      </c>
      <c r="B83" s="3" t="s">
        <v>281</v>
      </c>
      <c r="C83" s="4" t="s">
        <v>282</v>
      </c>
      <c r="D83" s="10" t="e">
        <v>#N/A</v>
      </c>
      <c r="E83" s="7" t="e">
        <v>#N/A</v>
      </c>
      <c r="F83" s="7" t="e">
        <v>#N/A</v>
      </c>
      <c r="G83" s="55" t="e">
        <v>#N/A</v>
      </c>
      <c r="H83" s="55" t="e">
        <v>#N/A</v>
      </c>
      <c r="I83" s="55" t="e">
        <v>#N/A</v>
      </c>
      <c r="J83" s="55" t="e">
        <v>#N/A</v>
      </c>
      <c r="K83" s="55" t="e">
        <v>#N/A</v>
      </c>
    </row>
    <row r="84" spans="1:11" ht="45" hidden="1" x14ac:dyDescent="0.25">
      <c r="A84" s="2" t="s">
        <v>118</v>
      </c>
      <c r="B84" s="3" t="s">
        <v>283</v>
      </c>
      <c r="C84" s="4" t="s">
        <v>284</v>
      </c>
      <c r="D84" s="10" t="e">
        <v>#N/A</v>
      </c>
      <c r="E84" s="13" t="e">
        <v>#N/A</v>
      </c>
      <c r="F84" s="7" t="e">
        <v>#N/A</v>
      </c>
      <c r="G84" s="55" t="e">
        <v>#N/A</v>
      </c>
      <c r="H84" s="55" t="e">
        <v>#N/A</v>
      </c>
      <c r="I84" s="55" t="e">
        <v>#N/A</v>
      </c>
      <c r="J84" s="55" t="e">
        <v>#N/A</v>
      </c>
      <c r="K84" s="55" t="e">
        <v>#N/A</v>
      </c>
    </row>
    <row r="85" spans="1:11" ht="30" hidden="1" x14ac:dyDescent="0.25">
      <c r="A85" s="2" t="s">
        <v>118</v>
      </c>
      <c r="B85" s="5" t="s">
        <v>285</v>
      </c>
      <c r="C85" s="4" t="s">
        <v>286</v>
      </c>
      <c r="D85" s="11" t="e">
        <v>#N/A</v>
      </c>
      <c r="E85" s="55" t="e">
        <v>#N/A</v>
      </c>
      <c r="F85" s="7" t="e">
        <v>#N/A</v>
      </c>
      <c r="G85" s="55" t="e">
        <v>#N/A</v>
      </c>
      <c r="H85" s="55" t="e">
        <v>#N/A</v>
      </c>
      <c r="I85" s="55" t="e">
        <v>#N/A</v>
      </c>
      <c r="J85" s="55" t="e">
        <v>#N/A</v>
      </c>
      <c r="K85" s="55" t="e">
        <v>#N/A</v>
      </c>
    </row>
    <row r="86" spans="1:11" ht="45" hidden="1" x14ac:dyDescent="0.25">
      <c r="A86" s="2" t="s">
        <v>118</v>
      </c>
      <c r="B86" s="5" t="s">
        <v>287</v>
      </c>
      <c r="C86" s="4" t="s">
        <v>288</v>
      </c>
      <c r="D86" s="11" t="e">
        <v>#N/A</v>
      </c>
      <c r="E86" s="55" t="e">
        <v>#N/A</v>
      </c>
      <c r="F86" s="7" t="e">
        <v>#N/A</v>
      </c>
      <c r="G86" s="55" t="e">
        <v>#N/A</v>
      </c>
      <c r="H86" s="55" t="e">
        <v>#N/A</v>
      </c>
      <c r="I86" s="55" t="e">
        <v>#N/A</v>
      </c>
      <c r="J86" s="55" t="e">
        <v>#N/A</v>
      </c>
      <c r="K86" s="55" t="e">
        <v>#N/A</v>
      </c>
    </row>
    <row r="87" spans="1:11" ht="30" hidden="1" x14ac:dyDescent="0.25">
      <c r="A87" s="2" t="s">
        <v>118</v>
      </c>
      <c r="B87" s="5" t="s">
        <v>289</v>
      </c>
      <c r="C87" s="4" t="s">
        <v>290</v>
      </c>
      <c r="D87" s="11" t="e">
        <v>#N/A</v>
      </c>
      <c r="E87" s="55" t="e">
        <v>#N/A</v>
      </c>
      <c r="F87" s="7" t="e">
        <v>#N/A</v>
      </c>
      <c r="G87" s="55" t="e">
        <v>#N/A</v>
      </c>
      <c r="H87" s="55" t="e">
        <v>#N/A</v>
      </c>
      <c r="I87" s="55" t="e">
        <v>#N/A</v>
      </c>
      <c r="J87" s="55" t="e">
        <v>#N/A</v>
      </c>
      <c r="K87" s="55" t="e">
        <v>#N/A</v>
      </c>
    </row>
    <row r="88" spans="1:11" hidden="1" x14ac:dyDescent="0.25">
      <c r="A88" s="2" t="s">
        <v>118</v>
      </c>
      <c r="B88" s="3" t="s">
        <v>291</v>
      </c>
      <c r="C88" s="4" t="s">
        <v>292</v>
      </c>
      <c r="D88" s="12" t="e">
        <v>#N/A</v>
      </c>
      <c r="E88" s="13" t="e">
        <v>#N/A</v>
      </c>
      <c r="F88" s="7" t="e">
        <v>#N/A</v>
      </c>
      <c r="G88" s="55" t="e">
        <v>#N/A</v>
      </c>
      <c r="H88" s="55" t="e">
        <v>#N/A</v>
      </c>
      <c r="I88" s="55" t="e">
        <v>#N/A</v>
      </c>
      <c r="J88" s="55" t="e">
        <v>#N/A</v>
      </c>
      <c r="K88" s="55" t="e">
        <v>#N/A</v>
      </c>
    </row>
    <row r="89" spans="1:11" hidden="1" x14ac:dyDescent="0.25">
      <c r="A89" s="2" t="s">
        <v>118</v>
      </c>
      <c r="B89" s="3" t="s">
        <v>293</v>
      </c>
      <c r="C89" s="4" t="s">
        <v>294</v>
      </c>
      <c r="D89" s="11" t="e">
        <v>#N/A</v>
      </c>
      <c r="E89" s="13" t="e">
        <v>#N/A</v>
      </c>
      <c r="F89" s="7" t="e">
        <v>#N/A</v>
      </c>
      <c r="G89" s="55" t="e">
        <v>#N/A</v>
      </c>
      <c r="H89" s="55" t="e">
        <v>#N/A</v>
      </c>
      <c r="I89" s="55" t="e">
        <v>#N/A</v>
      </c>
      <c r="J89" s="55" t="e">
        <v>#N/A</v>
      </c>
      <c r="K89" s="55" t="e">
        <v>#N/A</v>
      </c>
    </row>
    <row r="90" spans="1:11" ht="45" hidden="1" x14ac:dyDescent="0.25">
      <c r="A90" s="2" t="s">
        <v>118</v>
      </c>
      <c r="B90" s="3" t="s">
        <v>295</v>
      </c>
      <c r="C90" s="4" t="s">
        <v>296</v>
      </c>
      <c r="D90" s="11" t="e">
        <v>#N/A</v>
      </c>
      <c r="E90" s="13" t="e">
        <v>#N/A</v>
      </c>
      <c r="F90" s="7" t="e">
        <v>#N/A</v>
      </c>
      <c r="G90" s="55" t="e">
        <v>#N/A</v>
      </c>
      <c r="H90" s="55" t="e">
        <v>#N/A</v>
      </c>
      <c r="I90" s="55" t="e">
        <v>#N/A</v>
      </c>
      <c r="J90" s="55" t="e">
        <v>#N/A</v>
      </c>
      <c r="K90" s="55" t="e">
        <v>#N/A</v>
      </c>
    </row>
    <row r="91" spans="1:11" ht="60" hidden="1" x14ac:dyDescent="0.25">
      <c r="A91" s="2" t="s">
        <v>118</v>
      </c>
      <c r="B91" s="3" t="s">
        <v>297</v>
      </c>
      <c r="C91" s="4" t="s">
        <v>298</v>
      </c>
      <c r="D91" s="11" t="e">
        <v>#N/A</v>
      </c>
      <c r="E91" s="13" t="e">
        <v>#N/A</v>
      </c>
      <c r="F91" s="7" t="e">
        <v>#N/A</v>
      </c>
      <c r="G91" s="55" t="e">
        <v>#N/A</v>
      </c>
      <c r="H91" s="55" t="e">
        <v>#N/A</v>
      </c>
      <c r="I91" s="55" t="e">
        <v>#N/A</v>
      </c>
      <c r="J91" s="55" t="e">
        <v>#N/A</v>
      </c>
      <c r="K91" s="55" t="e">
        <v>#N/A</v>
      </c>
    </row>
    <row r="92" spans="1:11" ht="30" hidden="1" x14ac:dyDescent="0.25">
      <c r="A92" s="2" t="s">
        <v>118</v>
      </c>
      <c r="B92" s="3" t="s">
        <v>299</v>
      </c>
      <c r="C92" s="4" t="s">
        <v>300</v>
      </c>
      <c r="D92" s="11" t="e">
        <v>#N/A</v>
      </c>
      <c r="E92" s="13" t="e">
        <v>#N/A</v>
      </c>
      <c r="F92" s="7" t="e">
        <v>#N/A</v>
      </c>
      <c r="G92" s="55" t="e">
        <v>#N/A</v>
      </c>
      <c r="H92" s="55" t="e">
        <v>#N/A</v>
      </c>
      <c r="I92" s="55" t="e">
        <v>#N/A</v>
      </c>
      <c r="J92" s="55" t="e">
        <v>#N/A</v>
      </c>
      <c r="K92" s="55" t="e">
        <v>#N/A</v>
      </c>
    </row>
    <row r="93" spans="1:11" ht="30" hidden="1" x14ac:dyDescent="0.25">
      <c r="A93" s="2" t="s">
        <v>118</v>
      </c>
      <c r="B93" s="3" t="s">
        <v>301</v>
      </c>
      <c r="C93" s="4" t="s">
        <v>302</v>
      </c>
      <c r="D93" s="11" t="e">
        <v>#N/A</v>
      </c>
      <c r="E93" s="13" t="e">
        <v>#N/A</v>
      </c>
      <c r="F93" s="7" t="e">
        <v>#N/A</v>
      </c>
      <c r="G93" s="55" t="e">
        <v>#N/A</v>
      </c>
      <c r="H93" s="55" t="e">
        <v>#N/A</v>
      </c>
      <c r="I93" s="55" t="e">
        <v>#N/A</v>
      </c>
      <c r="J93" s="55" t="e">
        <v>#N/A</v>
      </c>
      <c r="K93" s="55" t="e">
        <v>#N/A</v>
      </c>
    </row>
    <row r="94" spans="1:11" ht="30" hidden="1" x14ac:dyDescent="0.25">
      <c r="A94" s="2" t="s">
        <v>118</v>
      </c>
      <c r="B94" s="3" t="s">
        <v>303</v>
      </c>
      <c r="C94" s="4" t="s">
        <v>304</v>
      </c>
      <c r="D94" s="11" t="e">
        <v>#N/A</v>
      </c>
      <c r="E94" s="13" t="e">
        <v>#N/A</v>
      </c>
      <c r="F94" s="7" t="e">
        <v>#N/A</v>
      </c>
      <c r="G94" s="55" t="e">
        <v>#N/A</v>
      </c>
      <c r="H94" s="55" t="e">
        <v>#N/A</v>
      </c>
      <c r="I94" s="55" t="e">
        <v>#N/A</v>
      </c>
      <c r="J94" s="55" t="e">
        <v>#N/A</v>
      </c>
      <c r="K94" s="55" t="e">
        <v>#N/A</v>
      </c>
    </row>
    <row r="95" spans="1:11" ht="30" hidden="1" x14ac:dyDescent="0.25">
      <c r="A95" s="2" t="s">
        <v>118</v>
      </c>
      <c r="B95" s="3" t="s">
        <v>305</v>
      </c>
      <c r="C95" s="4" t="s">
        <v>306</v>
      </c>
      <c r="D95" s="11" t="e">
        <v>#N/A</v>
      </c>
      <c r="E95" s="13" t="e">
        <v>#N/A</v>
      </c>
      <c r="F95" s="7" t="e">
        <v>#N/A</v>
      </c>
      <c r="G95" s="55" t="e">
        <v>#N/A</v>
      </c>
      <c r="H95" s="55" t="e">
        <v>#N/A</v>
      </c>
      <c r="I95" s="55" t="e">
        <v>#N/A</v>
      </c>
      <c r="J95" s="55" t="e">
        <v>#N/A</v>
      </c>
      <c r="K95" s="55" t="e">
        <v>#N/A</v>
      </c>
    </row>
    <row r="96" spans="1:11" ht="30" hidden="1" x14ac:dyDescent="0.25">
      <c r="A96" s="2" t="s">
        <v>118</v>
      </c>
      <c r="B96" s="3" t="s">
        <v>307</v>
      </c>
      <c r="C96" s="4" t="s">
        <v>308</v>
      </c>
      <c r="D96" s="11" t="e">
        <v>#N/A</v>
      </c>
      <c r="E96" s="13" t="e">
        <v>#N/A</v>
      </c>
      <c r="F96" s="7" t="e">
        <v>#N/A</v>
      </c>
      <c r="G96" s="55" t="e">
        <v>#N/A</v>
      </c>
      <c r="H96" s="55" t="e">
        <v>#N/A</v>
      </c>
      <c r="I96" s="55" t="e">
        <v>#N/A</v>
      </c>
      <c r="J96" s="55" t="e">
        <v>#N/A</v>
      </c>
      <c r="K96" s="55" t="e">
        <v>#N/A</v>
      </c>
    </row>
    <row r="97" spans="1:11" hidden="1" x14ac:dyDescent="0.25">
      <c r="A97" s="2" t="s">
        <v>118</v>
      </c>
      <c r="B97" s="3" t="s">
        <v>309</v>
      </c>
      <c r="C97" s="4" t="s">
        <v>310</v>
      </c>
      <c r="D97" s="11" t="e">
        <v>#N/A</v>
      </c>
      <c r="E97" s="13" t="e">
        <v>#N/A</v>
      </c>
      <c r="F97" s="7" t="e">
        <v>#N/A</v>
      </c>
      <c r="G97" s="55" t="e">
        <v>#N/A</v>
      </c>
      <c r="H97" s="55" t="e">
        <v>#N/A</v>
      </c>
      <c r="I97" s="55" t="e">
        <v>#N/A</v>
      </c>
      <c r="J97" s="55" t="e">
        <v>#N/A</v>
      </c>
      <c r="K97" s="55" t="e">
        <v>#N/A</v>
      </c>
    </row>
    <row r="98" spans="1:11" ht="45" hidden="1" x14ac:dyDescent="0.25">
      <c r="A98" s="2" t="s">
        <v>118</v>
      </c>
      <c r="B98" s="3" t="s">
        <v>311</v>
      </c>
      <c r="C98" s="4" t="s">
        <v>312</v>
      </c>
      <c r="D98" s="11" t="e">
        <v>#N/A</v>
      </c>
      <c r="E98" s="13" t="e">
        <v>#N/A</v>
      </c>
      <c r="F98" s="7" t="e">
        <v>#N/A</v>
      </c>
      <c r="G98" s="55" t="e">
        <v>#N/A</v>
      </c>
      <c r="H98" s="55" t="e">
        <v>#N/A</v>
      </c>
      <c r="I98" s="55" t="e">
        <v>#N/A</v>
      </c>
      <c r="J98" s="55" t="e">
        <v>#N/A</v>
      </c>
      <c r="K98" s="55" t="e">
        <v>#N/A</v>
      </c>
    </row>
    <row r="99" spans="1:11" ht="60" hidden="1" x14ac:dyDescent="0.25">
      <c r="A99" s="2" t="s">
        <v>118</v>
      </c>
      <c r="B99" s="3" t="s">
        <v>313</v>
      </c>
      <c r="C99" s="4" t="s">
        <v>314</v>
      </c>
      <c r="D99" s="11" t="e">
        <v>#N/A</v>
      </c>
      <c r="E99" s="13" t="e">
        <v>#N/A</v>
      </c>
      <c r="F99" s="7" t="e">
        <v>#N/A</v>
      </c>
      <c r="G99" s="55" t="e">
        <v>#N/A</v>
      </c>
      <c r="H99" s="55" t="e">
        <v>#N/A</v>
      </c>
      <c r="I99" s="55" t="e">
        <v>#N/A</v>
      </c>
      <c r="J99" s="55" t="e">
        <v>#N/A</v>
      </c>
      <c r="K99" s="55" t="e">
        <v>#N/A</v>
      </c>
    </row>
    <row r="100" spans="1:11" hidden="1" x14ac:dyDescent="0.25">
      <c r="A100" s="2" t="s">
        <v>118</v>
      </c>
      <c r="B100" s="3" t="s">
        <v>315</v>
      </c>
      <c r="C100" s="4" t="s">
        <v>316</v>
      </c>
      <c r="D100" s="6" t="e">
        <v>#N/A</v>
      </c>
      <c r="E100" s="13" t="e">
        <v>#N/A</v>
      </c>
      <c r="F100" s="7" t="e">
        <v>#N/A</v>
      </c>
      <c r="G100" s="55" t="e">
        <v>#N/A</v>
      </c>
      <c r="H100" s="55" t="e">
        <v>#N/A</v>
      </c>
      <c r="I100" s="55" t="e">
        <v>#N/A</v>
      </c>
      <c r="J100" s="55" t="e">
        <v>#N/A</v>
      </c>
      <c r="K100" s="55" t="e">
        <v>#N/A</v>
      </c>
    </row>
    <row r="101" spans="1:11" ht="30" hidden="1" x14ac:dyDescent="0.25">
      <c r="A101" s="2" t="s">
        <v>118</v>
      </c>
      <c r="B101" s="3" t="s">
        <v>317</v>
      </c>
      <c r="C101" s="4" t="s">
        <v>318</v>
      </c>
      <c r="D101" s="62" t="e">
        <v>#N/A</v>
      </c>
      <c r="E101" s="55" t="e">
        <v>#N/A</v>
      </c>
      <c r="F101" s="55" t="e">
        <v>#N/A</v>
      </c>
      <c r="G101" s="55" t="e">
        <v>#N/A</v>
      </c>
      <c r="H101" s="55" t="e">
        <v>#N/A</v>
      </c>
      <c r="I101" s="55" t="e">
        <v>#N/A</v>
      </c>
      <c r="J101" s="55" t="e">
        <v>#N/A</v>
      </c>
      <c r="K101" s="55" t="e">
        <v>#N/A</v>
      </c>
    </row>
    <row r="102" spans="1:11" ht="45" hidden="1" x14ac:dyDescent="0.25">
      <c r="A102" s="2" t="s">
        <v>118</v>
      </c>
      <c r="B102" s="3" t="s">
        <v>319</v>
      </c>
      <c r="C102" s="4" t="s">
        <v>320</v>
      </c>
      <c r="D102" s="62" t="e">
        <v>#N/A</v>
      </c>
      <c r="E102" s="55" t="e">
        <v>#N/A</v>
      </c>
      <c r="F102" s="55" t="e">
        <v>#N/A</v>
      </c>
      <c r="G102" s="55" t="e">
        <v>#N/A</v>
      </c>
      <c r="H102" s="55" t="e">
        <v>#N/A</v>
      </c>
      <c r="I102" s="55" t="e">
        <v>#N/A</v>
      </c>
      <c r="J102" s="55" t="e">
        <v>#N/A</v>
      </c>
      <c r="K102" s="55" t="e">
        <v>#N/A</v>
      </c>
    </row>
    <row r="103" spans="1:11" hidden="1" x14ac:dyDescent="0.25">
      <c r="A103" s="2" t="s">
        <v>118</v>
      </c>
      <c r="B103" s="3" t="s">
        <v>321</v>
      </c>
      <c r="C103" s="4" t="s">
        <v>322</v>
      </c>
      <c r="D103" s="62" t="e">
        <v>#N/A</v>
      </c>
      <c r="E103" s="55" t="e">
        <v>#N/A</v>
      </c>
      <c r="F103" s="55" t="e">
        <v>#N/A</v>
      </c>
      <c r="G103" s="55" t="e">
        <v>#N/A</v>
      </c>
      <c r="H103" s="55" t="e">
        <v>#N/A</v>
      </c>
      <c r="I103" s="55" t="e">
        <v>#N/A</v>
      </c>
      <c r="J103" s="55" t="e">
        <v>#N/A</v>
      </c>
      <c r="K103" s="55" t="e">
        <v>#N/A</v>
      </c>
    </row>
    <row r="104" spans="1:11" hidden="1" x14ac:dyDescent="0.25">
      <c r="A104" s="2" t="s">
        <v>118</v>
      </c>
      <c r="B104" s="3" t="s">
        <v>323</v>
      </c>
      <c r="C104" s="4" t="s">
        <v>324</v>
      </c>
      <c r="D104" s="62" t="e">
        <v>#N/A</v>
      </c>
      <c r="E104" s="55" t="e">
        <v>#N/A</v>
      </c>
      <c r="F104" s="55" t="e">
        <v>#N/A</v>
      </c>
      <c r="G104" s="55" t="e">
        <v>#N/A</v>
      </c>
      <c r="H104" s="55" t="e">
        <v>#N/A</v>
      </c>
      <c r="I104" s="55" t="e">
        <v>#N/A</v>
      </c>
      <c r="J104" s="55" t="e">
        <v>#N/A</v>
      </c>
      <c r="K104" s="55" t="e">
        <v>#N/A</v>
      </c>
    </row>
    <row r="105" spans="1:11" ht="30" hidden="1" x14ac:dyDescent="0.25">
      <c r="A105" s="2" t="s">
        <v>118</v>
      </c>
      <c r="B105" s="3" t="s">
        <v>325</v>
      </c>
      <c r="C105" s="4" t="s">
        <v>326</v>
      </c>
      <c r="D105" s="62" t="e">
        <v>#N/A</v>
      </c>
      <c r="E105" s="55" t="e">
        <v>#N/A</v>
      </c>
      <c r="F105" s="55" t="e">
        <v>#N/A</v>
      </c>
      <c r="G105" s="55" t="e">
        <v>#N/A</v>
      </c>
      <c r="H105" s="55" t="e">
        <v>#N/A</v>
      </c>
      <c r="I105" s="55" t="e">
        <v>#N/A</v>
      </c>
      <c r="J105" s="55" t="e">
        <v>#N/A</v>
      </c>
      <c r="K105" s="55" t="e">
        <v>#N/A</v>
      </c>
    </row>
    <row r="106" spans="1:11" ht="30" hidden="1" x14ac:dyDescent="0.25">
      <c r="A106" s="2" t="s">
        <v>118</v>
      </c>
      <c r="B106" s="3" t="s">
        <v>327</v>
      </c>
      <c r="C106" s="4" t="s">
        <v>328</v>
      </c>
      <c r="D106" s="62" t="e">
        <v>#N/A</v>
      </c>
      <c r="E106" s="55" t="e">
        <v>#N/A</v>
      </c>
      <c r="F106" s="55" t="e">
        <v>#N/A</v>
      </c>
      <c r="G106" s="55" t="e">
        <v>#N/A</v>
      </c>
      <c r="H106" s="55" t="e">
        <v>#N/A</v>
      </c>
      <c r="I106" s="55" t="e">
        <v>#N/A</v>
      </c>
      <c r="J106" s="55" t="e">
        <v>#N/A</v>
      </c>
      <c r="K106" s="55" t="e">
        <v>#N/A</v>
      </c>
    </row>
    <row r="107" spans="1:11" ht="45" hidden="1" x14ac:dyDescent="0.25">
      <c r="A107" s="2" t="s">
        <v>118</v>
      </c>
      <c r="B107" s="3" t="s">
        <v>329</v>
      </c>
      <c r="C107" s="4" t="s">
        <v>330</v>
      </c>
      <c r="D107" s="62" t="e">
        <v>#N/A</v>
      </c>
      <c r="E107" s="55" t="e">
        <v>#N/A</v>
      </c>
      <c r="F107" s="55" t="e">
        <v>#N/A</v>
      </c>
      <c r="G107" s="55" t="e">
        <v>#N/A</v>
      </c>
      <c r="H107" s="55" t="e">
        <v>#N/A</v>
      </c>
      <c r="I107" s="55" t="e">
        <v>#N/A</v>
      </c>
      <c r="J107" s="55" t="e">
        <v>#N/A</v>
      </c>
      <c r="K107" s="55" t="e">
        <v>#N/A</v>
      </c>
    </row>
    <row r="108" spans="1:11" ht="30" hidden="1" x14ac:dyDescent="0.25">
      <c r="A108" s="2" t="s">
        <v>118</v>
      </c>
      <c r="B108" s="3" t="s">
        <v>331</v>
      </c>
      <c r="C108" s="4" t="s">
        <v>332</v>
      </c>
      <c r="D108" s="62" t="e">
        <v>#N/A</v>
      </c>
      <c r="E108" s="55" t="e">
        <v>#N/A</v>
      </c>
      <c r="F108" s="55" t="e">
        <v>#N/A</v>
      </c>
      <c r="G108" s="55" t="e">
        <v>#N/A</v>
      </c>
      <c r="H108" s="55" t="e">
        <v>#N/A</v>
      </c>
      <c r="I108" s="55" t="e">
        <v>#N/A</v>
      </c>
      <c r="J108" s="55" t="e">
        <v>#N/A</v>
      </c>
      <c r="K108" s="55" t="e">
        <v>#N/A</v>
      </c>
    </row>
    <row r="109" spans="1:11" ht="45" hidden="1" x14ac:dyDescent="0.25">
      <c r="A109" s="2" t="s">
        <v>118</v>
      </c>
      <c r="B109" s="3" t="s">
        <v>333</v>
      </c>
      <c r="C109" s="4" t="s">
        <v>334</v>
      </c>
      <c r="D109" s="62" t="e">
        <v>#N/A</v>
      </c>
      <c r="E109" s="55" t="e">
        <v>#N/A</v>
      </c>
      <c r="F109" s="55" t="e">
        <v>#N/A</v>
      </c>
      <c r="G109" s="55" t="e">
        <v>#N/A</v>
      </c>
      <c r="H109" s="55" t="e">
        <v>#N/A</v>
      </c>
      <c r="I109" s="55" t="e">
        <v>#N/A</v>
      </c>
      <c r="J109" s="55" t="e">
        <v>#N/A</v>
      </c>
      <c r="K109" s="55" t="e">
        <v>#N/A</v>
      </c>
    </row>
    <row r="110" spans="1:11" ht="60" hidden="1" x14ac:dyDescent="0.25">
      <c r="A110" s="2" t="s">
        <v>118</v>
      </c>
      <c r="B110" s="3" t="s">
        <v>335</v>
      </c>
      <c r="C110" s="4" t="s">
        <v>336</v>
      </c>
      <c r="D110" s="62" t="e">
        <v>#N/A</v>
      </c>
      <c r="E110" s="55" t="e">
        <v>#N/A</v>
      </c>
      <c r="F110" s="55" t="e">
        <v>#N/A</v>
      </c>
      <c r="G110" s="55" t="e">
        <v>#N/A</v>
      </c>
      <c r="H110" s="55" t="e">
        <v>#N/A</v>
      </c>
      <c r="I110" s="55" t="e">
        <v>#N/A</v>
      </c>
      <c r="J110" s="55" t="e">
        <v>#N/A</v>
      </c>
      <c r="K110" s="55" t="e">
        <v>#N/A</v>
      </c>
    </row>
    <row r="111" spans="1:11" ht="60" hidden="1" x14ac:dyDescent="0.25">
      <c r="A111" s="2" t="s">
        <v>118</v>
      </c>
      <c r="B111" s="3" t="s">
        <v>337</v>
      </c>
      <c r="C111" s="4" t="s">
        <v>338</v>
      </c>
      <c r="D111" s="62" t="e">
        <v>#N/A</v>
      </c>
      <c r="E111" s="55" t="e">
        <v>#N/A</v>
      </c>
      <c r="F111" s="55" t="e">
        <v>#N/A</v>
      </c>
      <c r="G111" s="55" t="e">
        <v>#N/A</v>
      </c>
      <c r="H111" s="55" t="e">
        <v>#N/A</v>
      </c>
      <c r="I111" s="55" t="e">
        <v>#N/A</v>
      </c>
      <c r="J111" s="55" t="e">
        <v>#N/A</v>
      </c>
      <c r="K111" s="55" t="e">
        <v>#N/A</v>
      </c>
    </row>
    <row r="112" spans="1:11" ht="60" hidden="1" x14ac:dyDescent="0.25">
      <c r="A112" s="2" t="s">
        <v>118</v>
      </c>
      <c r="B112" s="3" t="s">
        <v>339</v>
      </c>
      <c r="C112" s="4" t="s">
        <v>340</v>
      </c>
      <c r="D112" s="62" t="e">
        <v>#N/A</v>
      </c>
      <c r="E112" s="55" t="e">
        <v>#N/A</v>
      </c>
      <c r="F112" s="55" t="e">
        <v>#N/A</v>
      </c>
      <c r="G112" s="55" t="e">
        <v>#N/A</v>
      </c>
      <c r="H112" s="55" t="e">
        <v>#N/A</v>
      </c>
      <c r="I112" s="55" t="e">
        <v>#N/A</v>
      </c>
      <c r="J112" s="55" t="e">
        <v>#N/A</v>
      </c>
      <c r="K112" s="55" t="e">
        <v>#N/A</v>
      </c>
    </row>
    <row r="113" spans="1:11" ht="60" hidden="1" x14ac:dyDescent="0.25">
      <c r="A113" s="2" t="s">
        <v>118</v>
      </c>
      <c r="B113" s="3" t="s">
        <v>341</v>
      </c>
      <c r="C113" s="4" t="s">
        <v>342</v>
      </c>
      <c r="D113" s="62" t="e">
        <v>#N/A</v>
      </c>
      <c r="E113" s="55" t="e">
        <v>#N/A</v>
      </c>
      <c r="F113" s="55" t="e">
        <v>#N/A</v>
      </c>
      <c r="G113" s="55" t="e">
        <v>#N/A</v>
      </c>
      <c r="H113" s="55" t="e">
        <v>#N/A</v>
      </c>
      <c r="I113" s="55" t="e">
        <v>#N/A</v>
      </c>
      <c r="J113" s="55" t="e">
        <v>#N/A</v>
      </c>
      <c r="K113" s="55" t="e">
        <v>#N/A</v>
      </c>
    </row>
    <row r="114" spans="1:11" ht="60" hidden="1" x14ac:dyDescent="0.25">
      <c r="A114" s="2" t="s">
        <v>118</v>
      </c>
      <c r="B114" s="3" t="s">
        <v>343</v>
      </c>
      <c r="C114" s="4" t="s">
        <v>344</v>
      </c>
      <c r="D114" s="62" t="e">
        <v>#N/A</v>
      </c>
      <c r="E114" s="55" t="e">
        <v>#N/A</v>
      </c>
      <c r="F114" s="55" t="e">
        <v>#N/A</v>
      </c>
      <c r="G114" s="55" t="e">
        <v>#N/A</v>
      </c>
      <c r="H114" s="55" t="e">
        <v>#N/A</v>
      </c>
      <c r="I114" s="55" t="e">
        <v>#N/A</v>
      </c>
      <c r="J114" s="55" t="e">
        <v>#N/A</v>
      </c>
      <c r="K114" s="55" t="e">
        <v>#N/A</v>
      </c>
    </row>
    <row r="115" spans="1:11" ht="60" hidden="1" x14ac:dyDescent="0.25">
      <c r="A115" s="2" t="s">
        <v>118</v>
      </c>
      <c r="B115" s="3" t="s">
        <v>345</v>
      </c>
      <c r="C115" s="4" t="s">
        <v>338</v>
      </c>
      <c r="D115" s="62" t="e">
        <v>#N/A</v>
      </c>
      <c r="E115" s="55" t="e">
        <v>#N/A</v>
      </c>
      <c r="F115" s="55" t="e">
        <v>#N/A</v>
      </c>
      <c r="G115" s="55" t="e">
        <v>#N/A</v>
      </c>
      <c r="H115" s="55" t="e">
        <v>#N/A</v>
      </c>
      <c r="I115" s="55" t="e">
        <v>#N/A</v>
      </c>
      <c r="J115" s="55" t="e">
        <v>#N/A</v>
      </c>
      <c r="K115" s="55" t="e">
        <v>#N/A</v>
      </c>
    </row>
    <row r="116" spans="1:11" ht="60" hidden="1" x14ac:dyDescent="0.25">
      <c r="A116" s="2" t="s">
        <v>118</v>
      </c>
      <c r="B116" s="3" t="s">
        <v>346</v>
      </c>
      <c r="C116" s="4" t="s">
        <v>347</v>
      </c>
      <c r="D116" s="62" t="e">
        <v>#N/A</v>
      </c>
      <c r="E116" s="55" t="e">
        <v>#N/A</v>
      </c>
      <c r="F116" s="55" t="e">
        <v>#N/A</v>
      </c>
      <c r="G116" s="55" t="e">
        <v>#N/A</v>
      </c>
      <c r="H116" s="55" t="e">
        <v>#N/A</v>
      </c>
      <c r="I116" s="55" t="e">
        <v>#N/A</v>
      </c>
      <c r="J116" s="55" t="e">
        <v>#N/A</v>
      </c>
      <c r="K116" s="55" t="e">
        <v>#N/A</v>
      </c>
    </row>
    <row r="117" spans="1:11" ht="60" hidden="1" x14ac:dyDescent="0.25">
      <c r="A117" s="2" t="s">
        <v>118</v>
      </c>
      <c r="B117" s="3" t="s">
        <v>348</v>
      </c>
      <c r="C117" s="4" t="s">
        <v>349</v>
      </c>
      <c r="D117" s="62" t="e">
        <v>#N/A</v>
      </c>
      <c r="E117" s="55" t="e">
        <v>#N/A</v>
      </c>
      <c r="F117" s="55" t="e">
        <v>#N/A</v>
      </c>
      <c r="G117" s="55" t="e">
        <v>#N/A</v>
      </c>
      <c r="H117" s="55" t="e">
        <v>#N/A</v>
      </c>
      <c r="I117" s="55" t="e">
        <v>#N/A</v>
      </c>
      <c r="J117" s="55" t="e">
        <v>#N/A</v>
      </c>
      <c r="K117" s="55" t="e">
        <v>#N/A</v>
      </c>
    </row>
    <row r="118" spans="1:11" ht="45" hidden="1" x14ac:dyDescent="0.25">
      <c r="A118" s="2" t="s">
        <v>118</v>
      </c>
      <c r="B118" s="3" t="s">
        <v>350</v>
      </c>
      <c r="C118" s="4" t="s">
        <v>351</v>
      </c>
      <c r="D118" s="62" t="e">
        <v>#N/A</v>
      </c>
      <c r="E118" s="55" t="e">
        <v>#N/A</v>
      </c>
      <c r="F118" s="55" t="e">
        <v>#N/A</v>
      </c>
      <c r="G118" s="55" t="e">
        <v>#N/A</v>
      </c>
      <c r="H118" s="55" t="e">
        <v>#N/A</v>
      </c>
      <c r="I118" s="55" t="e">
        <v>#N/A</v>
      </c>
      <c r="J118" s="55" t="e">
        <v>#N/A</v>
      </c>
      <c r="K118" s="55" t="e">
        <v>#N/A</v>
      </c>
    </row>
    <row r="119" spans="1:11" ht="60" hidden="1" x14ac:dyDescent="0.25">
      <c r="A119" s="2" t="s">
        <v>118</v>
      </c>
      <c r="B119" s="3" t="s">
        <v>352</v>
      </c>
      <c r="C119" s="4" t="s">
        <v>338</v>
      </c>
      <c r="D119" s="62" t="e">
        <v>#N/A</v>
      </c>
      <c r="E119" s="55" t="e">
        <v>#N/A</v>
      </c>
      <c r="F119" s="55" t="e">
        <v>#N/A</v>
      </c>
      <c r="G119" s="55" t="e">
        <v>#N/A</v>
      </c>
      <c r="H119" s="55" t="e">
        <v>#N/A</v>
      </c>
      <c r="I119" s="55" t="e">
        <v>#N/A</v>
      </c>
      <c r="J119" s="55" t="e">
        <v>#N/A</v>
      </c>
      <c r="K119" s="55" t="e">
        <v>#N/A</v>
      </c>
    </row>
    <row r="120" spans="1:11" ht="60" hidden="1" x14ac:dyDescent="0.25">
      <c r="A120" s="2" t="s">
        <v>118</v>
      </c>
      <c r="B120" s="3" t="s">
        <v>353</v>
      </c>
      <c r="C120" s="4" t="s">
        <v>354</v>
      </c>
      <c r="D120" s="62" t="e">
        <v>#N/A</v>
      </c>
      <c r="E120" s="55" t="e">
        <v>#N/A</v>
      </c>
      <c r="F120" s="55" t="e">
        <v>#N/A</v>
      </c>
      <c r="G120" s="55" t="e">
        <v>#N/A</v>
      </c>
      <c r="H120" s="55" t="e">
        <v>#N/A</v>
      </c>
      <c r="I120" s="55" t="e">
        <v>#N/A</v>
      </c>
      <c r="J120" s="55" t="e">
        <v>#N/A</v>
      </c>
      <c r="K120" s="55" t="e">
        <v>#N/A</v>
      </c>
    </row>
    <row r="121" spans="1:11" ht="60" hidden="1" x14ac:dyDescent="0.25">
      <c r="A121" s="2" t="s">
        <v>118</v>
      </c>
      <c r="B121" s="3" t="s">
        <v>355</v>
      </c>
      <c r="C121" s="4" t="s">
        <v>356</v>
      </c>
      <c r="D121" s="62" t="e">
        <v>#N/A</v>
      </c>
      <c r="E121" s="55" t="e">
        <v>#N/A</v>
      </c>
      <c r="F121" s="55" t="e">
        <v>#N/A</v>
      </c>
      <c r="G121" s="55" t="e">
        <v>#N/A</v>
      </c>
      <c r="H121" s="55" t="e">
        <v>#N/A</v>
      </c>
      <c r="I121" s="55" t="e">
        <v>#N/A</v>
      </c>
      <c r="J121" s="55" t="e">
        <v>#N/A</v>
      </c>
      <c r="K121" s="55" t="e">
        <v>#N/A</v>
      </c>
    </row>
    <row r="122" spans="1:11" ht="45" hidden="1" x14ac:dyDescent="0.25">
      <c r="A122" s="2" t="s">
        <v>118</v>
      </c>
      <c r="B122" s="3" t="s">
        <v>357</v>
      </c>
      <c r="C122" s="4" t="s">
        <v>358</v>
      </c>
      <c r="D122" s="62" t="e">
        <v>#N/A</v>
      </c>
      <c r="E122" s="55" t="e">
        <v>#N/A</v>
      </c>
      <c r="F122" s="55" t="e">
        <v>#N/A</v>
      </c>
      <c r="G122" s="55" t="e">
        <v>#N/A</v>
      </c>
      <c r="H122" s="55" t="e">
        <v>#N/A</v>
      </c>
      <c r="I122" s="55" t="e">
        <v>#N/A</v>
      </c>
      <c r="J122" s="55" t="e">
        <v>#N/A</v>
      </c>
      <c r="K122" s="55" t="e">
        <v>#N/A</v>
      </c>
    </row>
    <row r="123" spans="1:11" ht="75" hidden="1" x14ac:dyDescent="0.25">
      <c r="A123" s="2" t="s">
        <v>118</v>
      </c>
      <c r="B123" s="3" t="s">
        <v>359</v>
      </c>
      <c r="C123" s="4" t="s">
        <v>360</v>
      </c>
      <c r="D123" s="62" t="e">
        <v>#N/A</v>
      </c>
      <c r="E123" s="55" t="e">
        <v>#N/A</v>
      </c>
      <c r="F123" s="55" t="e">
        <v>#N/A</v>
      </c>
      <c r="G123" s="55" t="e">
        <v>#N/A</v>
      </c>
      <c r="H123" s="55" t="e">
        <v>#N/A</v>
      </c>
      <c r="I123" s="55" t="e">
        <v>#N/A</v>
      </c>
      <c r="J123" s="55" t="e">
        <v>#N/A</v>
      </c>
      <c r="K123" s="55" t="e">
        <v>#N/A</v>
      </c>
    </row>
    <row r="124" spans="1:11" ht="30" hidden="1" x14ac:dyDescent="0.25">
      <c r="A124" s="2" t="s">
        <v>361</v>
      </c>
      <c r="B124" s="3" t="s">
        <v>362</v>
      </c>
      <c r="C124" s="4" t="s">
        <v>363</v>
      </c>
      <c r="D124" s="62" t="e">
        <v>#N/A</v>
      </c>
      <c r="E124" s="55" t="e">
        <v>#N/A</v>
      </c>
      <c r="F124" s="55" t="e">
        <v>#N/A</v>
      </c>
      <c r="G124" s="55" t="e">
        <v>#N/A</v>
      </c>
      <c r="H124" s="55" t="e">
        <v>#N/A</v>
      </c>
      <c r="I124" s="55" t="e">
        <v>#N/A</v>
      </c>
      <c r="J124" s="55" t="e">
        <v>#N/A</v>
      </c>
      <c r="K124" s="55" t="e">
        <v>#N/A</v>
      </c>
    </row>
    <row r="125" spans="1:11" ht="45" hidden="1" x14ac:dyDescent="0.25">
      <c r="A125" s="2" t="s">
        <v>361</v>
      </c>
      <c r="B125" s="3" t="s">
        <v>364</v>
      </c>
      <c r="C125" s="4" t="s">
        <v>365</v>
      </c>
      <c r="D125" s="62" t="e">
        <v>#N/A</v>
      </c>
      <c r="E125" s="55" t="e">
        <v>#N/A</v>
      </c>
      <c r="F125" s="55" t="e">
        <v>#N/A</v>
      </c>
      <c r="G125" s="55" t="e">
        <v>#N/A</v>
      </c>
      <c r="H125" s="55" t="e">
        <v>#N/A</v>
      </c>
      <c r="I125" s="55" t="e">
        <v>#N/A</v>
      </c>
      <c r="J125" s="55" t="e">
        <v>#N/A</v>
      </c>
      <c r="K125" s="55" t="e">
        <v>#N/A</v>
      </c>
    </row>
    <row r="126" spans="1:11" ht="30" hidden="1" x14ac:dyDescent="0.25">
      <c r="A126" s="2" t="s">
        <v>361</v>
      </c>
      <c r="B126" s="3" t="s">
        <v>366</v>
      </c>
      <c r="C126" s="4" t="s">
        <v>367</v>
      </c>
      <c r="D126" s="62" t="e">
        <v>#N/A</v>
      </c>
      <c r="E126" s="55" t="e">
        <v>#N/A</v>
      </c>
      <c r="F126" s="55" t="e">
        <v>#N/A</v>
      </c>
      <c r="G126" s="55" t="e">
        <v>#N/A</v>
      </c>
      <c r="H126" s="55" t="e">
        <v>#N/A</v>
      </c>
      <c r="I126" s="55" t="e">
        <v>#N/A</v>
      </c>
      <c r="J126" s="55" t="e">
        <v>#N/A</v>
      </c>
      <c r="K126" s="55" t="e">
        <v>#N/A</v>
      </c>
    </row>
    <row r="127" spans="1:11" ht="30" hidden="1" x14ac:dyDescent="0.25">
      <c r="A127" s="2" t="s">
        <v>361</v>
      </c>
      <c r="B127" s="3" t="s">
        <v>368</v>
      </c>
      <c r="C127" s="4" t="s">
        <v>369</v>
      </c>
      <c r="D127" s="62" t="e">
        <v>#N/A</v>
      </c>
      <c r="E127" s="55" t="e">
        <v>#N/A</v>
      </c>
      <c r="F127" s="55" t="e">
        <v>#N/A</v>
      </c>
      <c r="G127" s="55" t="s">
        <v>2091</v>
      </c>
      <c r="H127" s="55" t="e">
        <v>#N/A</v>
      </c>
      <c r="I127" s="55" t="e">
        <v>#N/A</v>
      </c>
      <c r="J127" s="55" t="e">
        <v>#N/A</v>
      </c>
      <c r="K127" s="55" t="e">
        <v>#N/A</v>
      </c>
    </row>
    <row r="128" spans="1:11" ht="30" hidden="1" x14ac:dyDescent="0.25">
      <c r="A128" s="2" t="s">
        <v>361</v>
      </c>
      <c r="B128" s="3" t="s">
        <v>370</v>
      </c>
      <c r="C128" s="4" t="s">
        <v>371</v>
      </c>
      <c r="D128" s="62" t="e">
        <v>#N/A</v>
      </c>
      <c r="E128" s="55" t="e">
        <v>#N/A</v>
      </c>
      <c r="F128" s="55" t="e">
        <v>#N/A</v>
      </c>
      <c r="G128" s="55" t="s">
        <v>2091</v>
      </c>
      <c r="H128" s="55" t="e">
        <v>#N/A</v>
      </c>
      <c r="I128" s="55" t="e">
        <v>#N/A</v>
      </c>
      <c r="J128" s="55" t="e">
        <v>#N/A</v>
      </c>
      <c r="K128" s="55" t="e">
        <v>#N/A</v>
      </c>
    </row>
    <row r="129" spans="1:11" ht="30" hidden="1" x14ac:dyDescent="0.25">
      <c r="A129" s="2" t="s">
        <v>361</v>
      </c>
      <c r="B129" s="3" t="s">
        <v>372</v>
      </c>
      <c r="C129" s="4" t="s">
        <v>373</v>
      </c>
      <c r="D129" s="62" t="e">
        <v>#N/A</v>
      </c>
      <c r="E129" s="55" t="e">
        <v>#N/A</v>
      </c>
      <c r="F129" s="55" t="e">
        <v>#N/A</v>
      </c>
      <c r="G129" s="55" t="s">
        <v>2091</v>
      </c>
      <c r="H129" s="55" t="e">
        <v>#N/A</v>
      </c>
      <c r="I129" s="55" t="e">
        <v>#N/A</v>
      </c>
      <c r="J129" s="55" t="e">
        <v>#N/A</v>
      </c>
      <c r="K129" s="55" t="e">
        <v>#N/A</v>
      </c>
    </row>
    <row r="130" spans="1:11" ht="30" hidden="1" x14ac:dyDescent="0.25">
      <c r="A130" s="2" t="s">
        <v>361</v>
      </c>
      <c r="B130" s="3" t="s">
        <v>374</v>
      </c>
      <c r="C130" s="4" t="s">
        <v>375</v>
      </c>
      <c r="D130" s="62" t="e">
        <v>#N/A</v>
      </c>
      <c r="E130" s="55" t="e">
        <v>#N/A</v>
      </c>
      <c r="F130" s="55" t="e">
        <v>#N/A</v>
      </c>
      <c r="G130" s="55" t="s">
        <v>2091</v>
      </c>
      <c r="H130" s="55" t="e">
        <v>#N/A</v>
      </c>
      <c r="I130" s="55" t="e">
        <v>#N/A</v>
      </c>
      <c r="J130" s="55" t="e">
        <v>#N/A</v>
      </c>
      <c r="K130" s="55" t="e">
        <v>#N/A</v>
      </c>
    </row>
    <row r="131" spans="1:11" ht="30" hidden="1" x14ac:dyDescent="0.25">
      <c r="A131" s="2" t="s">
        <v>361</v>
      </c>
      <c r="B131" s="3" t="s">
        <v>376</v>
      </c>
      <c r="C131" s="4" t="s">
        <v>377</v>
      </c>
      <c r="D131" s="62" t="e">
        <v>#N/A</v>
      </c>
      <c r="E131" s="55" t="e">
        <v>#N/A</v>
      </c>
      <c r="F131" s="55" t="e">
        <v>#N/A</v>
      </c>
      <c r="G131" s="55" t="s">
        <v>2091</v>
      </c>
      <c r="H131" s="55" t="e">
        <v>#N/A</v>
      </c>
      <c r="I131" s="55" t="e">
        <v>#N/A</v>
      </c>
      <c r="J131" s="55" t="e">
        <v>#N/A</v>
      </c>
      <c r="K131" s="55" t="e">
        <v>#N/A</v>
      </c>
    </row>
    <row r="132" spans="1:11" ht="45" hidden="1" x14ac:dyDescent="0.25">
      <c r="A132" s="2" t="s">
        <v>361</v>
      </c>
      <c r="B132" s="3" t="s">
        <v>378</v>
      </c>
      <c r="C132" s="4" t="s">
        <v>379</v>
      </c>
      <c r="D132" s="62" t="e">
        <v>#N/A</v>
      </c>
      <c r="E132" s="55" t="e">
        <v>#N/A</v>
      </c>
      <c r="F132" s="55" t="e">
        <v>#N/A</v>
      </c>
      <c r="G132" s="55" t="s">
        <v>2091</v>
      </c>
      <c r="H132" s="55" t="e">
        <v>#N/A</v>
      </c>
      <c r="I132" s="55" t="e">
        <v>#N/A</v>
      </c>
      <c r="J132" s="55" t="e">
        <v>#N/A</v>
      </c>
      <c r="K132" s="55" t="e">
        <v>#N/A</v>
      </c>
    </row>
    <row r="133" spans="1:11" ht="30" hidden="1" x14ac:dyDescent="0.25">
      <c r="A133" s="2" t="s">
        <v>361</v>
      </c>
      <c r="B133" s="3" t="s">
        <v>380</v>
      </c>
      <c r="C133" s="4" t="s">
        <v>381</v>
      </c>
      <c r="D133" s="62" t="e">
        <v>#N/A</v>
      </c>
      <c r="E133" s="55" t="e">
        <v>#N/A</v>
      </c>
      <c r="F133" s="55" t="e">
        <v>#N/A</v>
      </c>
      <c r="G133" s="55" t="s">
        <v>2091</v>
      </c>
      <c r="H133" s="55" t="e">
        <v>#N/A</v>
      </c>
      <c r="I133" s="55" t="e">
        <v>#N/A</v>
      </c>
      <c r="J133" s="55" t="e">
        <v>#N/A</v>
      </c>
      <c r="K133" s="55" t="e">
        <v>#N/A</v>
      </c>
    </row>
    <row r="134" spans="1:11" ht="45" hidden="1" x14ac:dyDescent="0.25">
      <c r="A134" s="2" t="s">
        <v>361</v>
      </c>
      <c r="B134" s="3" t="s">
        <v>382</v>
      </c>
      <c r="C134" s="4" t="s">
        <v>383</v>
      </c>
      <c r="D134" s="62" t="e">
        <v>#N/A</v>
      </c>
      <c r="E134" s="55" t="e">
        <v>#N/A</v>
      </c>
      <c r="F134" s="55" t="e">
        <v>#N/A</v>
      </c>
      <c r="G134" s="55" t="s">
        <v>2091</v>
      </c>
      <c r="H134" s="55" t="e">
        <v>#N/A</v>
      </c>
      <c r="I134" s="55" t="e">
        <v>#N/A</v>
      </c>
      <c r="J134" s="55" t="e">
        <v>#N/A</v>
      </c>
      <c r="K134" s="55" t="e">
        <v>#N/A</v>
      </c>
    </row>
    <row r="135" spans="1:11" ht="30" hidden="1" x14ac:dyDescent="0.25">
      <c r="A135" s="2" t="s">
        <v>361</v>
      </c>
      <c r="B135" s="3" t="s">
        <v>384</v>
      </c>
      <c r="C135" s="4" t="s">
        <v>385</v>
      </c>
      <c r="D135" s="62" t="e">
        <v>#N/A</v>
      </c>
      <c r="E135" s="55" t="e">
        <v>#N/A</v>
      </c>
      <c r="F135" s="55" t="e">
        <v>#N/A</v>
      </c>
      <c r="G135" s="55" t="s">
        <v>2091</v>
      </c>
      <c r="H135" s="55" t="e">
        <v>#N/A</v>
      </c>
      <c r="I135" s="55" t="e">
        <v>#N/A</v>
      </c>
      <c r="J135" s="55" t="e">
        <v>#N/A</v>
      </c>
      <c r="K135" s="55" t="e">
        <v>#N/A</v>
      </c>
    </row>
    <row r="136" spans="1:11" ht="30" hidden="1" x14ac:dyDescent="0.25">
      <c r="A136" s="2" t="s">
        <v>361</v>
      </c>
      <c r="B136" s="3" t="s">
        <v>386</v>
      </c>
      <c r="C136" s="4" t="s">
        <v>387</v>
      </c>
      <c r="D136" s="62" t="e">
        <v>#N/A</v>
      </c>
      <c r="E136" s="55" t="e">
        <v>#N/A</v>
      </c>
      <c r="F136" s="55" t="e">
        <v>#N/A</v>
      </c>
      <c r="G136" s="55" t="s">
        <v>2091</v>
      </c>
      <c r="H136" s="55" t="e">
        <v>#N/A</v>
      </c>
      <c r="I136" s="55" t="e">
        <v>#N/A</v>
      </c>
      <c r="J136" s="55" t="e">
        <v>#N/A</v>
      </c>
      <c r="K136" s="55" t="e">
        <v>#N/A</v>
      </c>
    </row>
    <row r="137" spans="1:11" ht="30" hidden="1" x14ac:dyDescent="0.25">
      <c r="A137" s="2" t="s">
        <v>361</v>
      </c>
      <c r="B137" s="3" t="s">
        <v>388</v>
      </c>
      <c r="C137" s="4" t="s">
        <v>389</v>
      </c>
      <c r="D137" s="62" t="e">
        <v>#N/A</v>
      </c>
      <c r="E137" s="55" t="e">
        <v>#N/A</v>
      </c>
      <c r="F137" s="55" t="e">
        <v>#N/A</v>
      </c>
      <c r="G137" s="55" t="s">
        <v>2091</v>
      </c>
      <c r="H137" s="55" t="e">
        <v>#N/A</v>
      </c>
      <c r="I137" s="55" t="e">
        <v>#N/A</v>
      </c>
      <c r="J137" s="55" t="e">
        <v>#N/A</v>
      </c>
      <c r="K137" s="55" t="e">
        <v>#N/A</v>
      </c>
    </row>
    <row r="138" spans="1:11" ht="30" hidden="1" x14ac:dyDescent="0.25">
      <c r="A138" s="2" t="s">
        <v>361</v>
      </c>
      <c r="B138" s="3" t="s">
        <v>390</v>
      </c>
      <c r="C138" s="4" t="s">
        <v>391</v>
      </c>
      <c r="D138" s="62" t="e">
        <v>#N/A</v>
      </c>
      <c r="E138" s="55" t="e">
        <v>#N/A</v>
      </c>
      <c r="F138" s="55" t="e">
        <v>#N/A</v>
      </c>
      <c r="G138" s="55" t="s">
        <v>2091</v>
      </c>
      <c r="H138" s="55" t="e">
        <v>#N/A</v>
      </c>
      <c r="I138" s="55" t="e">
        <v>#N/A</v>
      </c>
      <c r="J138" s="55" t="e">
        <v>#N/A</v>
      </c>
      <c r="K138" s="55" t="e">
        <v>#N/A</v>
      </c>
    </row>
    <row r="139" spans="1:11" ht="30" hidden="1" x14ac:dyDescent="0.25">
      <c r="A139" s="2" t="s">
        <v>361</v>
      </c>
      <c r="B139" s="3" t="s">
        <v>392</v>
      </c>
      <c r="C139" s="4" t="s">
        <v>393</v>
      </c>
      <c r="D139" s="62" t="e">
        <v>#N/A</v>
      </c>
      <c r="E139" s="55" t="e">
        <v>#N/A</v>
      </c>
      <c r="F139" s="55" t="e">
        <v>#N/A</v>
      </c>
      <c r="G139" s="55" t="s">
        <v>2091</v>
      </c>
      <c r="H139" s="55" t="e">
        <v>#N/A</v>
      </c>
      <c r="I139" s="55" t="e">
        <v>#N/A</v>
      </c>
      <c r="J139" s="55" t="e">
        <v>#N/A</v>
      </c>
      <c r="K139" s="55" t="e">
        <v>#N/A</v>
      </c>
    </row>
    <row r="140" spans="1:11" ht="30" hidden="1" x14ac:dyDescent="0.25">
      <c r="A140" s="2" t="s">
        <v>361</v>
      </c>
      <c r="B140" s="3" t="s">
        <v>394</v>
      </c>
      <c r="C140" s="4" t="s">
        <v>395</v>
      </c>
      <c r="D140" s="62" t="e">
        <v>#N/A</v>
      </c>
      <c r="E140" s="55" t="e">
        <v>#N/A</v>
      </c>
      <c r="F140" s="55" t="e">
        <v>#N/A</v>
      </c>
      <c r="G140" s="55" t="e">
        <v>#N/A</v>
      </c>
      <c r="H140" s="55" t="e">
        <v>#N/A</v>
      </c>
      <c r="I140" s="55" t="e">
        <v>#N/A</v>
      </c>
      <c r="J140" s="55" t="e">
        <v>#N/A</v>
      </c>
      <c r="K140" s="55" t="e">
        <v>#N/A</v>
      </c>
    </row>
    <row r="141" spans="1:11" ht="60" hidden="1" x14ac:dyDescent="0.25">
      <c r="A141" s="2" t="s">
        <v>361</v>
      </c>
      <c r="B141" s="3" t="s">
        <v>396</v>
      </c>
      <c r="C141" s="4" t="s">
        <v>397</v>
      </c>
      <c r="D141" s="62" t="e">
        <v>#N/A</v>
      </c>
      <c r="E141" s="55" t="e">
        <v>#N/A</v>
      </c>
      <c r="F141" s="55" t="e">
        <v>#N/A</v>
      </c>
      <c r="G141" s="55" t="e">
        <v>#N/A</v>
      </c>
      <c r="H141" s="55" t="e">
        <v>#N/A</v>
      </c>
      <c r="I141" s="55" t="e">
        <v>#N/A</v>
      </c>
      <c r="J141" s="55" t="e">
        <v>#N/A</v>
      </c>
      <c r="K141" s="55" t="e">
        <v>#N/A</v>
      </c>
    </row>
    <row r="142" spans="1:11" ht="45" hidden="1" x14ac:dyDescent="0.25">
      <c r="A142" s="2" t="s">
        <v>361</v>
      </c>
      <c r="B142" s="3" t="s">
        <v>398</v>
      </c>
      <c r="C142" s="4" t="s">
        <v>399</v>
      </c>
      <c r="D142" s="62" t="e">
        <v>#N/A</v>
      </c>
      <c r="E142" s="55" t="e">
        <v>#N/A</v>
      </c>
      <c r="F142" s="55" t="e">
        <v>#N/A</v>
      </c>
      <c r="G142" s="55" t="e">
        <v>#N/A</v>
      </c>
      <c r="H142" s="55" t="e">
        <v>#N/A</v>
      </c>
      <c r="I142" s="55" t="e">
        <v>#N/A</v>
      </c>
      <c r="J142" s="55" t="e">
        <v>#N/A</v>
      </c>
      <c r="K142" s="55" t="e">
        <v>#N/A</v>
      </c>
    </row>
    <row r="143" spans="1:11" ht="30" hidden="1" x14ac:dyDescent="0.25">
      <c r="A143" s="2" t="s">
        <v>361</v>
      </c>
      <c r="B143" s="3" t="s">
        <v>400</v>
      </c>
      <c r="C143" s="4" t="s">
        <v>401</v>
      </c>
      <c r="D143" s="62" t="e">
        <v>#N/A</v>
      </c>
      <c r="E143" s="55" t="e">
        <v>#N/A</v>
      </c>
      <c r="F143" s="55" t="e">
        <v>#N/A</v>
      </c>
      <c r="G143" s="55" t="e">
        <v>#N/A</v>
      </c>
      <c r="H143" s="55" t="e">
        <v>#N/A</v>
      </c>
      <c r="I143" s="55" t="e">
        <v>#N/A</v>
      </c>
      <c r="J143" s="55" t="e">
        <v>#N/A</v>
      </c>
      <c r="K143" s="55" t="e">
        <v>#N/A</v>
      </c>
    </row>
    <row r="144" spans="1:11" ht="30" hidden="1" x14ac:dyDescent="0.25">
      <c r="A144" s="2" t="s">
        <v>361</v>
      </c>
      <c r="B144" s="3" t="s">
        <v>402</v>
      </c>
      <c r="C144" s="4" t="s">
        <v>403</v>
      </c>
      <c r="D144" s="62" t="e">
        <v>#N/A</v>
      </c>
      <c r="E144" s="55" t="e">
        <v>#N/A</v>
      </c>
      <c r="F144" s="55" t="e">
        <v>#N/A</v>
      </c>
      <c r="G144" s="55" t="e">
        <v>#N/A</v>
      </c>
      <c r="H144" s="55" t="e">
        <v>#N/A</v>
      </c>
      <c r="I144" s="55" t="e">
        <v>#N/A</v>
      </c>
      <c r="J144" s="55" t="e">
        <v>#N/A</v>
      </c>
      <c r="K144" s="55" t="e">
        <v>#N/A</v>
      </c>
    </row>
    <row r="145" spans="1:11" hidden="1" x14ac:dyDescent="0.25">
      <c r="A145" s="2" t="s">
        <v>361</v>
      </c>
      <c r="B145" s="3" t="s">
        <v>404</v>
      </c>
      <c r="C145" s="4" t="s">
        <v>405</v>
      </c>
      <c r="D145" s="62" t="e">
        <v>#N/A</v>
      </c>
      <c r="E145" s="55" t="e">
        <v>#N/A</v>
      </c>
      <c r="F145" s="55" t="e">
        <v>#N/A</v>
      </c>
      <c r="G145" s="55" t="e">
        <v>#N/A</v>
      </c>
      <c r="H145" s="55" t="e">
        <v>#N/A</v>
      </c>
      <c r="I145" s="55" t="e">
        <v>#N/A</v>
      </c>
      <c r="J145" s="55" t="e">
        <v>#N/A</v>
      </c>
      <c r="K145" s="55" t="e">
        <v>#N/A</v>
      </c>
    </row>
    <row r="146" spans="1:11" ht="30" hidden="1" x14ac:dyDescent="0.25">
      <c r="A146" s="2" t="s">
        <v>361</v>
      </c>
      <c r="B146" s="3" t="s">
        <v>406</v>
      </c>
      <c r="C146" s="4" t="s">
        <v>407</v>
      </c>
      <c r="D146" s="62" t="e">
        <v>#N/A</v>
      </c>
      <c r="E146" s="55" t="e">
        <v>#N/A</v>
      </c>
      <c r="F146" s="55" t="e">
        <v>#N/A</v>
      </c>
      <c r="G146" s="55" t="e">
        <v>#N/A</v>
      </c>
      <c r="H146" s="55" t="e">
        <v>#N/A</v>
      </c>
      <c r="I146" s="55" t="e">
        <v>#N/A</v>
      </c>
      <c r="J146" s="55" t="e">
        <v>#N/A</v>
      </c>
      <c r="K146" s="55" t="e">
        <v>#N/A</v>
      </c>
    </row>
    <row r="147" spans="1:11" hidden="1" x14ac:dyDescent="0.25">
      <c r="A147" s="2" t="s">
        <v>361</v>
      </c>
      <c r="B147" s="3" t="s">
        <v>408</v>
      </c>
      <c r="C147" s="4" t="s">
        <v>409</v>
      </c>
      <c r="D147" s="62" t="e">
        <v>#N/A</v>
      </c>
      <c r="E147" s="55" t="e">
        <v>#N/A</v>
      </c>
      <c r="F147" s="55" t="e">
        <v>#N/A</v>
      </c>
      <c r="G147" s="55" t="e">
        <v>#N/A</v>
      </c>
      <c r="H147" s="55" t="e">
        <v>#N/A</v>
      </c>
      <c r="I147" s="55" t="e">
        <v>#N/A</v>
      </c>
      <c r="J147" s="55" t="e">
        <v>#N/A</v>
      </c>
      <c r="K147" s="55" t="e">
        <v>#N/A</v>
      </c>
    </row>
    <row r="148" spans="1:11" hidden="1" x14ac:dyDescent="0.25">
      <c r="A148" s="2" t="s">
        <v>361</v>
      </c>
      <c r="B148" s="3" t="s">
        <v>410</v>
      </c>
      <c r="C148" s="4" t="s">
        <v>411</v>
      </c>
      <c r="D148" s="62" t="e">
        <v>#N/A</v>
      </c>
      <c r="E148" s="55" t="e">
        <v>#N/A</v>
      </c>
      <c r="F148" s="55" t="e">
        <v>#N/A</v>
      </c>
      <c r="G148" s="55" t="e">
        <v>#N/A</v>
      </c>
      <c r="H148" s="55" t="e">
        <v>#N/A</v>
      </c>
      <c r="I148" s="55" t="e">
        <v>#N/A</v>
      </c>
      <c r="J148" s="55" t="e">
        <v>#N/A</v>
      </c>
      <c r="K148" s="55" t="e">
        <v>#N/A</v>
      </c>
    </row>
    <row r="149" spans="1:11" ht="30" hidden="1" x14ac:dyDescent="0.25">
      <c r="A149" s="2" t="s">
        <v>361</v>
      </c>
      <c r="B149" s="3" t="s">
        <v>412</v>
      </c>
      <c r="C149" s="4" t="s">
        <v>413</v>
      </c>
      <c r="D149" s="62" t="e">
        <v>#N/A</v>
      </c>
      <c r="E149" s="55" t="e">
        <v>#N/A</v>
      </c>
      <c r="F149" s="55" t="e">
        <v>#N/A</v>
      </c>
      <c r="G149" s="55" t="e">
        <v>#N/A</v>
      </c>
      <c r="H149" s="55" t="e">
        <v>#N/A</v>
      </c>
      <c r="I149" s="55" t="e">
        <v>#N/A</v>
      </c>
      <c r="J149" s="55" t="e">
        <v>#N/A</v>
      </c>
      <c r="K149" s="55" t="e">
        <v>#N/A</v>
      </c>
    </row>
    <row r="150" spans="1:11" ht="45" hidden="1" x14ac:dyDescent="0.25">
      <c r="A150" s="2" t="s">
        <v>361</v>
      </c>
      <c r="B150" s="3" t="s">
        <v>414</v>
      </c>
      <c r="C150" s="4" t="s">
        <v>415</v>
      </c>
      <c r="D150" s="62" t="e">
        <v>#N/A</v>
      </c>
      <c r="E150" s="55" t="e">
        <v>#N/A</v>
      </c>
      <c r="F150" s="55" t="e">
        <v>#N/A</v>
      </c>
      <c r="G150" s="55" t="e">
        <v>#N/A</v>
      </c>
      <c r="H150" s="55" t="e">
        <v>#N/A</v>
      </c>
      <c r="I150" s="55" t="e">
        <v>#N/A</v>
      </c>
      <c r="J150" s="55" t="e">
        <v>#N/A</v>
      </c>
      <c r="K150" s="55" t="e">
        <v>#N/A</v>
      </c>
    </row>
    <row r="151" spans="1:11" ht="30" hidden="1" x14ac:dyDescent="0.25">
      <c r="A151" s="2" t="s">
        <v>361</v>
      </c>
      <c r="B151" s="3" t="s">
        <v>416</v>
      </c>
      <c r="C151" s="4" t="s">
        <v>417</v>
      </c>
      <c r="D151" s="62" t="e">
        <v>#N/A</v>
      </c>
      <c r="E151" s="55" t="e">
        <v>#N/A</v>
      </c>
      <c r="F151" s="55" t="e">
        <v>#N/A</v>
      </c>
      <c r="G151" s="55" t="e">
        <v>#N/A</v>
      </c>
      <c r="H151" s="55" t="e">
        <v>#N/A</v>
      </c>
      <c r="I151" s="55" t="e">
        <v>#N/A</v>
      </c>
      <c r="J151" s="55" t="e">
        <v>#N/A</v>
      </c>
      <c r="K151" s="55" t="e">
        <v>#N/A</v>
      </c>
    </row>
    <row r="152" spans="1:11" ht="30" hidden="1" x14ac:dyDescent="0.25">
      <c r="A152" s="2" t="s">
        <v>361</v>
      </c>
      <c r="B152" s="3" t="s">
        <v>418</v>
      </c>
      <c r="C152" s="4" t="s">
        <v>419</v>
      </c>
      <c r="D152" s="62" t="e">
        <v>#N/A</v>
      </c>
      <c r="E152" s="55" t="e">
        <v>#N/A</v>
      </c>
      <c r="F152" s="55" t="e">
        <v>#N/A</v>
      </c>
      <c r="G152" s="55" t="e">
        <v>#N/A</v>
      </c>
      <c r="H152" s="55" t="e">
        <v>#N/A</v>
      </c>
      <c r="I152" s="55" t="e">
        <v>#N/A</v>
      </c>
      <c r="J152" s="55" t="e">
        <v>#N/A</v>
      </c>
      <c r="K152" s="55" t="e">
        <v>#N/A</v>
      </c>
    </row>
    <row r="153" spans="1:11" ht="30" hidden="1" x14ac:dyDescent="0.25">
      <c r="A153" s="2" t="s">
        <v>361</v>
      </c>
      <c r="B153" s="3" t="s">
        <v>420</v>
      </c>
      <c r="C153" s="4" t="s">
        <v>421</v>
      </c>
      <c r="D153" s="62" t="e">
        <v>#N/A</v>
      </c>
      <c r="E153" s="55" t="e">
        <v>#N/A</v>
      </c>
      <c r="F153" s="55" t="e">
        <v>#N/A</v>
      </c>
      <c r="G153" s="55" t="e">
        <v>#N/A</v>
      </c>
      <c r="H153" s="55" t="e">
        <v>#N/A</v>
      </c>
      <c r="I153" s="55" t="e">
        <v>#N/A</v>
      </c>
      <c r="J153" s="55" t="e">
        <v>#N/A</v>
      </c>
      <c r="K153" s="55" t="e">
        <v>#N/A</v>
      </c>
    </row>
    <row r="154" spans="1:11" ht="30" hidden="1" x14ac:dyDescent="0.25">
      <c r="A154" s="2" t="s">
        <v>361</v>
      </c>
      <c r="B154" s="3" t="s">
        <v>422</v>
      </c>
      <c r="C154" s="4" t="s">
        <v>423</v>
      </c>
      <c r="D154" s="62" t="e">
        <v>#N/A</v>
      </c>
      <c r="E154" s="55" t="e">
        <v>#N/A</v>
      </c>
      <c r="F154" s="55" t="e">
        <v>#N/A</v>
      </c>
      <c r="G154" s="55" t="e">
        <v>#N/A</v>
      </c>
      <c r="H154" s="55" t="e">
        <v>#N/A</v>
      </c>
      <c r="I154" s="55" t="e">
        <v>#N/A</v>
      </c>
      <c r="J154" s="55" t="e">
        <v>#N/A</v>
      </c>
      <c r="K154" s="55" t="e">
        <v>#N/A</v>
      </c>
    </row>
    <row r="155" spans="1:11" ht="45" hidden="1" x14ac:dyDescent="0.25">
      <c r="A155" s="2" t="s">
        <v>361</v>
      </c>
      <c r="B155" s="3" t="s">
        <v>424</v>
      </c>
      <c r="C155" s="4" t="s">
        <v>425</v>
      </c>
      <c r="D155" s="62" t="e">
        <v>#N/A</v>
      </c>
      <c r="E155" s="55" t="e">
        <v>#N/A</v>
      </c>
      <c r="F155" s="55" t="e">
        <v>#N/A</v>
      </c>
      <c r="G155" s="55" t="e">
        <v>#N/A</v>
      </c>
      <c r="H155" s="55" t="e">
        <v>#N/A</v>
      </c>
      <c r="I155" s="55" t="e">
        <v>#N/A</v>
      </c>
      <c r="J155" s="55" t="e">
        <v>#N/A</v>
      </c>
      <c r="K155" s="55" t="e">
        <v>#N/A</v>
      </c>
    </row>
    <row r="156" spans="1:11" ht="60" hidden="1" x14ac:dyDescent="0.25">
      <c r="A156" s="2" t="s">
        <v>361</v>
      </c>
      <c r="B156" s="3" t="s">
        <v>426</v>
      </c>
      <c r="C156" s="4" t="s">
        <v>427</v>
      </c>
      <c r="D156" s="62" t="e">
        <v>#N/A</v>
      </c>
      <c r="E156" s="55" t="e">
        <v>#N/A</v>
      </c>
      <c r="F156" s="55" t="e">
        <v>#N/A</v>
      </c>
      <c r="G156" s="55" t="e">
        <v>#N/A</v>
      </c>
      <c r="H156" s="55" t="e">
        <v>#N/A</v>
      </c>
      <c r="I156" s="55" t="e">
        <v>#N/A</v>
      </c>
      <c r="J156" s="55" t="e">
        <v>#N/A</v>
      </c>
      <c r="K156" s="55" t="e">
        <v>#N/A</v>
      </c>
    </row>
    <row r="157" spans="1:11" ht="30" hidden="1" x14ac:dyDescent="0.25">
      <c r="A157" s="2" t="s">
        <v>361</v>
      </c>
      <c r="B157" s="3" t="s">
        <v>428</v>
      </c>
      <c r="C157" s="4" t="s">
        <v>429</v>
      </c>
      <c r="D157" s="62" t="e">
        <v>#N/A</v>
      </c>
      <c r="E157" s="55" t="e">
        <v>#N/A</v>
      </c>
      <c r="F157" s="55" t="e">
        <v>#N/A</v>
      </c>
      <c r="G157" s="55" t="e">
        <v>#N/A</v>
      </c>
      <c r="H157" s="55" t="e">
        <v>#N/A</v>
      </c>
      <c r="I157" s="55" t="e">
        <v>#N/A</v>
      </c>
      <c r="J157" s="55" t="e">
        <v>#N/A</v>
      </c>
      <c r="K157" s="55" t="e">
        <v>#N/A</v>
      </c>
    </row>
    <row r="158" spans="1:11" hidden="1" x14ac:dyDescent="0.25">
      <c r="A158" s="2" t="s">
        <v>361</v>
      </c>
      <c r="B158" s="3" t="s">
        <v>430</v>
      </c>
      <c r="C158" s="4" t="s">
        <v>431</v>
      </c>
      <c r="D158" s="62" t="e">
        <v>#N/A</v>
      </c>
      <c r="E158" s="55" t="e">
        <v>#N/A</v>
      </c>
      <c r="F158" s="55" t="e">
        <v>#N/A</v>
      </c>
      <c r="G158" s="55" t="e">
        <v>#N/A</v>
      </c>
      <c r="H158" s="55" t="e">
        <v>#N/A</v>
      </c>
      <c r="I158" s="55" t="e">
        <v>#N/A</v>
      </c>
      <c r="J158" s="55" t="e">
        <v>#N/A</v>
      </c>
      <c r="K158" s="55" t="e">
        <v>#N/A</v>
      </c>
    </row>
    <row r="159" spans="1:11" ht="30" hidden="1" x14ac:dyDescent="0.25">
      <c r="A159" s="2" t="s">
        <v>361</v>
      </c>
      <c r="B159" s="3" t="s">
        <v>432</v>
      </c>
      <c r="C159" s="4" t="s">
        <v>433</v>
      </c>
      <c r="D159" s="62" t="e">
        <v>#N/A</v>
      </c>
      <c r="E159" s="55" t="e">
        <v>#N/A</v>
      </c>
      <c r="F159" s="55" t="e">
        <v>#N/A</v>
      </c>
      <c r="G159" s="55" t="e">
        <v>#N/A</v>
      </c>
      <c r="H159" s="55" t="e">
        <v>#N/A</v>
      </c>
      <c r="I159" s="55" t="e">
        <v>#N/A</v>
      </c>
      <c r="J159" s="55" t="e">
        <v>#N/A</v>
      </c>
      <c r="K159" s="55" t="e">
        <v>#N/A</v>
      </c>
    </row>
    <row r="160" spans="1:11" ht="30" hidden="1" x14ac:dyDescent="0.25">
      <c r="A160" s="2" t="s">
        <v>361</v>
      </c>
      <c r="B160" s="3" t="s">
        <v>434</v>
      </c>
      <c r="C160" s="4" t="s">
        <v>435</v>
      </c>
      <c r="D160" s="62" t="e">
        <v>#N/A</v>
      </c>
      <c r="E160" s="55" t="e">
        <v>#N/A</v>
      </c>
      <c r="F160" s="55" t="e">
        <v>#N/A</v>
      </c>
      <c r="G160" s="55" t="e">
        <v>#N/A</v>
      </c>
      <c r="H160" s="55" t="e">
        <v>#N/A</v>
      </c>
      <c r="I160" s="55" t="e">
        <v>#N/A</v>
      </c>
      <c r="J160" s="55" t="e">
        <v>#N/A</v>
      </c>
      <c r="K160" s="55" t="e">
        <v>#N/A</v>
      </c>
    </row>
    <row r="161" spans="1:11" ht="30" hidden="1" x14ac:dyDescent="0.25">
      <c r="A161" s="2" t="s">
        <v>361</v>
      </c>
      <c r="B161" s="3" t="s">
        <v>436</v>
      </c>
      <c r="C161" s="4" t="s">
        <v>437</v>
      </c>
      <c r="D161" s="62" t="e">
        <v>#N/A</v>
      </c>
      <c r="E161" s="55" t="e">
        <v>#N/A</v>
      </c>
      <c r="F161" s="55" t="e">
        <v>#N/A</v>
      </c>
      <c r="G161" s="55" t="e">
        <v>#N/A</v>
      </c>
      <c r="H161" s="55" t="e">
        <v>#N/A</v>
      </c>
      <c r="I161" s="55" t="e">
        <v>#N/A</v>
      </c>
      <c r="J161" s="55" t="e">
        <v>#N/A</v>
      </c>
      <c r="K161" s="55" t="e">
        <v>#N/A</v>
      </c>
    </row>
    <row r="162" spans="1:11" hidden="1" x14ac:dyDescent="0.25">
      <c r="A162" s="2" t="s">
        <v>361</v>
      </c>
      <c r="B162" s="3" t="s">
        <v>438</v>
      </c>
      <c r="C162" s="4" t="s">
        <v>439</v>
      </c>
      <c r="D162" s="62" t="e">
        <v>#N/A</v>
      </c>
      <c r="E162" s="55" t="e">
        <v>#N/A</v>
      </c>
      <c r="F162" s="55" t="e">
        <v>#N/A</v>
      </c>
      <c r="G162" s="55" t="e">
        <v>#N/A</v>
      </c>
      <c r="H162" s="55" t="e">
        <v>#N/A</v>
      </c>
      <c r="I162" s="55" t="e">
        <v>#N/A</v>
      </c>
      <c r="J162" s="55" t="e">
        <v>#N/A</v>
      </c>
      <c r="K162" s="55" t="e">
        <v>#N/A</v>
      </c>
    </row>
    <row r="163" spans="1:11" ht="45" hidden="1" x14ac:dyDescent="0.25">
      <c r="A163" s="2" t="s">
        <v>361</v>
      </c>
      <c r="B163" s="3" t="s">
        <v>440</v>
      </c>
      <c r="C163" s="4" t="s">
        <v>441</v>
      </c>
      <c r="D163" s="62" t="e">
        <v>#N/A</v>
      </c>
      <c r="E163" s="55" t="e">
        <v>#N/A</v>
      </c>
      <c r="F163" s="55" t="e">
        <v>#N/A</v>
      </c>
      <c r="G163" s="55" t="e">
        <v>#N/A</v>
      </c>
      <c r="H163" s="55" t="e">
        <v>#N/A</v>
      </c>
      <c r="I163" s="55" t="e">
        <v>#N/A</v>
      </c>
      <c r="J163" s="55" t="e">
        <v>#N/A</v>
      </c>
      <c r="K163" s="55" t="e">
        <v>#N/A</v>
      </c>
    </row>
    <row r="164" spans="1:11" ht="45" hidden="1" x14ac:dyDescent="0.25">
      <c r="A164" s="2" t="s">
        <v>361</v>
      </c>
      <c r="B164" s="3" t="s">
        <v>442</v>
      </c>
      <c r="C164" s="4" t="s">
        <v>443</v>
      </c>
      <c r="D164" s="62" t="e">
        <v>#N/A</v>
      </c>
      <c r="E164" s="55" t="e">
        <v>#N/A</v>
      </c>
      <c r="F164" s="55" t="e">
        <v>#N/A</v>
      </c>
      <c r="G164" s="55" t="e">
        <v>#N/A</v>
      </c>
      <c r="H164" s="55" t="e">
        <v>#N/A</v>
      </c>
      <c r="I164" s="55" t="e">
        <v>#N/A</v>
      </c>
      <c r="J164" s="55" t="e">
        <v>#N/A</v>
      </c>
      <c r="K164" s="55" t="e">
        <v>#N/A</v>
      </c>
    </row>
    <row r="165" spans="1:11" ht="45" hidden="1" x14ac:dyDescent="0.25">
      <c r="A165" s="2" t="s">
        <v>361</v>
      </c>
      <c r="B165" s="3" t="s">
        <v>444</v>
      </c>
      <c r="C165" s="4" t="s">
        <v>445</v>
      </c>
      <c r="D165" s="62" t="e">
        <v>#N/A</v>
      </c>
      <c r="E165" s="55" t="e">
        <v>#N/A</v>
      </c>
      <c r="F165" s="55" t="e">
        <v>#N/A</v>
      </c>
      <c r="G165" s="55" t="e">
        <v>#N/A</v>
      </c>
      <c r="H165" s="55" t="e">
        <v>#N/A</v>
      </c>
      <c r="I165" s="55" t="e">
        <v>#N/A</v>
      </c>
      <c r="J165" s="55" t="e">
        <v>#N/A</v>
      </c>
      <c r="K165" s="55" t="e">
        <v>#N/A</v>
      </c>
    </row>
    <row r="166" spans="1:11" ht="75" hidden="1" x14ac:dyDescent="0.25">
      <c r="A166" s="2" t="s">
        <v>361</v>
      </c>
      <c r="B166" s="3" t="s">
        <v>446</v>
      </c>
      <c r="C166" s="4" t="s">
        <v>447</v>
      </c>
      <c r="D166" s="62" t="e">
        <v>#N/A</v>
      </c>
      <c r="E166" s="55" t="e">
        <v>#N/A</v>
      </c>
      <c r="F166" s="55" t="e">
        <v>#N/A</v>
      </c>
      <c r="G166" s="55" t="e">
        <v>#N/A</v>
      </c>
      <c r="H166" s="55" t="e">
        <v>#N/A</v>
      </c>
      <c r="I166" s="55" t="e">
        <v>#N/A</v>
      </c>
      <c r="J166" s="55" t="e">
        <v>#N/A</v>
      </c>
      <c r="K166" s="55" t="e">
        <v>#N/A</v>
      </c>
    </row>
    <row r="167" spans="1:11" ht="60" hidden="1" x14ac:dyDescent="0.25">
      <c r="A167" s="2" t="s">
        <v>361</v>
      </c>
      <c r="B167" s="3" t="s">
        <v>448</v>
      </c>
      <c r="C167" s="4" t="s">
        <v>449</v>
      </c>
      <c r="D167" s="62" t="e">
        <v>#N/A</v>
      </c>
      <c r="E167" s="55" t="e">
        <v>#N/A</v>
      </c>
      <c r="F167" s="55" t="e">
        <v>#N/A</v>
      </c>
      <c r="G167" s="55" t="e">
        <v>#N/A</v>
      </c>
      <c r="H167" s="55" t="e">
        <v>#N/A</v>
      </c>
      <c r="I167" s="55" t="e">
        <v>#N/A</v>
      </c>
      <c r="J167" s="55" t="e">
        <v>#N/A</v>
      </c>
      <c r="K167" s="55" t="e">
        <v>#N/A</v>
      </c>
    </row>
    <row r="168" spans="1:11" ht="45" hidden="1" x14ac:dyDescent="0.25">
      <c r="A168" s="2" t="s">
        <v>450</v>
      </c>
      <c r="B168" s="3">
        <v>10111</v>
      </c>
      <c r="C168" s="4" t="s">
        <v>451</v>
      </c>
      <c r="D168" s="62" t="e">
        <v>#N/A</v>
      </c>
      <c r="E168" s="55" t="e">
        <v>#N/A</v>
      </c>
      <c r="F168" s="55" t="e">
        <v>#N/A</v>
      </c>
      <c r="G168" s="55" t="e">
        <v>#N/A</v>
      </c>
      <c r="H168" s="55" t="e">
        <v>#N/A</v>
      </c>
      <c r="I168" s="55" t="e">
        <v>#N/A</v>
      </c>
      <c r="J168" s="55" t="e">
        <v>#N/A</v>
      </c>
      <c r="K168" s="55" t="e">
        <v>#N/A</v>
      </c>
    </row>
    <row r="169" spans="1:11" ht="30" hidden="1" x14ac:dyDescent="0.25">
      <c r="A169" s="2" t="s">
        <v>450</v>
      </c>
      <c r="B169" s="3">
        <v>10112</v>
      </c>
      <c r="C169" s="4" t="s">
        <v>452</v>
      </c>
      <c r="D169" s="62" t="e">
        <v>#N/A</v>
      </c>
      <c r="E169" s="55" t="e">
        <v>#N/A</v>
      </c>
      <c r="F169" s="55" t="e">
        <v>#N/A</v>
      </c>
      <c r="G169" s="55" t="e">
        <v>#N/A</v>
      </c>
      <c r="H169" s="55" t="e">
        <v>#N/A</v>
      </c>
      <c r="I169" s="55" t="e">
        <v>#N/A</v>
      </c>
      <c r="J169" s="55" t="e">
        <v>#N/A</v>
      </c>
      <c r="K169" s="55" t="e">
        <v>#N/A</v>
      </c>
    </row>
    <row r="170" spans="1:11" ht="30" hidden="1" x14ac:dyDescent="0.25">
      <c r="A170" s="2" t="s">
        <v>450</v>
      </c>
      <c r="B170" s="3">
        <v>10113</v>
      </c>
      <c r="C170" s="4" t="s">
        <v>453</v>
      </c>
      <c r="D170" s="62" t="e">
        <v>#N/A</v>
      </c>
      <c r="E170" s="55" t="e">
        <v>#N/A</v>
      </c>
      <c r="F170" s="55" t="e">
        <v>#N/A</v>
      </c>
      <c r="G170" s="55" t="e">
        <v>#N/A</v>
      </c>
      <c r="H170" s="55" t="e">
        <v>#N/A</v>
      </c>
      <c r="I170" s="55" t="e">
        <v>#N/A</v>
      </c>
      <c r="J170" s="55" t="e">
        <v>#N/A</v>
      </c>
      <c r="K170" s="55" t="e">
        <v>#N/A</v>
      </c>
    </row>
    <row r="171" spans="1:11" ht="45" hidden="1" x14ac:dyDescent="0.25">
      <c r="A171" s="2" t="s">
        <v>450</v>
      </c>
      <c r="B171" s="3">
        <v>10119</v>
      </c>
      <c r="C171" s="4" t="s">
        <v>454</v>
      </c>
      <c r="D171" s="62" t="e">
        <v>#N/A</v>
      </c>
      <c r="E171" s="55" t="e">
        <v>#N/A</v>
      </c>
      <c r="F171" s="55" t="e">
        <v>#N/A</v>
      </c>
      <c r="G171" s="55" t="e">
        <v>#N/A</v>
      </c>
      <c r="H171" s="55" t="e">
        <v>#N/A</v>
      </c>
      <c r="I171" s="55" t="e">
        <v>#N/A</v>
      </c>
      <c r="J171" s="55" t="e">
        <v>#N/A</v>
      </c>
      <c r="K171" s="55" t="e">
        <v>#N/A</v>
      </c>
    </row>
    <row r="172" spans="1:11" ht="60" hidden="1" x14ac:dyDescent="0.25">
      <c r="A172" s="2" t="s">
        <v>450</v>
      </c>
      <c r="B172" s="3">
        <v>10120</v>
      </c>
      <c r="C172" s="4" t="s">
        <v>455</v>
      </c>
      <c r="D172" s="62" t="e">
        <v>#N/A</v>
      </c>
      <c r="E172" s="55" t="e">
        <v>#N/A</v>
      </c>
      <c r="F172" s="55" t="e">
        <v>#N/A</v>
      </c>
      <c r="G172" s="55" t="e">
        <v>#N/A</v>
      </c>
      <c r="H172" s="55" t="e">
        <v>#N/A</v>
      </c>
      <c r="I172" s="55" t="e">
        <v>#N/A</v>
      </c>
      <c r="J172" s="55" t="e">
        <v>#N/A</v>
      </c>
      <c r="K172" s="55" t="e">
        <v>#N/A</v>
      </c>
    </row>
    <row r="173" spans="1:11" ht="60" hidden="1" x14ac:dyDescent="0.25">
      <c r="A173" s="2" t="s">
        <v>450</v>
      </c>
      <c r="B173" s="3">
        <v>10211</v>
      </c>
      <c r="C173" s="4" t="s">
        <v>456</v>
      </c>
      <c r="D173" s="62" t="e">
        <v>#N/A</v>
      </c>
      <c r="E173" s="55" t="e">
        <v>#N/A</v>
      </c>
      <c r="F173" s="55" t="e">
        <v>#N/A</v>
      </c>
      <c r="G173" s="55" t="e">
        <v>#N/A</v>
      </c>
      <c r="H173" s="55" t="e">
        <v>#N/A</v>
      </c>
      <c r="I173" s="55" t="e">
        <v>#N/A</v>
      </c>
      <c r="J173" s="55" t="e">
        <v>#N/A</v>
      </c>
      <c r="K173" s="55" t="e">
        <v>#N/A</v>
      </c>
    </row>
    <row r="174" spans="1:11" ht="60" hidden="1" x14ac:dyDescent="0.25">
      <c r="A174" s="2" t="s">
        <v>450</v>
      </c>
      <c r="B174" s="3">
        <v>10212</v>
      </c>
      <c r="C174" s="4" t="s">
        <v>457</v>
      </c>
      <c r="D174" s="62" t="e">
        <v>#N/A</v>
      </c>
      <c r="E174" s="55" t="e">
        <v>#N/A</v>
      </c>
      <c r="F174" s="55" t="e">
        <v>#N/A</v>
      </c>
      <c r="G174" s="55" t="e">
        <v>#N/A</v>
      </c>
      <c r="H174" s="55" t="e">
        <v>#N/A</v>
      </c>
      <c r="I174" s="55" t="e">
        <v>#N/A</v>
      </c>
      <c r="J174" s="55" t="e">
        <v>#N/A</v>
      </c>
      <c r="K174" s="55" t="e">
        <v>#N/A</v>
      </c>
    </row>
    <row r="175" spans="1:11" ht="45" hidden="1" x14ac:dyDescent="0.25">
      <c r="A175" s="2" t="s">
        <v>450</v>
      </c>
      <c r="B175" s="3">
        <v>10213</v>
      </c>
      <c r="C175" s="4" t="s">
        <v>458</v>
      </c>
      <c r="D175" s="62" t="e">
        <v>#N/A</v>
      </c>
      <c r="E175" s="55" t="e">
        <v>#N/A</v>
      </c>
      <c r="F175" s="55" t="e">
        <v>#N/A</v>
      </c>
      <c r="G175" s="55" t="e">
        <v>#N/A</v>
      </c>
      <c r="H175" s="55" t="e">
        <v>#N/A</v>
      </c>
      <c r="I175" s="55" t="e">
        <v>#N/A</v>
      </c>
      <c r="J175" s="55" t="e">
        <v>#N/A</v>
      </c>
      <c r="K175" s="55" t="e">
        <v>#N/A</v>
      </c>
    </row>
    <row r="176" spans="1:11" ht="60" hidden="1" x14ac:dyDescent="0.25">
      <c r="A176" s="2" t="s">
        <v>450</v>
      </c>
      <c r="B176" s="3">
        <v>10214</v>
      </c>
      <c r="C176" s="4" t="s">
        <v>459</v>
      </c>
      <c r="D176" s="62" t="e">
        <v>#N/A</v>
      </c>
      <c r="E176" s="55" t="e">
        <v>#N/A</v>
      </c>
      <c r="F176" s="55" t="e">
        <v>#N/A</v>
      </c>
      <c r="G176" s="55" t="e">
        <v>#N/A</v>
      </c>
      <c r="H176" s="55" t="e">
        <v>#N/A</v>
      </c>
      <c r="I176" s="55" t="e">
        <v>#N/A</v>
      </c>
      <c r="J176" s="55" t="e">
        <v>#N/A</v>
      </c>
      <c r="K176" s="55" t="e">
        <v>#N/A</v>
      </c>
    </row>
    <row r="177" spans="1:11" ht="45" hidden="1" x14ac:dyDescent="0.25">
      <c r="A177" s="2" t="s">
        <v>450</v>
      </c>
      <c r="B177" s="3">
        <v>10215</v>
      </c>
      <c r="C177" s="4" t="s">
        <v>460</v>
      </c>
      <c r="D177" s="62" t="e">
        <v>#N/A</v>
      </c>
      <c r="E177" s="55" t="e">
        <v>#N/A</v>
      </c>
      <c r="F177" s="55" t="e">
        <v>#N/A</v>
      </c>
      <c r="G177" s="55" t="e">
        <v>#N/A</v>
      </c>
      <c r="H177" s="55" t="e">
        <v>#N/A</v>
      </c>
      <c r="I177" s="55" t="e">
        <v>#N/A</v>
      </c>
      <c r="J177" s="55" t="e">
        <v>#N/A</v>
      </c>
      <c r="K177" s="55" t="e">
        <v>#N/A</v>
      </c>
    </row>
    <row r="178" spans="1:11" ht="45" hidden="1" x14ac:dyDescent="0.25">
      <c r="A178" s="2" t="s">
        <v>450</v>
      </c>
      <c r="B178" s="3">
        <v>10216</v>
      </c>
      <c r="C178" s="4" t="s">
        <v>461</v>
      </c>
      <c r="D178" s="62" t="e">
        <v>#N/A</v>
      </c>
      <c r="E178" s="55" t="e">
        <v>#N/A</v>
      </c>
      <c r="F178" s="55" t="e">
        <v>#N/A</v>
      </c>
      <c r="G178" s="55" t="e">
        <v>#N/A</v>
      </c>
      <c r="H178" s="55" t="e">
        <v>#N/A</v>
      </c>
      <c r="I178" s="55" t="e">
        <v>#N/A</v>
      </c>
      <c r="J178" s="55" t="e">
        <v>#N/A</v>
      </c>
      <c r="K178" s="55" t="e">
        <v>#N/A</v>
      </c>
    </row>
    <row r="179" spans="1:11" ht="60" hidden="1" x14ac:dyDescent="0.25">
      <c r="A179" s="2" t="s">
        <v>450</v>
      </c>
      <c r="B179" s="3">
        <v>10217</v>
      </c>
      <c r="C179" s="4" t="s">
        <v>462</v>
      </c>
      <c r="D179" s="62" t="e">
        <v>#N/A</v>
      </c>
      <c r="E179" s="55" t="e">
        <v>#N/A</v>
      </c>
      <c r="F179" s="55" t="e">
        <v>#N/A</v>
      </c>
      <c r="G179" s="55" t="e">
        <v>#N/A</v>
      </c>
      <c r="H179" s="55" t="e">
        <v>#N/A</v>
      </c>
      <c r="I179" s="55" t="e">
        <v>#N/A</v>
      </c>
      <c r="J179" s="55" t="e">
        <v>#N/A</v>
      </c>
      <c r="K179" s="55" t="e">
        <v>#N/A</v>
      </c>
    </row>
    <row r="180" spans="1:11" ht="60" hidden="1" x14ac:dyDescent="0.25">
      <c r="A180" s="2" t="s">
        <v>450</v>
      </c>
      <c r="B180" s="3">
        <v>10218</v>
      </c>
      <c r="C180" s="4" t="s">
        <v>463</v>
      </c>
      <c r="D180" s="62" t="e">
        <v>#N/A</v>
      </c>
      <c r="E180" s="55" t="e">
        <v>#N/A</v>
      </c>
      <c r="F180" s="55" t="e">
        <v>#N/A</v>
      </c>
      <c r="G180" s="55" t="e">
        <v>#N/A</v>
      </c>
      <c r="H180" s="55" t="e">
        <v>#N/A</v>
      </c>
      <c r="I180" s="55" t="e">
        <v>#N/A</v>
      </c>
      <c r="J180" s="55" t="e">
        <v>#N/A</v>
      </c>
      <c r="K180" s="55" t="e">
        <v>#N/A</v>
      </c>
    </row>
    <row r="181" spans="1:11" ht="60" hidden="1" x14ac:dyDescent="0.25">
      <c r="A181" s="2" t="s">
        <v>450</v>
      </c>
      <c r="B181" s="3">
        <v>10219</v>
      </c>
      <c r="C181" s="4" t="s">
        <v>464</v>
      </c>
      <c r="D181" s="62" t="e">
        <v>#N/A</v>
      </c>
      <c r="E181" s="55" t="e">
        <v>#N/A</v>
      </c>
      <c r="F181" s="55" t="e">
        <v>#N/A</v>
      </c>
      <c r="G181" s="55" t="e">
        <v>#N/A</v>
      </c>
      <c r="H181" s="55" t="e">
        <v>#N/A</v>
      </c>
      <c r="I181" s="55" t="e">
        <v>#N/A</v>
      </c>
      <c r="J181" s="55" t="e">
        <v>#N/A</v>
      </c>
      <c r="K181" s="55" t="e">
        <v>#N/A</v>
      </c>
    </row>
    <row r="182" spans="1:11" ht="45" hidden="1" x14ac:dyDescent="0.25">
      <c r="A182" s="2" t="s">
        <v>450</v>
      </c>
      <c r="B182" s="3">
        <v>10291</v>
      </c>
      <c r="C182" s="4" t="s">
        <v>465</v>
      </c>
      <c r="D182" s="62" t="e">
        <v>#N/A</v>
      </c>
      <c r="E182" s="55" t="e">
        <v>#N/A</v>
      </c>
      <c r="F182" s="55" t="e">
        <v>#N/A</v>
      </c>
      <c r="G182" s="55" t="e">
        <v>#N/A</v>
      </c>
      <c r="H182" s="55" t="e">
        <v>#N/A</v>
      </c>
      <c r="I182" s="55" t="e">
        <v>#N/A</v>
      </c>
      <c r="J182" s="55" t="e">
        <v>#N/A</v>
      </c>
      <c r="K182" s="55" t="e">
        <v>#N/A</v>
      </c>
    </row>
    <row r="183" spans="1:11" ht="45" hidden="1" x14ac:dyDescent="0.25">
      <c r="A183" s="2" t="s">
        <v>450</v>
      </c>
      <c r="B183" s="3">
        <v>10292</v>
      </c>
      <c r="C183" s="4" t="s">
        <v>465</v>
      </c>
      <c r="D183" s="62" t="e">
        <v>#N/A</v>
      </c>
      <c r="E183" s="55" t="e">
        <v>#N/A</v>
      </c>
      <c r="F183" s="55" t="e">
        <v>#N/A</v>
      </c>
      <c r="G183" s="55" t="e">
        <v>#N/A</v>
      </c>
      <c r="H183" s="55" t="e">
        <v>#N/A</v>
      </c>
      <c r="I183" s="55" t="e">
        <v>#N/A</v>
      </c>
      <c r="J183" s="55" t="e">
        <v>#N/A</v>
      </c>
      <c r="K183" s="55" t="e">
        <v>#N/A</v>
      </c>
    </row>
    <row r="184" spans="1:11" ht="45" hidden="1" x14ac:dyDescent="0.25">
      <c r="A184" s="2" t="s">
        <v>450</v>
      </c>
      <c r="B184" s="3">
        <v>10293</v>
      </c>
      <c r="C184" s="4" t="s">
        <v>465</v>
      </c>
      <c r="D184" s="62" t="e">
        <v>#N/A</v>
      </c>
      <c r="E184" s="55" t="e">
        <v>#N/A</v>
      </c>
      <c r="F184" s="55" t="e">
        <v>#N/A</v>
      </c>
      <c r="G184" s="55" t="e">
        <v>#N/A</v>
      </c>
      <c r="H184" s="55" t="e">
        <v>#N/A</v>
      </c>
      <c r="I184" s="55" t="e">
        <v>#N/A</v>
      </c>
      <c r="J184" s="55" t="e">
        <v>#N/A</v>
      </c>
      <c r="K184" s="55" t="e">
        <v>#N/A</v>
      </c>
    </row>
    <row r="185" spans="1:11" ht="45" hidden="1" x14ac:dyDescent="0.25">
      <c r="A185" s="2" t="s">
        <v>450</v>
      </c>
      <c r="B185" s="3">
        <v>10294</v>
      </c>
      <c r="C185" s="4" t="s">
        <v>465</v>
      </c>
      <c r="D185" s="62" t="e">
        <v>#N/A</v>
      </c>
      <c r="E185" s="55" t="e">
        <v>#N/A</v>
      </c>
      <c r="F185" s="55" t="e">
        <v>#N/A</v>
      </c>
      <c r="G185" s="55" t="e">
        <v>#N/A</v>
      </c>
      <c r="H185" s="55" t="e">
        <v>#N/A</v>
      </c>
      <c r="I185" s="55" t="e">
        <v>#N/A</v>
      </c>
      <c r="J185" s="55" t="e">
        <v>#N/A</v>
      </c>
      <c r="K185" s="55" t="e">
        <v>#N/A</v>
      </c>
    </row>
    <row r="186" spans="1:11" ht="45" hidden="1" x14ac:dyDescent="0.25">
      <c r="A186" s="2" t="s">
        <v>450</v>
      </c>
      <c r="B186" s="3">
        <v>10295</v>
      </c>
      <c r="C186" s="4" t="s">
        <v>465</v>
      </c>
      <c r="D186" s="62" t="e">
        <v>#N/A</v>
      </c>
      <c r="E186" s="55" t="e">
        <v>#N/A</v>
      </c>
      <c r="F186" s="55" t="e">
        <v>#N/A</v>
      </c>
      <c r="G186" s="55" t="e">
        <v>#N/A</v>
      </c>
      <c r="H186" s="55" t="e">
        <v>#N/A</v>
      </c>
      <c r="I186" s="55" t="e">
        <v>#N/A</v>
      </c>
      <c r="J186" s="55" t="e">
        <v>#N/A</v>
      </c>
      <c r="K186" s="55" t="e">
        <v>#N/A</v>
      </c>
    </row>
    <row r="187" spans="1:11" ht="45" hidden="1" x14ac:dyDescent="0.25">
      <c r="A187" s="2" t="s">
        <v>450</v>
      </c>
      <c r="B187" s="3">
        <v>10296</v>
      </c>
      <c r="C187" s="4" t="s">
        <v>465</v>
      </c>
      <c r="D187" s="62" t="e">
        <v>#N/A</v>
      </c>
      <c r="E187" s="55" t="e">
        <v>#N/A</v>
      </c>
      <c r="F187" s="55" t="e">
        <v>#N/A</v>
      </c>
      <c r="G187" s="55" t="e">
        <v>#N/A</v>
      </c>
      <c r="H187" s="55" t="e">
        <v>#N/A</v>
      </c>
      <c r="I187" s="55" t="e">
        <v>#N/A</v>
      </c>
      <c r="J187" s="55" t="e">
        <v>#N/A</v>
      </c>
      <c r="K187" s="55" t="e">
        <v>#N/A</v>
      </c>
    </row>
    <row r="188" spans="1:11" ht="45" hidden="1" x14ac:dyDescent="0.25">
      <c r="A188" s="2" t="s">
        <v>450</v>
      </c>
      <c r="B188" s="3">
        <v>10297</v>
      </c>
      <c r="C188" s="4" t="s">
        <v>465</v>
      </c>
      <c r="D188" s="62" t="e">
        <v>#N/A</v>
      </c>
      <c r="E188" s="55" t="e">
        <v>#N/A</v>
      </c>
      <c r="F188" s="55" t="e">
        <v>#N/A</v>
      </c>
      <c r="G188" s="55" t="e">
        <v>#N/A</v>
      </c>
      <c r="H188" s="55" t="e">
        <v>#N/A</v>
      </c>
      <c r="I188" s="55" t="e">
        <v>#N/A</v>
      </c>
      <c r="J188" s="55" t="e">
        <v>#N/A</v>
      </c>
      <c r="K188" s="55" t="e">
        <v>#N/A</v>
      </c>
    </row>
    <row r="189" spans="1:11" ht="45" hidden="1" x14ac:dyDescent="0.25">
      <c r="A189" s="2" t="s">
        <v>450</v>
      </c>
      <c r="B189" s="3">
        <v>10298</v>
      </c>
      <c r="C189" s="4" t="s">
        <v>466</v>
      </c>
      <c r="D189" s="62" t="e">
        <v>#N/A</v>
      </c>
      <c r="E189" s="55" t="e">
        <v>#N/A</v>
      </c>
      <c r="F189" s="55" t="e">
        <v>#N/A</v>
      </c>
      <c r="G189" s="55" t="e">
        <v>#N/A</v>
      </c>
      <c r="H189" s="55" t="e">
        <v>#N/A</v>
      </c>
      <c r="I189" s="55" t="e">
        <v>#N/A</v>
      </c>
      <c r="J189" s="55" t="e">
        <v>#N/A</v>
      </c>
      <c r="K189" s="55" t="e">
        <v>#N/A</v>
      </c>
    </row>
    <row r="190" spans="1:11" ht="60" hidden="1" x14ac:dyDescent="0.25">
      <c r="A190" s="2" t="s">
        <v>450</v>
      </c>
      <c r="B190" s="3">
        <v>10299</v>
      </c>
      <c r="C190" s="4" t="s">
        <v>467</v>
      </c>
      <c r="D190" s="62" t="e">
        <v>#N/A</v>
      </c>
      <c r="E190" s="55" t="e">
        <v>#N/A</v>
      </c>
      <c r="F190" s="55" t="e">
        <v>#N/A</v>
      </c>
      <c r="G190" s="55" t="e">
        <v>#N/A</v>
      </c>
      <c r="H190" s="55" t="e">
        <v>#N/A</v>
      </c>
      <c r="I190" s="55" t="e">
        <v>#N/A</v>
      </c>
      <c r="J190" s="55" t="e">
        <v>#N/A</v>
      </c>
      <c r="K190" s="55" t="e">
        <v>#N/A</v>
      </c>
    </row>
    <row r="191" spans="1:11" ht="45" hidden="1" x14ac:dyDescent="0.25">
      <c r="A191" s="2" t="s">
        <v>450</v>
      </c>
      <c r="B191" s="3">
        <v>10301</v>
      </c>
      <c r="C191" s="4" t="s">
        <v>468</v>
      </c>
      <c r="D191" s="62" t="e">
        <v>#N/A</v>
      </c>
      <c r="E191" s="55" t="e">
        <v>#N/A</v>
      </c>
      <c r="F191" s="55" t="e">
        <v>#N/A</v>
      </c>
      <c r="G191" s="55" t="e">
        <v>#N/A</v>
      </c>
      <c r="H191" s="55" t="e">
        <v>#N/A</v>
      </c>
      <c r="I191" s="55" t="e">
        <v>#N/A</v>
      </c>
      <c r="J191" s="55" t="e">
        <v>#N/A</v>
      </c>
      <c r="K191" s="55" t="e">
        <v>#N/A</v>
      </c>
    </row>
    <row r="192" spans="1:11" ht="45" hidden="1" x14ac:dyDescent="0.25">
      <c r="A192" s="2" t="s">
        <v>450</v>
      </c>
      <c r="B192" s="3">
        <v>10302</v>
      </c>
      <c r="C192" s="4" t="s">
        <v>469</v>
      </c>
      <c r="D192" s="62" t="e">
        <v>#N/A</v>
      </c>
      <c r="E192" s="55" t="e">
        <v>#N/A</v>
      </c>
      <c r="F192" s="55" t="e">
        <v>#N/A</v>
      </c>
      <c r="G192" s="55" t="e">
        <v>#N/A</v>
      </c>
      <c r="H192" s="55" t="e">
        <v>#N/A</v>
      </c>
      <c r="I192" s="55" t="e">
        <v>#N/A</v>
      </c>
      <c r="J192" s="55" t="e">
        <v>#N/A</v>
      </c>
      <c r="K192" s="55" t="e">
        <v>#N/A</v>
      </c>
    </row>
    <row r="193" spans="1:11" ht="45" hidden="1" x14ac:dyDescent="0.25">
      <c r="A193" s="2" t="s">
        <v>450</v>
      </c>
      <c r="B193" s="3">
        <v>10303</v>
      </c>
      <c r="C193" s="4" t="s">
        <v>470</v>
      </c>
      <c r="D193" s="62" t="e">
        <v>#N/A</v>
      </c>
      <c r="E193" s="55" t="e">
        <v>#N/A</v>
      </c>
      <c r="F193" s="55" t="e">
        <v>#N/A</v>
      </c>
      <c r="G193" s="55" t="e">
        <v>#N/A</v>
      </c>
      <c r="H193" s="55" t="e">
        <v>#N/A</v>
      </c>
      <c r="I193" s="55" t="e">
        <v>#N/A</v>
      </c>
      <c r="J193" s="55" t="e">
        <v>#N/A</v>
      </c>
      <c r="K193" s="55" t="e">
        <v>#N/A</v>
      </c>
    </row>
    <row r="194" spans="1:11" ht="45" hidden="1" x14ac:dyDescent="0.25">
      <c r="A194" s="2" t="s">
        <v>450</v>
      </c>
      <c r="B194" s="3">
        <v>10304</v>
      </c>
      <c r="C194" s="4" t="s">
        <v>471</v>
      </c>
      <c r="D194" s="62" t="e">
        <v>#N/A</v>
      </c>
      <c r="E194" s="55" t="e">
        <v>#N/A</v>
      </c>
      <c r="F194" s="55" t="e">
        <v>#N/A</v>
      </c>
      <c r="G194" s="55" t="e">
        <v>#N/A</v>
      </c>
      <c r="H194" s="55" t="e">
        <v>#N/A</v>
      </c>
      <c r="I194" s="55" t="e">
        <v>#N/A</v>
      </c>
      <c r="J194" s="55" t="e">
        <v>#N/A</v>
      </c>
      <c r="K194" s="55" t="e">
        <v>#N/A</v>
      </c>
    </row>
    <row r="195" spans="1:11" ht="45" hidden="1" x14ac:dyDescent="0.25">
      <c r="A195" s="2" t="s">
        <v>450</v>
      </c>
      <c r="B195" s="3">
        <v>10305</v>
      </c>
      <c r="C195" s="4" t="s">
        <v>472</v>
      </c>
      <c r="D195" s="62" t="e">
        <v>#N/A</v>
      </c>
      <c r="E195" s="55" t="e">
        <v>#N/A</v>
      </c>
      <c r="F195" s="55" t="e">
        <v>#N/A</v>
      </c>
      <c r="G195" s="55" t="e">
        <v>#N/A</v>
      </c>
      <c r="H195" s="55" t="e">
        <v>#N/A</v>
      </c>
      <c r="I195" s="55" t="e">
        <v>#N/A</v>
      </c>
      <c r="J195" s="55" t="e">
        <v>#N/A</v>
      </c>
      <c r="K195" s="55" t="e">
        <v>#N/A</v>
      </c>
    </row>
    <row r="196" spans="1:11" ht="45" hidden="1" x14ac:dyDescent="0.25">
      <c r="A196" s="2" t="s">
        <v>450</v>
      </c>
      <c r="B196" s="3">
        <v>10306</v>
      </c>
      <c r="C196" s="4" t="s">
        <v>473</v>
      </c>
      <c r="D196" s="62" t="e">
        <v>#N/A</v>
      </c>
      <c r="E196" s="55" t="e">
        <v>#N/A</v>
      </c>
      <c r="F196" s="55" t="e">
        <v>#N/A</v>
      </c>
      <c r="G196" s="55" t="e">
        <v>#N/A</v>
      </c>
      <c r="H196" s="55" t="e">
        <v>#N/A</v>
      </c>
      <c r="I196" s="55" t="e">
        <v>#N/A</v>
      </c>
      <c r="J196" s="55" t="e">
        <v>#N/A</v>
      </c>
      <c r="K196" s="55" t="e">
        <v>#N/A</v>
      </c>
    </row>
    <row r="197" spans="1:11" ht="30" hidden="1" x14ac:dyDescent="0.25">
      <c r="A197" s="2" t="s">
        <v>450</v>
      </c>
      <c r="B197" s="3">
        <v>10307</v>
      </c>
      <c r="C197" s="4" t="s">
        <v>474</v>
      </c>
      <c r="D197" s="62" t="e">
        <v>#N/A</v>
      </c>
      <c r="E197" s="55" t="e">
        <v>#N/A</v>
      </c>
      <c r="F197" s="55" t="e">
        <v>#N/A</v>
      </c>
      <c r="G197" s="55" t="e">
        <v>#N/A</v>
      </c>
      <c r="H197" s="55" t="e">
        <v>#N/A</v>
      </c>
      <c r="I197" s="55" t="e">
        <v>#N/A</v>
      </c>
      <c r="J197" s="55" t="e">
        <v>#N/A</v>
      </c>
      <c r="K197" s="55" t="e">
        <v>#N/A</v>
      </c>
    </row>
    <row r="198" spans="1:11" ht="30" hidden="1" x14ac:dyDescent="0.25">
      <c r="A198" s="2" t="s">
        <v>450</v>
      </c>
      <c r="B198" s="3">
        <v>10308</v>
      </c>
      <c r="C198" s="4" t="s">
        <v>475</v>
      </c>
      <c r="D198" s="62" t="e">
        <v>#N/A</v>
      </c>
      <c r="E198" s="55" t="e">
        <v>#N/A</v>
      </c>
      <c r="F198" s="55" t="e">
        <v>#N/A</v>
      </c>
      <c r="G198" s="55" t="e">
        <v>#N/A</v>
      </c>
      <c r="H198" s="55" t="e">
        <v>#N/A</v>
      </c>
      <c r="I198" s="55" t="e">
        <v>#N/A</v>
      </c>
      <c r="J198" s="55" t="e">
        <v>#N/A</v>
      </c>
      <c r="K198" s="55" t="e">
        <v>#N/A</v>
      </c>
    </row>
    <row r="199" spans="1:11" ht="60" hidden="1" x14ac:dyDescent="0.25">
      <c r="A199" s="2" t="s">
        <v>450</v>
      </c>
      <c r="B199" s="3">
        <v>10309</v>
      </c>
      <c r="C199" s="4" t="s">
        <v>476</v>
      </c>
      <c r="D199" s="62" t="e">
        <v>#N/A</v>
      </c>
      <c r="E199" s="55" t="e">
        <v>#N/A</v>
      </c>
      <c r="F199" s="55" t="e">
        <v>#N/A</v>
      </c>
      <c r="G199" s="55" t="e">
        <v>#N/A</v>
      </c>
      <c r="H199" s="55" t="e">
        <v>#N/A</v>
      </c>
      <c r="I199" s="55" t="e">
        <v>#N/A</v>
      </c>
      <c r="J199" s="55" t="e">
        <v>#N/A</v>
      </c>
      <c r="K199" s="55" t="e">
        <v>#N/A</v>
      </c>
    </row>
    <row r="200" spans="1:11" ht="60" hidden="1" x14ac:dyDescent="0.25">
      <c r="A200" s="2" t="s">
        <v>450</v>
      </c>
      <c r="B200" s="3">
        <v>10411</v>
      </c>
      <c r="C200" s="4" t="s">
        <v>477</v>
      </c>
      <c r="D200" s="62" t="e">
        <v>#N/A</v>
      </c>
      <c r="E200" s="55" t="e">
        <v>#N/A</v>
      </c>
      <c r="F200" s="55" t="e">
        <v>#N/A</v>
      </c>
      <c r="G200" s="55" t="e">
        <v>#N/A</v>
      </c>
      <c r="H200" s="55" t="e">
        <v>#N/A</v>
      </c>
      <c r="I200" s="55" t="e">
        <v>#N/A</v>
      </c>
      <c r="J200" s="55" t="e">
        <v>#N/A</v>
      </c>
      <c r="K200" s="55" t="e">
        <v>#N/A</v>
      </c>
    </row>
    <row r="201" spans="1:11" hidden="1" x14ac:dyDescent="0.25">
      <c r="A201" s="2" t="s">
        <v>450</v>
      </c>
      <c r="B201" s="3">
        <v>10412</v>
      </c>
      <c r="C201" s="4" t="s">
        <v>478</v>
      </c>
      <c r="D201" s="62" t="e">
        <v>#N/A</v>
      </c>
      <c r="E201" s="55" t="e">
        <v>#N/A</v>
      </c>
      <c r="F201" s="55" t="e">
        <v>#N/A</v>
      </c>
      <c r="G201" s="55" t="e">
        <v>#N/A</v>
      </c>
      <c r="H201" s="55" t="e">
        <v>#N/A</v>
      </c>
      <c r="I201" s="55" t="e">
        <v>#N/A</v>
      </c>
      <c r="J201" s="55" t="e">
        <v>#N/A</v>
      </c>
      <c r="K201" s="55" t="e">
        <v>#N/A</v>
      </c>
    </row>
    <row r="202" spans="1:11" ht="60" hidden="1" x14ac:dyDescent="0.25">
      <c r="A202" s="2" t="s">
        <v>450</v>
      </c>
      <c r="B202" s="3">
        <v>10413</v>
      </c>
      <c r="C202" s="4" t="s">
        <v>479</v>
      </c>
      <c r="D202" s="62" t="e">
        <v>#N/A</v>
      </c>
      <c r="E202" s="55" t="e">
        <v>#N/A</v>
      </c>
      <c r="F202" s="55" t="e">
        <v>#N/A</v>
      </c>
      <c r="G202" s="55" t="e">
        <v>#N/A</v>
      </c>
      <c r="H202" s="55" t="e">
        <v>#N/A</v>
      </c>
      <c r="I202" s="55" t="e">
        <v>#N/A</v>
      </c>
      <c r="J202" s="55" t="e">
        <v>#N/A</v>
      </c>
      <c r="K202" s="55" t="e">
        <v>#N/A</v>
      </c>
    </row>
    <row r="203" spans="1:11" ht="30" hidden="1" x14ac:dyDescent="0.25">
      <c r="A203" s="2" t="s">
        <v>450</v>
      </c>
      <c r="B203" s="3">
        <v>10414</v>
      </c>
      <c r="C203" s="4" t="s">
        <v>480</v>
      </c>
      <c r="D203" s="62" t="e">
        <v>#N/A</v>
      </c>
      <c r="E203" s="55" t="e">
        <v>#N/A</v>
      </c>
      <c r="F203" s="55" t="e">
        <v>#N/A</v>
      </c>
      <c r="G203" s="55" t="e">
        <v>#N/A</v>
      </c>
      <c r="H203" s="55" t="e">
        <v>#N/A</v>
      </c>
      <c r="I203" s="55" t="e">
        <v>#N/A</v>
      </c>
      <c r="J203" s="55" t="e">
        <v>#N/A</v>
      </c>
      <c r="K203" s="55" t="e">
        <v>#N/A</v>
      </c>
    </row>
    <row r="204" spans="1:11" ht="60" hidden="1" x14ac:dyDescent="0.25">
      <c r="A204" s="2" t="s">
        <v>450</v>
      </c>
      <c r="B204" s="3">
        <v>10415</v>
      </c>
      <c r="C204" s="4" t="s">
        <v>481</v>
      </c>
      <c r="D204" s="62" t="e">
        <v>#N/A</v>
      </c>
      <c r="E204" s="55" t="e">
        <v>#N/A</v>
      </c>
      <c r="F204" s="55" t="e">
        <v>#N/A</v>
      </c>
      <c r="G204" s="55" t="e">
        <v>#N/A</v>
      </c>
      <c r="H204" s="55" t="e">
        <v>#N/A</v>
      </c>
      <c r="I204" s="55" t="e">
        <v>#N/A</v>
      </c>
      <c r="J204" s="55" t="e">
        <v>#N/A</v>
      </c>
      <c r="K204" s="55" t="e">
        <v>#N/A</v>
      </c>
    </row>
    <row r="205" spans="1:11" ht="60" hidden="1" x14ac:dyDescent="0.25">
      <c r="A205" s="2" t="s">
        <v>450</v>
      </c>
      <c r="B205" s="3">
        <v>10419</v>
      </c>
      <c r="C205" s="4" t="s">
        <v>482</v>
      </c>
      <c r="D205" s="62" t="e">
        <v>#N/A</v>
      </c>
      <c r="E205" s="55" t="e">
        <v>#N/A</v>
      </c>
      <c r="F205" s="55" t="e">
        <v>#N/A</v>
      </c>
      <c r="G205" s="55" t="e">
        <v>#N/A</v>
      </c>
      <c r="H205" s="55" t="e">
        <v>#N/A</v>
      </c>
      <c r="I205" s="55" t="e">
        <v>#N/A</v>
      </c>
      <c r="J205" s="55" t="e">
        <v>#N/A</v>
      </c>
      <c r="K205" s="55" t="e">
        <v>#N/A</v>
      </c>
    </row>
    <row r="206" spans="1:11" hidden="1" x14ac:dyDescent="0.25">
      <c r="A206" s="2" t="s">
        <v>450</v>
      </c>
      <c r="B206" s="3">
        <v>10421</v>
      </c>
      <c r="C206" s="4" t="s">
        <v>483</v>
      </c>
      <c r="D206" s="62" t="e">
        <v>#N/A</v>
      </c>
      <c r="E206" s="55" t="e">
        <v>#N/A</v>
      </c>
      <c r="F206" s="55" t="e">
        <v>#N/A</v>
      </c>
      <c r="G206" s="55" t="e">
        <v>#N/A</v>
      </c>
      <c r="H206" s="55" t="e">
        <v>#N/A</v>
      </c>
      <c r="I206" s="55" t="e">
        <v>#N/A</v>
      </c>
      <c r="J206" s="55" t="e">
        <v>#N/A</v>
      </c>
      <c r="K206" s="55" t="e">
        <v>#N/A</v>
      </c>
    </row>
    <row r="207" spans="1:11" ht="30" hidden="1" x14ac:dyDescent="0.25">
      <c r="A207" s="2" t="s">
        <v>450</v>
      </c>
      <c r="B207" s="3">
        <v>10422</v>
      </c>
      <c r="C207" s="4" t="s">
        <v>484</v>
      </c>
      <c r="D207" s="62" t="e">
        <v>#N/A</v>
      </c>
      <c r="E207" s="55" t="e">
        <v>#N/A</v>
      </c>
      <c r="F207" s="55" t="e">
        <v>#N/A</v>
      </c>
      <c r="G207" s="55" t="e">
        <v>#N/A</v>
      </c>
      <c r="H207" s="55" t="e">
        <v>#N/A</v>
      </c>
      <c r="I207" s="55" t="e">
        <v>#N/A</v>
      </c>
      <c r="J207" s="55" t="e">
        <v>#N/A</v>
      </c>
      <c r="K207" s="55" t="e">
        <v>#N/A</v>
      </c>
    </row>
    <row r="208" spans="1:11" ht="30" hidden="1" x14ac:dyDescent="0.25">
      <c r="A208" s="2" t="s">
        <v>450</v>
      </c>
      <c r="B208" s="3">
        <v>10423</v>
      </c>
      <c r="C208" s="4" t="s">
        <v>485</v>
      </c>
      <c r="D208" s="62" t="e">
        <v>#N/A</v>
      </c>
      <c r="E208" s="55" t="e">
        <v>#N/A</v>
      </c>
      <c r="F208" s="55" t="e">
        <v>#N/A</v>
      </c>
      <c r="G208" s="55" t="e">
        <v>#N/A</v>
      </c>
      <c r="H208" s="55" t="e">
        <v>#N/A</v>
      </c>
      <c r="I208" s="55" t="e">
        <v>#N/A</v>
      </c>
      <c r="J208" s="55" t="e">
        <v>#N/A</v>
      </c>
      <c r="K208" s="55" t="e">
        <v>#N/A</v>
      </c>
    </row>
    <row r="209" spans="1:11" ht="60" hidden="1" x14ac:dyDescent="0.25">
      <c r="A209" s="2" t="s">
        <v>450</v>
      </c>
      <c r="B209" s="3">
        <v>10431</v>
      </c>
      <c r="C209" s="4" t="s">
        <v>486</v>
      </c>
      <c r="D209" s="62" t="e">
        <v>#N/A</v>
      </c>
      <c r="E209" s="55" t="e">
        <v>#N/A</v>
      </c>
      <c r="F209" s="55" t="e">
        <v>#N/A</v>
      </c>
      <c r="G209" s="55" t="e">
        <v>#N/A</v>
      </c>
      <c r="H209" s="55" t="e">
        <v>#N/A</v>
      </c>
      <c r="I209" s="55" t="e">
        <v>#N/A</v>
      </c>
      <c r="J209" s="55" t="e">
        <v>#N/A</v>
      </c>
      <c r="K209" s="55" t="e">
        <v>#N/A</v>
      </c>
    </row>
    <row r="210" spans="1:11" ht="60" hidden="1" x14ac:dyDescent="0.25">
      <c r="A210" s="2" t="s">
        <v>450</v>
      </c>
      <c r="B210" s="3">
        <v>10432</v>
      </c>
      <c r="C210" s="4" t="s">
        <v>487</v>
      </c>
      <c r="D210" s="62" t="e">
        <v>#N/A</v>
      </c>
      <c r="E210" s="55" t="e">
        <v>#N/A</v>
      </c>
      <c r="F210" s="55" t="e">
        <v>#N/A</v>
      </c>
      <c r="G210" s="55" t="e">
        <v>#N/A</v>
      </c>
      <c r="H210" s="55" t="e">
        <v>#N/A</v>
      </c>
      <c r="I210" s="55" t="e">
        <v>#N/A</v>
      </c>
      <c r="J210" s="55" t="e">
        <v>#N/A</v>
      </c>
      <c r="K210" s="55" t="e">
        <v>#N/A</v>
      </c>
    </row>
    <row r="211" spans="1:11" ht="60" hidden="1" x14ac:dyDescent="0.25">
      <c r="A211" s="2" t="s">
        <v>450</v>
      </c>
      <c r="B211" s="3">
        <v>10433</v>
      </c>
      <c r="C211" s="4" t="s">
        <v>488</v>
      </c>
      <c r="D211" s="62" t="e">
        <v>#N/A</v>
      </c>
      <c r="E211" s="55" t="e">
        <v>#N/A</v>
      </c>
      <c r="F211" s="55" t="e">
        <v>#N/A</v>
      </c>
      <c r="G211" s="55" t="e">
        <v>#N/A</v>
      </c>
      <c r="H211" s="55" t="e">
        <v>#N/A</v>
      </c>
      <c r="I211" s="55" t="e">
        <v>#N/A</v>
      </c>
      <c r="J211" s="55" t="e">
        <v>#N/A</v>
      </c>
      <c r="K211" s="55" t="e">
        <v>#N/A</v>
      </c>
    </row>
    <row r="212" spans="1:11" ht="60" hidden="1" x14ac:dyDescent="0.25">
      <c r="A212" s="2" t="s">
        <v>450</v>
      </c>
      <c r="B212" s="3">
        <v>10434</v>
      </c>
      <c r="C212" s="4" t="s">
        <v>489</v>
      </c>
      <c r="D212" s="62" t="e">
        <v>#N/A</v>
      </c>
      <c r="E212" s="55" t="e">
        <v>#N/A</v>
      </c>
      <c r="F212" s="55" t="e">
        <v>#N/A</v>
      </c>
      <c r="G212" s="55" t="e">
        <v>#N/A</v>
      </c>
      <c r="H212" s="55" t="e">
        <v>#N/A</v>
      </c>
      <c r="I212" s="55" t="e">
        <v>#N/A</v>
      </c>
      <c r="J212" s="55" t="e">
        <v>#N/A</v>
      </c>
      <c r="K212" s="55" t="e">
        <v>#N/A</v>
      </c>
    </row>
    <row r="213" spans="1:11" ht="60" hidden="1" x14ac:dyDescent="0.25">
      <c r="A213" s="2" t="s">
        <v>450</v>
      </c>
      <c r="B213" s="3">
        <v>10435</v>
      </c>
      <c r="C213" s="4" t="s">
        <v>490</v>
      </c>
      <c r="D213" s="62" t="e">
        <v>#N/A</v>
      </c>
      <c r="E213" s="55" t="e">
        <v>#N/A</v>
      </c>
      <c r="F213" s="55" t="e">
        <v>#N/A</v>
      </c>
      <c r="G213" s="55" t="e">
        <v>#N/A</v>
      </c>
      <c r="H213" s="55" t="e">
        <v>#N/A</v>
      </c>
      <c r="I213" s="55" t="e">
        <v>#N/A</v>
      </c>
      <c r="J213" s="55" t="e">
        <v>#N/A</v>
      </c>
      <c r="K213" s="55" t="e">
        <v>#N/A</v>
      </c>
    </row>
    <row r="214" spans="1:11" ht="60" hidden="1" x14ac:dyDescent="0.25">
      <c r="A214" s="2" t="s">
        <v>450</v>
      </c>
      <c r="B214" s="3">
        <v>10436</v>
      </c>
      <c r="C214" s="4" t="s">
        <v>491</v>
      </c>
      <c r="D214" s="62" t="e">
        <v>#N/A</v>
      </c>
      <c r="E214" s="55" t="e">
        <v>#N/A</v>
      </c>
      <c r="F214" s="55" t="e">
        <v>#N/A</v>
      </c>
      <c r="G214" s="55" t="e">
        <v>#N/A</v>
      </c>
      <c r="H214" s="55" t="e">
        <v>#N/A</v>
      </c>
      <c r="I214" s="55" t="e">
        <v>#N/A</v>
      </c>
      <c r="J214" s="55" t="e">
        <v>#N/A</v>
      </c>
      <c r="K214" s="55" t="e">
        <v>#N/A</v>
      </c>
    </row>
    <row r="215" spans="1:11" ht="45" hidden="1" x14ac:dyDescent="0.25">
      <c r="A215" s="2" t="s">
        <v>450</v>
      </c>
      <c r="B215" s="3">
        <v>10437</v>
      </c>
      <c r="C215" s="4" t="s">
        <v>492</v>
      </c>
      <c r="D215" s="62" t="e">
        <v>#N/A</v>
      </c>
      <c r="E215" s="55" t="e">
        <v>#N/A</v>
      </c>
      <c r="F215" s="55" t="e">
        <v>#N/A</v>
      </c>
      <c r="G215" s="55" t="e">
        <v>#N/A</v>
      </c>
      <c r="H215" s="55" t="e">
        <v>#N/A</v>
      </c>
      <c r="I215" s="55" t="e">
        <v>#N/A</v>
      </c>
      <c r="J215" s="55" t="e">
        <v>#N/A</v>
      </c>
      <c r="K215" s="55" t="e">
        <v>#N/A</v>
      </c>
    </row>
    <row r="216" spans="1:11" ht="30" hidden="1" x14ac:dyDescent="0.25">
      <c r="A216" s="2" t="s">
        <v>450</v>
      </c>
      <c r="B216" s="3">
        <v>10501</v>
      </c>
      <c r="C216" s="4" t="s">
        <v>493</v>
      </c>
      <c r="D216" s="62" t="e">
        <v>#N/A</v>
      </c>
      <c r="E216" s="55" t="e">
        <v>#N/A</v>
      </c>
      <c r="F216" s="55" t="e">
        <v>#N/A</v>
      </c>
      <c r="G216" s="55" t="e">
        <v>#N/A</v>
      </c>
      <c r="H216" s="55" t="e">
        <v>#N/A</v>
      </c>
      <c r="I216" s="55" t="e">
        <v>#N/A</v>
      </c>
      <c r="J216" s="55" t="e">
        <v>#N/A</v>
      </c>
      <c r="K216" s="55" t="e">
        <v>#N/A</v>
      </c>
    </row>
    <row r="217" spans="1:11" ht="30" hidden="1" x14ac:dyDescent="0.25">
      <c r="A217" s="2" t="s">
        <v>450</v>
      </c>
      <c r="B217" s="3">
        <v>10502</v>
      </c>
      <c r="C217" s="4" t="s">
        <v>494</v>
      </c>
      <c r="D217" s="62" t="e">
        <v>#N/A</v>
      </c>
      <c r="E217" s="55" t="e">
        <v>#N/A</v>
      </c>
      <c r="F217" s="55" t="e">
        <v>#N/A</v>
      </c>
      <c r="G217" s="55" t="e">
        <v>#N/A</v>
      </c>
      <c r="H217" s="55" t="e">
        <v>#N/A</v>
      </c>
      <c r="I217" s="55" t="e">
        <v>#N/A</v>
      </c>
      <c r="J217" s="55" t="e">
        <v>#N/A</v>
      </c>
      <c r="K217" s="55" t="e">
        <v>#N/A</v>
      </c>
    </row>
    <row r="218" spans="1:11" hidden="1" x14ac:dyDescent="0.25">
      <c r="A218" s="2" t="s">
        <v>450</v>
      </c>
      <c r="B218" s="3">
        <v>10503</v>
      </c>
      <c r="C218" s="4" t="s">
        <v>495</v>
      </c>
      <c r="D218" s="62" t="e">
        <v>#N/A</v>
      </c>
      <c r="E218" s="55" t="e">
        <v>#N/A</v>
      </c>
      <c r="F218" s="55" t="e">
        <v>#N/A</v>
      </c>
      <c r="G218" s="55" t="e">
        <v>#N/A</v>
      </c>
      <c r="H218" s="55" t="e">
        <v>#N/A</v>
      </c>
      <c r="I218" s="55" t="e">
        <v>#N/A</v>
      </c>
      <c r="J218" s="55" t="e">
        <v>#N/A</v>
      </c>
      <c r="K218" s="55" t="e">
        <v>#N/A</v>
      </c>
    </row>
    <row r="219" spans="1:11" ht="45" hidden="1" x14ac:dyDescent="0.25">
      <c r="A219" s="2" t="s">
        <v>450</v>
      </c>
      <c r="B219" s="3">
        <v>10504</v>
      </c>
      <c r="C219" s="4" t="s">
        <v>496</v>
      </c>
      <c r="D219" s="62" t="e">
        <v>#N/A</v>
      </c>
      <c r="E219" s="55" t="e">
        <v>#N/A</v>
      </c>
      <c r="F219" s="55" t="e">
        <v>#N/A</v>
      </c>
      <c r="G219" s="55" t="e">
        <v>#N/A</v>
      </c>
      <c r="H219" s="55" t="e">
        <v>#N/A</v>
      </c>
      <c r="I219" s="55" t="e">
        <v>#N/A</v>
      </c>
      <c r="J219" s="55" t="e">
        <v>#N/A</v>
      </c>
      <c r="K219" s="55" t="e">
        <v>#N/A</v>
      </c>
    </row>
    <row r="220" spans="1:11" ht="30" hidden="1" x14ac:dyDescent="0.25">
      <c r="A220" s="2" t="s">
        <v>450</v>
      </c>
      <c r="B220" s="3">
        <v>10509</v>
      </c>
      <c r="C220" s="4" t="s">
        <v>497</v>
      </c>
      <c r="D220" s="62" t="e">
        <v>#N/A</v>
      </c>
      <c r="E220" s="55" t="e">
        <v>#N/A</v>
      </c>
      <c r="F220" s="55" t="e">
        <v>#N/A</v>
      </c>
      <c r="G220" s="55" t="e">
        <v>#N/A</v>
      </c>
      <c r="H220" s="55" t="e">
        <v>#N/A</v>
      </c>
      <c r="I220" s="55" t="e">
        <v>#N/A</v>
      </c>
      <c r="J220" s="55" t="e">
        <v>#N/A</v>
      </c>
      <c r="K220" s="55" t="e">
        <v>#N/A</v>
      </c>
    </row>
    <row r="221" spans="1:11" ht="60" hidden="1" x14ac:dyDescent="0.25">
      <c r="A221" s="2" t="s">
        <v>450</v>
      </c>
      <c r="B221" s="3">
        <v>10611</v>
      </c>
      <c r="C221" s="4" t="s">
        <v>498</v>
      </c>
      <c r="D221" s="62" t="e">
        <v>#N/A</v>
      </c>
      <c r="E221" s="55" t="e">
        <v>#N/A</v>
      </c>
      <c r="F221" s="55" t="e">
        <v>#N/A</v>
      </c>
      <c r="G221" s="55" t="e">
        <v>#N/A</v>
      </c>
      <c r="H221" s="55" t="e">
        <v>#N/A</v>
      </c>
      <c r="I221" s="55" t="e">
        <v>#N/A</v>
      </c>
      <c r="J221" s="55" t="e">
        <v>#N/A</v>
      </c>
      <c r="K221" s="55" t="e">
        <v>#N/A</v>
      </c>
    </row>
    <row r="222" spans="1:11" ht="45" hidden="1" x14ac:dyDescent="0.25">
      <c r="A222" s="2" t="s">
        <v>450</v>
      </c>
      <c r="B222" s="3">
        <v>10612</v>
      </c>
      <c r="C222" s="4" t="s">
        <v>499</v>
      </c>
      <c r="D222" s="62" t="e">
        <v>#N/A</v>
      </c>
      <c r="E222" s="55" t="e">
        <v>#N/A</v>
      </c>
      <c r="F222" s="55" t="e">
        <v>#N/A</v>
      </c>
      <c r="G222" s="55" t="e">
        <v>#N/A</v>
      </c>
      <c r="H222" s="55" t="e">
        <v>#N/A</v>
      </c>
      <c r="I222" s="55" t="e">
        <v>#N/A</v>
      </c>
      <c r="J222" s="55" t="e">
        <v>#N/A</v>
      </c>
      <c r="K222" s="55" t="e">
        <v>#N/A</v>
      </c>
    </row>
    <row r="223" spans="1:11" ht="60" hidden="1" x14ac:dyDescent="0.25">
      <c r="A223" s="2" t="s">
        <v>450</v>
      </c>
      <c r="B223" s="3">
        <v>10613</v>
      </c>
      <c r="C223" s="4" t="s">
        <v>500</v>
      </c>
      <c r="D223" s="62" t="e">
        <v>#N/A</v>
      </c>
      <c r="E223" s="55" t="e">
        <v>#N/A</v>
      </c>
      <c r="F223" s="55" t="e">
        <v>#N/A</v>
      </c>
      <c r="G223" s="55" t="e">
        <v>#N/A</v>
      </c>
      <c r="H223" s="55" t="e">
        <v>#N/A</v>
      </c>
      <c r="I223" s="55" t="e">
        <v>#N/A</v>
      </c>
      <c r="J223" s="55" t="e">
        <v>#N/A</v>
      </c>
      <c r="K223" s="55" t="e">
        <v>#N/A</v>
      </c>
    </row>
    <row r="224" spans="1:11" ht="45" hidden="1" x14ac:dyDescent="0.25">
      <c r="A224" s="2" t="s">
        <v>450</v>
      </c>
      <c r="B224" s="3">
        <v>10614</v>
      </c>
      <c r="C224" s="4" t="s">
        <v>501</v>
      </c>
      <c r="D224" s="62" t="e">
        <v>#N/A</v>
      </c>
      <c r="E224" s="55" t="e">
        <v>#N/A</v>
      </c>
      <c r="F224" s="55" t="e">
        <v>#N/A</v>
      </c>
      <c r="G224" s="55" t="e">
        <v>#N/A</v>
      </c>
      <c r="H224" s="55" t="e">
        <v>#N/A</v>
      </c>
      <c r="I224" s="55" t="e">
        <v>#N/A</v>
      </c>
      <c r="J224" s="55" t="e">
        <v>#N/A</v>
      </c>
      <c r="K224" s="55" t="e">
        <v>#N/A</v>
      </c>
    </row>
    <row r="225" spans="1:11" ht="30" hidden="1" x14ac:dyDescent="0.25">
      <c r="A225" s="2" t="s">
        <v>450</v>
      </c>
      <c r="B225" s="3">
        <v>10615</v>
      </c>
      <c r="C225" s="4" t="s">
        <v>502</v>
      </c>
      <c r="D225" s="62" t="e">
        <v>#N/A</v>
      </c>
      <c r="E225" s="55" t="e">
        <v>#N/A</v>
      </c>
      <c r="F225" s="55" t="e">
        <v>#N/A</v>
      </c>
      <c r="G225" s="55" t="e">
        <v>#N/A</v>
      </c>
      <c r="H225" s="55" t="e">
        <v>#N/A</v>
      </c>
      <c r="I225" s="55" t="e">
        <v>#N/A</v>
      </c>
      <c r="J225" s="55" t="e">
        <v>#N/A</v>
      </c>
      <c r="K225" s="55" t="e">
        <v>#N/A</v>
      </c>
    </row>
    <row r="226" spans="1:11" ht="30" hidden="1" x14ac:dyDescent="0.25">
      <c r="A226" s="2" t="s">
        <v>450</v>
      </c>
      <c r="B226" s="3">
        <v>10616</v>
      </c>
      <c r="C226" s="4" t="s">
        <v>503</v>
      </c>
      <c r="D226" s="62" t="e">
        <v>#N/A</v>
      </c>
      <c r="E226" s="55" t="e">
        <v>#N/A</v>
      </c>
      <c r="F226" s="55" t="e">
        <v>#N/A</v>
      </c>
      <c r="G226" s="55" t="e">
        <v>#N/A</v>
      </c>
      <c r="H226" s="55" t="e">
        <v>#N/A</v>
      </c>
      <c r="I226" s="55" t="e">
        <v>#N/A</v>
      </c>
      <c r="J226" s="55" t="e">
        <v>#N/A</v>
      </c>
      <c r="K226" s="55" t="e">
        <v>#N/A</v>
      </c>
    </row>
    <row r="227" spans="1:11" ht="30" hidden="1" x14ac:dyDescent="0.25">
      <c r="A227" s="2" t="s">
        <v>450</v>
      </c>
      <c r="B227" s="3">
        <v>10621</v>
      </c>
      <c r="C227" s="4" t="s">
        <v>504</v>
      </c>
      <c r="D227" s="62" t="e">
        <v>#N/A</v>
      </c>
      <c r="E227" s="55" t="e">
        <v>#N/A</v>
      </c>
      <c r="F227" s="55" t="e">
        <v>#N/A</v>
      </c>
      <c r="G227" s="55" t="e">
        <v>#N/A</v>
      </c>
      <c r="H227" s="55" t="e">
        <v>#N/A</v>
      </c>
      <c r="I227" s="55" t="e">
        <v>#N/A</v>
      </c>
      <c r="J227" s="55" t="e">
        <v>#N/A</v>
      </c>
      <c r="K227" s="55" t="e">
        <v>#N/A</v>
      </c>
    </row>
    <row r="228" spans="1:11" ht="30" hidden="1" x14ac:dyDescent="0.25">
      <c r="A228" s="2" t="s">
        <v>450</v>
      </c>
      <c r="B228" s="3">
        <v>10622</v>
      </c>
      <c r="C228" s="4" t="s">
        <v>505</v>
      </c>
      <c r="D228" s="62" t="e">
        <v>#N/A</v>
      </c>
      <c r="E228" s="55" t="e">
        <v>#N/A</v>
      </c>
      <c r="F228" s="55" t="e">
        <v>#N/A</v>
      </c>
      <c r="G228" s="55" t="e">
        <v>#N/A</v>
      </c>
      <c r="H228" s="55" t="e">
        <v>#N/A</v>
      </c>
      <c r="I228" s="55" t="e">
        <v>#N/A</v>
      </c>
      <c r="J228" s="55" t="e">
        <v>#N/A</v>
      </c>
      <c r="K228" s="55" t="e">
        <v>#N/A</v>
      </c>
    </row>
    <row r="229" spans="1:11" ht="30" hidden="1" x14ac:dyDescent="0.25">
      <c r="A229" s="2" t="s">
        <v>450</v>
      </c>
      <c r="B229" s="3">
        <v>10623</v>
      </c>
      <c r="C229" s="4" t="s">
        <v>506</v>
      </c>
      <c r="D229" s="62" t="e">
        <v>#N/A</v>
      </c>
      <c r="E229" s="55" t="e">
        <v>#N/A</v>
      </c>
      <c r="F229" s="55" t="e">
        <v>#N/A</v>
      </c>
      <c r="G229" s="55" t="e">
        <v>#N/A</v>
      </c>
      <c r="H229" s="55" t="e">
        <v>#N/A</v>
      </c>
      <c r="I229" s="55" t="e">
        <v>#N/A</v>
      </c>
      <c r="J229" s="55" t="e">
        <v>#N/A</v>
      </c>
      <c r="K229" s="55" t="e">
        <v>#N/A</v>
      </c>
    </row>
    <row r="230" spans="1:11" ht="30" hidden="1" x14ac:dyDescent="0.25">
      <c r="A230" s="2" t="s">
        <v>450</v>
      </c>
      <c r="B230" s="3">
        <v>10629</v>
      </c>
      <c r="C230" s="4" t="s">
        <v>507</v>
      </c>
      <c r="D230" s="62" t="e">
        <v>#N/A</v>
      </c>
      <c r="E230" s="55" t="e">
        <v>#N/A</v>
      </c>
      <c r="F230" s="55" t="e">
        <v>#N/A</v>
      </c>
      <c r="G230" s="55" t="e">
        <v>#N/A</v>
      </c>
      <c r="H230" s="55" t="e">
        <v>#N/A</v>
      </c>
      <c r="I230" s="55" t="e">
        <v>#N/A</v>
      </c>
      <c r="J230" s="55" t="e">
        <v>#N/A</v>
      </c>
      <c r="K230" s="55" t="e">
        <v>#N/A</v>
      </c>
    </row>
    <row r="231" spans="1:11" ht="60" hidden="1" x14ac:dyDescent="0.25">
      <c r="A231" s="2" t="s">
        <v>450</v>
      </c>
      <c r="B231" s="3">
        <v>10631</v>
      </c>
      <c r="C231" s="4" t="s">
        <v>508</v>
      </c>
      <c r="D231" s="62" t="e">
        <v>#N/A</v>
      </c>
      <c r="E231" s="55" t="e">
        <v>#N/A</v>
      </c>
      <c r="F231" s="55" t="e">
        <v>#N/A</v>
      </c>
      <c r="G231" s="55" t="e">
        <v>#N/A</v>
      </c>
      <c r="H231" s="55" t="e">
        <v>#N/A</v>
      </c>
      <c r="I231" s="55" t="e">
        <v>#N/A</v>
      </c>
      <c r="J231" s="55" t="e">
        <v>#N/A</v>
      </c>
      <c r="K231" s="55" t="e">
        <v>#N/A</v>
      </c>
    </row>
    <row r="232" spans="1:11" ht="30" hidden="1" x14ac:dyDescent="0.25">
      <c r="A232" s="2" t="s">
        <v>450</v>
      </c>
      <c r="B232" s="3">
        <v>10632</v>
      </c>
      <c r="C232" s="4" t="s">
        <v>509</v>
      </c>
      <c r="D232" s="62" t="e">
        <v>#N/A</v>
      </c>
      <c r="E232" s="55" t="e">
        <v>#N/A</v>
      </c>
      <c r="F232" s="55" t="e">
        <v>#N/A</v>
      </c>
      <c r="G232" s="55" t="e">
        <v>#N/A</v>
      </c>
      <c r="H232" s="55" t="e">
        <v>#N/A</v>
      </c>
      <c r="I232" s="55" t="e">
        <v>#N/A</v>
      </c>
      <c r="J232" s="55" t="e">
        <v>#N/A</v>
      </c>
      <c r="K232" s="55" t="e">
        <v>#N/A</v>
      </c>
    </row>
    <row r="233" spans="1:11" ht="45" hidden="1" x14ac:dyDescent="0.25">
      <c r="A233" s="2" t="s">
        <v>450</v>
      </c>
      <c r="B233" s="3">
        <v>10633</v>
      </c>
      <c r="C233" s="4" t="s">
        <v>510</v>
      </c>
      <c r="D233" s="62" t="e">
        <v>#N/A</v>
      </c>
      <c r="E233" s="55" t="e">
        <v>#N/A</v>
      </c>
      <c r="F233" s="55" t="e">
        <v>#N/A</v>
      </c>
      <c r="G233" s="55" t="e">
        <v>#N/A</v>
      </c>
      <c r="H233" s="55" t="e">
        <v>#N/A</v>
      </c>
      <c r="I233" s="55" t="e">
        <v>#N/A</v>
      </c>
      <c r="J233" s="55" t="e">
        <v>#N/A</v>
      </c>
      <c r="K233" s="55" t="e">
        <v>#N/A</v>
      </c>
    </row>
    <row r="234" spans="1:11" ht="30" hidden="1" x14ac:dyDescent="0.25">
      <c r="A234" s="2" t="s">
        <v>450</v>
      </c>
      <c r="B234" s="3">
        <v>10634</v>
      </c>
      <c r="C234" s="4" t="s">
        <v>511</v>
      </c>
      <c r="D234" s="62" t="e">
        <v>#N/A</v>
      </c>
      <c r="E234" s="55" t="e">
        <v>#N/A</v>
      </c>
      <c r="F234" s="55" t="e">
        <v>#N/A</v>
      </c>
      <c r="G234" s="55" t="e">
        <v>#N/A</v>
      </c>
      <c r="H234" s="55" t="e">
        <v>#N/A</v>
      </c>
      <c r="I234" s="55" t="e">
        <v>#N/A</v>
      </c>
      <c r="J234" s="55" t="e">
        <v>#N/A</v>
      </c>
      <c r="K234" s="55" t="e">
        <v>#N/A</v>
      </c>
    </row>
    <row r="235" spans="1:11" ht="45" hidden="1" x14ac:dyDescent="0.25">
      <c r="A235" s="2" t="s">
        <v>450</v>
      </c>
      <c r="B235" s="3">
        <v>10635</v>
      </c>
      <c r="C235" s="4" t="s">
        <v>512</v>
      </c>
      <c r="D235" s="62" t="e">
        <v>#N/A</v>
      </c>
      <c r="E235" s="55" t="e">
        <v>#N/A</v>
      </c>
      <c r="F235" s="55" t="e">
        <v>#N/A</v>
      </c>
      <c r="G235" s="55" t="e">
        <v>#N/A</v>
      </c>
      <c r="H235" s="55" t="e">
        <v>#N/A</v>
      </c>
      <c r="I235" s="55" t="e">
        <v>#N/A</v>
      </c>
      <c r="J235" s="55" t="e">
        <v>#N/A</v>
      </c>
      <c r="K235" s="55" t="e">
        <v>#N/A</v>
      </c>
    </row>
    <row r="236" spans="1:11" ht="45" hidden="1" x14ac:dyDescent="0.25">
      <c r="A236" s="2" t="s">
        <v>450</v>
      </c>
      <c r="B236" s="3">
        <v>10636</v>
      </c>
      <c r="C236" s="4" t="s">
        <v>513</v>
      </c>
      <c r="D236" s="62" t="e">
        <v>#N/A</v>
      </c>
      <c r="E236" s="55" t="e">
        <v>#N/A</v>
      </c>
      <c r="F236" s="55" t="e">
        <v>#N/A</v>
      </c>
      <c r="G236" s="55" t="e">
        <v>#N/A</v>
      </c>
      <c r="H236" s="55" t="e">
        <v>#N/A</v>
      </c>
      <c r="I236" s="55" t="e">
        <v>#N/A</v>
      </c>
      <c r="J236" s="55" t="e">
        <v>#N/A</v>
      </c>
      <c r="K236" s="55" t="e">
        <v>#N/A</v>
      </c>
    </row>
    <row r="237" spans="1:11" ht="30" hidden="1" x14ac:dyDescent="0.25">
      <c r="A237" s="2" t="s">
        <v>450</v>
      </c>
      <c r="B237" s="3">
        <v>10710</v>
      </c>
      <c r="C237" s="4" t="s">
        <v>514</v>
      </c>
      <c r="D237" s="62" t="e">
        <v>#N/A</v>
      </c>
      <c r="E237" s="55" t="e">
        <v>#N/A</v>
      </c>
      <c r="F237" s="55" t="e">
        <v>#N/A</v>
      </c>
      <c r="G237" s="55" t="e">
        <v>#N/A</v>
      </c>
      <c r="H237" s="55" t="e">
        <v>#N/A</v>
      </c>
      <c r="I237" s="55" t="e">
        <v>#N/A</v>
      </c>
      <c r="J237" s="55" t="e">
        <v>#N/A</v>
      </c>
      <c r="K237" s="55" t="e">
        <v>#N/A</v>
      </c>
    </row>
    <row r="238" spans="1:11" hidden="1" x14ac:dyDescent="0.25">
      <c r="A238" s="2" t="s">
        <v>450</v>
      </c>
      <c r="B238" s="3">
        <v>10721</v>
      </c>
      <c r="C238" s="4" t="s">
        <v>515</v>
      </c>
      <c r="D238" s="62" t="e">
        <v>#N/A</v>
      </c>
      <c r="E238" s="55" t="e">
        <v>#N/A</v>
      </c>
      <c r="F238" s="55" t="e">
        <v>#N/A</v>
      </c>
      <c r="G238" s="55" t="e">
        <v>#N/A</v>
      </c>
      <c r="H238" s="55" t="e">
        <v>#N/A</v>
      </c>
      <c r="I238" s="55" t="e">
        <v>#N/A</v>
      </c>
      <c r="J238" s="55" t="e">
        <v>#N/A</v>
      </c>
      <c r="K238" s="55" t="e">
        <v>#N/A</v>
      </c>
    </row>
    <row r="239" spans="1:11" ht="30" hidden="1" x14ac:dyDescent="0.25">
      <c r="A239" s="2" t="s">
        <v>450</v>
      </c>
      <c r="B239" s="3">
        <v>10722</v>
      </c>
      <c r="C239" s="4" t="s">
        <v>516</v>
      </c>
      <c r="D239" s="62" t="e">
        <v>#N/A</v>
      </c>
      <c r="E239" s="55" t="e">
        <v>#N/A</v>
      </c>
      <c r="F239" s="55" t="e">
        <v>#N/A</v>
      </c>
      <c r="G239" s="55" t="e">
        <v>#N/A</v>
      </c>
      <c r="H239" s="55" t="e">
        <v>#N/A</v>
      </c>
      <c r="I239" s="55" t="e">
        <v>#N/A</v>
      </c>
      <c r="J239" s="55" t="e">
        <v>#N/A</v>
      </c>
      <c r="K239" s="55" t="e">
        <v>#N/A</v>
      </c>
    </row>
    <row r="240" spans="1:11" hidden="1" x14ac:dyDescent="0.25">
      <c r="A240" s="2" t="s">
        <v>450</v>
      </c>
      <c r="B240" s="3">
        <v>10723</v>
      </c>
      <c r="C240" s="4" t="s">
        <v>517</v>
      </c>
      <c r="D240" s="62" t="e">
        <v>#N/A</v>
      </c>
      <c r="E240" s="55" t="e">
        <v>#N/A</v>
      </c>
      <c r="F240" s="55" t="e">
        <v>#N/A</v>
      </c>
      <c r="G240" s="55" t="e">
        <v>#N/A</v>
      </c>
      <c r="H240" s="55" t="e">
        <v>#N/A</v>
      </c>
      <c r="I240" s="55" t="e">
        <v>#N/A</v>
      </c>
      <c r="J240" s="55" t="e">
        <v>#N/A</v>
      </c>
      <c r="K240" s="55" t="e">
        <v>#N/A</v>
      </c>
    </row>
    <row r="241" spans="1:11" ht="30" hidden="1" x14ac:dyDescent="0.25">
      <c r="A241" s="2" t="s">
        <v>450</v>
      </c>
      <c r="B241" s="3">
        <v>10729</v>
      </c>
      <c r="C241" s="4" t="s">
        <v>518</v>
      </c>
      <c r="D241" s="62" t="e">
        <v>#N/A</v>
      </c>
      <c r="E241" s="55" t="e">
        <v>#N/A</v>
      </c>
      <c r="F241" s="55" t="e">
        <v>#N/A</v>
      </c>
      <c r="G241" s="55" t="e">
        <v>#N/A</v>
      </c>
      <c r="H241" s="55" t="e">
        <v>#N/A</v>
      </c>
      <c r="I241" s="55" t="e">
        <v>#N/A</v>
      </c>
      <c r="J241" s="55" t="e">
        <v>#N/A</v>
      </c>
      <c r="K241" s="55" t="e">
        <v>#N/A</v>
      </c>
    </row>
    <row r="242" spans="1:11" ht="30" hidden="1" x14ac:dyDescent="0.25">
      <c r="A242" s="2" t="s">
        <v>450</v>
      </c>
      <c r="B242" s="3">
        <v>10731</v>
      </c>
      <c r="C242" s="4" t="s">
        <v>519</v>
      </c>
      <c r="D242" s="62" t="e">
        <v>#N/A</v>
      </c>
      <c r="E242" s="55" t="e">
        <v>#N/A</v>
      </c>
      <c r="F242" s="55" t="e">
        <v>#N/A</v>
      </c>
      <c r="G242" s="55" t="e">
        <v>#N/A</v>
      </c>
      <c r="H242" s="55" t="e">
        <v>#N/A</v>
      </c>
      <c r="I242" s="55" t="e">
        <v>#N/A</v>
      </c>
      <c r="J242" s="55" t="e">
        <v>#N/A</v>
      </c>
      <c r="K242" s="55" t="e">
        <v>#N/A</v>
      </c>
    </row>
    <row r="243" spans="1:11" ht="45" hidden="1" x14ac:dyDescent="0.25">
      <c r="A243" s="2" t="s">
        <v>450</v>
      </c>
      <c r="B243" s="3">
        <v>10732</v>
      </c>
      <c r="C243" s="4" t="s">
        <v>520</v>
      </c>
      <c r="D243" s="62" t="e">
        <v>#N/A</v>
      </c>
      <c r="E243" s="55" t="e">
        <v>#N/A</v>
      </c>
      <c r="F243" s="55" t="e">
        <v>#N/A</v>
      </c>
      <c r="G243" s="55" t="e">
        <v>#N/A</v>
      </c>
      <c r="H243" s="55" t="e">
        <v>#N/A</v>
      </c>
      <c r="I243" s="55" t="e">
        <v>#N/A</v>
      </c>
      <c r="J243" s="55" t="e">
        <v>#N/A</v>
      </c>
      <c r="K243" s="55" t="e">
        <v>#N/A</v>
      </c>
    </row>
    <row r="244" spans="1:11" ht="45" hidden="1" x14ac:dyDescent="0.25">
      <c r="A244" s="2" t="s">
        <v>450</v>
      </c>
      <c r="B244" s="3">
        <v>10733</v>
      </c>
      <c r="C244" s="4" t="s">
        <v>521</v>
      </c>
      <c r="D244" s="62" t="e">
        <v>#N/A</v>
      </c>
      <c r="E244" s="55" t="e">
        <v>#N/A</v>
      </c>
      <c r="F244" s="55" t="e">
        <v>#N/A</v>
      </c>
      <c r="G244" s="55" t="e">
        <v>#N/A</v>
      </c>
      <c r="H244" s="55" t="e">
        <v>#N/A</v>
      </c>
      <c r="I244" s="55" t="e">
        <v>#N/A</v>
      </c>
      <c r="J244" s="55" t="e">
        <v>#N/A</v>
      </c>
      <c r="K244" s="55" t="e">
        <v>#N/A</v>
      </c>
    </row>
    <row r="245" spans="1:11" ht="30" hidden="1" x14ac:dyDescent="0.25">
      <c r="A245" s="2" t="s">
        <v>450</v>
      </c>
      <c r="B245" s="3">
        <v>10739</v>
      </c>
      <c r="C245" s="4" t="s">
        <v>522</v>
      </c>
      <c r="D245" s="62" t="e">
        <v>#N/A</v>
      </c>
      <c r="E245" s="55" t="e">
        <v>#N/A</v>
      </c>
      <c r="F245" s="55" t="e">
        <v>#N/A</v>
      </c>
      <c r="G245" s="55" t="e">
        <v>#N/A</v>
      </c>
      <c r="H245" s="55" t="e">
        <v>#N/A</v>
      </c>
      <c r="I245" s="55" t="e">
        <v>#N/A</v>
      </c>
      <c r="J245" s="55" t="e">
        <v>#N/A</v>
      </c>
      <c r="K245" s="55" t="e">
        <v>#N/A</v>
      </c>
    </row>
    <row r="246" spans="1:11" ht="45" hidden="1" x14ac:dyDescent="0.25">
      <c r="A246" s="2" t="s">
        <v>450</v>
      </c>
      <c r="B246" s="3">
        <v>10740</v>
      </c>
      <c r="C246" s="4" t="s">
        <v>523</v>
      </c>
      <c r="D246" s="62" t="e">
        <v>#N/A</v>
      </c>
      <c r="E246" s="55" t="e">
        <v>#N/A</v>
      </c>
      <c r="F246" s="55" t="e">
        <v>#N/A</v>
      </c>
      <c r="G246" s="55" t="e">
        <v>#N/A</v>
      </c>
      <c r="H246" s="55" t="e">
        <v>#N/A</v>
      </c>
      <c r="I246" s="55" t="e">
        <v>#N/A</v>
      </c>
      <c r="J246" s="55" t="e">
        <v>#N/A</v>
      </c>
      <c r="K246" s="55" t="e">
        <v>#N/A</v>
      </c>
    </row>
    <row r="247" spans="1:11" ht="45" hidden="1" x14ac:dyDescent="0.25">
      <c r="A247" s="2" t="s">
        <v>450</v>
      </c>
      <c r="B247" s="3">
        <v>10750</v>
      </c>
      <c r="C247" s="4" t="s">
        <v>524</v>
      </c>
      <c r="D247" s="62" t="e">
        <v>#N/A</v>
      </c>
      <c r="E247" s="55" t="e">
        <v>#N/A</v>
      </c>
      <c r="F247" s="55" t="e">
        <v>#N/A</v>
      </c>
      <c r="G247" s="55" t="e">
        <v>#N/A</v>
      </c>
      <c r="H247" s="55" t="e">
        <v>#N/A</v>
      </c>
      <c r="I247" s="55" t="e">
        <v>#N/A</v>
      </c>
      <c r="J247" s="55" t="e">
        <v>#N/A</v>
      </c>
      <c r="K247" s="55" t="e">
        <v>#N/A</v>
      </c>
    </row>
    <row r="248" spans="1:11" hidden="1" x14ac:dyDescent="0.25">
      <c r="A248" s="2" t="s">
        <v>450</v>
      </c>
      <c r="B248" s="3">
        <v>10761</v>
      </c>
      <c r="C248" s="4" t="s">
        <v>525</v>
      </c>
      <c r="D248" s="62" t="e">
        <v>#N/A</v>
      </c>
      <c r="E248" s="55" t="e">
        <v>#N/A</v>
      </c>
      <c r="F248" s="55" t="e">
        <v>#N/A</v>
      </c>
      <c r="G248" s="55" t="e">
        <v>#N/A</v>
      </c>
      <c r="H248" s="55" t="e">
        <v>#N/A</v>
      </c>
      <c r="I248" s="55" t="e">
        <v>#N/A</v>
      </c>
      <c r="J248" s="55" t="e">
        <v>#N/A</v>
      </c>
      <c r="K248" s="55" t="e">
        <v>#N/A</v>
      </c>
    </row>
    <row r="249" spans="1:11" hidden="1" x14ac:dyDescent="0.25">
      <c r="A249" s="2" t="s">
        <v>450</v>
      </c>
      <c r="B249" s="3">
        <v>10762</v>
      </c>
      <c r="C249" s="4" t="s">
        <v>526</v>
      </c>
      <c r="D249" s="62" t="e">
        <v>#N/A</v>
      </c>
      <c r="E249" s="55" t="e">
        <v>#N/A</v>
      </c>
      <c r="F249" s="55" t="e">
        <v>#N/A</v>
      </c>
      <c r="G249" s="55" t="e">
        <v>#N/A</v>
      </c>
      <c r="H249" s="55" t="e">
        <v>#N/A</v>
      </c>
      <c r="I249" s="55" t="e">
        <v>#N/A</v>
      </c>
      <c r="J249" s="55" t="e">
        <v>#N/A</v>
      </c>
      <c r="K249" s="55" t="e">
        <v>#N/A</v>
      </c>
    </row>
    <row r="250" spans="1:11" hidden="1" x14ac:dyDescent="0.25">
      <c r="A250" s="2" t="s">
        <v>450</v>
      </c>
      <c r="B250" s="3">
        <v>10771</v>
      </c>
      <c r="C250" s="4" t="s">
        <v>527</v>
      </c>
      <c r="D250" s="62" t="e">
        <v>#N/A</v>
      </c>
      <c r="E250" s="55" t="e">
        <v>#N/A</v>
      </c>
      <c r="F250" s="55" t="e">
        <v>#N/A</v>
      </c>
      <c r="G250" s="55" t="e">
        <v>#N/A</v>
      </c>
      <c r="H250" s="55" t="e">
        <v>#N/A</v>
      </c>
      <c r="I250" s="55" t="e">
        <v>#N/A</v>
      </c>
      <c r="J250" s="55" t="e">
        <v>#N/A</v>
      </c>
      <c r="K250" s="55" t="e">
        <v>#N/A</v>
      </c>
    </row>
    <row r="251" spans="1:11" ht="45" hidden="1" x14ac:dyDescent="0.25">
      <c r="A251" s="2" t="s">
        <v>450</v>
      </c>
      <c r="B251" s="3">
        <v>10772</v>
      </c>
      <c r="C251" s="4" t="s">
        <v>528</v>
      </c>
      <c r="D251" s="62" t="e">
        <v>#N/A</v>
      </c>
      <c r="E251" s="55" t="e">
        <v>#N/A</v>
      </c>
      <c r="F251" s="55" t="e">
        <v>#N/A</v>
      </c>
      <c r="G251" s="55" t="e">
        <v>#N/A</v>
      </c>
      <c r="H251" s="55" t="e">
        <v>#N/A</v>
      </c>
      <c r="I251" s="55" t="e">
        <v>#N/A</v>
      </c>
      <c r="J251" s="55" t="e">
        <v>#N/A</v>
      </c>
      <c r="K251" s="55" t="e">
        <v>#N/A</v>
      </c>
    </row>
    <row r="252" spans="1:11" ht="45" hidden="1" x14ac:dyDescent="0.25">
      <c r="A252" s="2" t="s">
        <v>450</v>
      </c>
      <c r="B252" s="3">
        <v>10773</v>
      </c>
      <c r="C252" s="4" t="s">
        <v>529</v>
      </c>
      <c r="D252" s="62" t="e">
        <v>#N/A</v>
      </c>
      <c r="E252" s="55" t="e">
        <v>#N/A</v>
      </c>
      <c r="F252" s="55" t="e">
        <v>#N/A</v>
      </c>
      <c r="G252" s="55" t="e">
        <v>#N/A</v>
      </c>
      <c r="H252" s="55" t="e">
        <v>#N/A</v>
      </c>
      <c r="I252" s="55" t="e">
        <v>#N/A</v>
      </c>
      <c r="J252" s="55" t="e">
        <v>#N/A</v>
      </c>
      <c r="K252" s="55" t="e">
        <v>#N/A</v>
      </c>
    </row>
    <row r="253" spans="1:11" ht="30" hidden="1" x14ac:dyDescent="0.25">
      <c r="A253" s="2" t="s">
        <v>450</v>
      </c>
      <c r="B253" s="3">
        <v>10779</v>
      </c>
      <c r="C253" s="4" t="s">
        <v>530</v>
      </c>
      <c r="D253" s="62" t="e">
        <v>#N/A</v>
      </c>
      <c r="E253" s="55" t="e">
        <v>#N/A</v>
      </c>
      <c r="F253" s="55" t="e">
        <v>#N/A</v>
      </c>
      <c r="G253" s="55" t="e">
        <v>#N/A</v>
      </c>
      <c r="H253" s="55" t="e">
        <v>#N/A</v>
      </c>
      <c r="I253" s="55" t="e">
        <v>#N/A</v>
      </c>
      <c r="J253" s="55" t="e">
        <v>#N/A</v>
      </c>
      <c r="K253" s="55" t="e">
        <v>#N/A</v>
      </c>
    </row>
    <row r="254" spans="1:11" ht="45" hidden="1" x14ac:dyDescent="0.25">
      <c r="A254" s="2" t="s">
        <v>450</v>
      </c>
      <c r="B254" s="3">
        <v>10791</v>
      </c>
      <c r="C254" s="4" t="s">
        <v>531</v>
      </c>
      <c r="D254" s="62" t="e">
        <v>#N/A</v>
      </c>
      <c r="E254" s="55" t="e">
        <v>#N/A</v>
      </c>
      <c r="F254" s="55" t="e">
        <v>#N/A</v>
      </c>
      <c r="G254" s="55" t="e">
        <v>#N/A</v>
      </c>
      <c r="H254" s="55" t="e">
        <v>#N/A</v>
      </c>
      <c r="I254" s="55" t="e">
        <v>#N/A</v>
      </c>
      <c r="J254" s="55" t="e">
        <v>#N/A</v>
      </c>
      <c r="K254" s="55" t="e">
        <v>#N/A</v>
      </c>
    </row>
    <row r="255" spans="1:11" hidden="1" x14ac:dyDescent="0.25">
      <c r="A255" s="2" t="s">
        <v>450</v>
      </c>
      <c r="B255" s="3">
        <v>10792</v>
      </c>
      <c r="C255" s="4" t="s">
        <v>532</v>
      </c>
      <c r="D255" s="62" t="e">
        <v>#N/A</v>
      </c>
      <c r="E255" s="55" t="e">
        <v>#N/A</v>
      </c>
      <c r="F255" s="55" t="e">
        <v>#N/A</v>
      </c>
      <c r="G255" s="55" t="e">
        <v>#N/A</v>
      </c>
      <c r="H255" s="55" t="e">
        <v>#N/A</v>
      </c>
      <c r="I255" s="55" t="e">
        <v>#N/A</v>
      </c>
      <c r="J255" s="55" t="e">
        <v>#N/A</v>
      </c>
      <c r="K255" s="55" t="e">
        <v>#N/A</v>
      </c>
    </row>
    <row r="256" spans="1:11" ht="45" hidden="1" x14ac:dyDescent="0.25">
      <c r="A256" s="2" t="s">
        <v>450</v>
      </c>
      <c r="B256" s="3">
        <v>10793</v>
      </c>
      <c r="C256" s="4" t="s">
        <v>533</v>
      </c>
      <c r="D256" s="62" t="e">
        <v>#N/A</v>
      </c>
      <c r="E256" s="55" t="e">
        <v>#N/A</v>
      </c>
      <c r="F256" s="55" t="e">
        <v>#N/A</v>
      </c>
      <c r="G256" s="55" t="e">
        <v>#N/A</v>
      </c>
      <c r="H256" s="55" t="e">
        <v>#N/A</v>
      </c>
      <c r="I256" s="55" t="e">
        <v>#N/A</v>
      </c>
      <c r="J256" s="55" t="e">
        <v>#N/A</v>
      </c>
      <c r="K256" s="55" t="e">
        <v>#N/A</v>
      </c>
    </row>
    <row r="257" spans="1:11" ht="45" hidden="1" x14ac:dyDescent="0.25">
      <c r="A257" s="2" t="s">
        <v>450</v>
      </c>
      <c r="B257" s="3">
        <v>10794</v>
      </c>
      <c r="C257" s="4" t="s">
        <v>534</v>
      </c>
      <c r="D257" s="62" t="e">
        <v>#N/A</v>
      </c>
      <c r="E257" s="55" t="e">
        <v>#N/A</v>
      </c>
      <c r="F257" s="55" t="e">
        <v>#N/A</v>
      </c>
      <c r="G257" s="55" t="e">
        <v>#N/A</v>
      </c>
      <c r="H257" s="55" t="e">
        <v>#N/A</v>
      </c>
      <c r="I257" s="55" t="e">
        <v>#N/A</v>
      </c>
      <c r="J257" s="55" t="e">
        <v>#N/A</v>
      </c>
      <c r="K257" s="55" t="e">
        <v>#N/A</v>
      </c>
    </row>
    <row r="258" spans="1:11" ht="45" hidden="1" x14ac:dyDescent="0.25">
      <c r="A258" s="2" t="s">
        <v>450</v>
      </c>
      <c r="B258" s="3">
        <v>10795</v>
      </c>
      <c r="C258" s="4" t="s">
        <v>535</v>
      </c>
      <c r="D258" s="62" t="e">
        <v>#N/A</v>
      </c>
      <c r="E258" s="55" t="e">
        <v>#N/A</v>
      </c>
      <c r="F258" s="55" t="e">
        <v>#N/A</v>
      </c>
      <c r="G258" s="55" t="e">
        <v>#N/A</v>
      </c>
      <c r="H258" s="55" t="e">
        <v>#N/A</v>
      </c>
      <c r="I258" s="55" t="e">
        <v>#N/A</v>
      </c>
      <c r="J258" s="55" t="e">
        <v>#N/A</v>
      </c>
      <c r="K258" s="55" t="e">
        <v>#N/A</v>
      </c>
    </row>
    <row r="259" spans="1:11" hidden="1" x14ac:dyDescent="0.25">
      <c r="A259" s="2" t="s">
        <v>450</v>
      </c>
      <c r="B259" s="3">
        <v>10796</v>
      </c>
      <c r="C259" s="4" t="s">
        <v>536</v>
      </c>
      <c r="D259" s="62" t="e">
        <v>#N/A</v>
      </c>
      <c r="E259" s="55" t="e">
        <v>#N/A</v>
      </c>
      <c r="F259" s="55" t="e">
        <v>#N/A</v>
      </c>
      <c r="G259" s="55" t="e">
        <v>#N/A</v>
      </c>
      <c r="H259" s="55" t="e">
        <v>#N/A</v>
      </c>
      <c r="I259" s="55" t="e">
        <v>#N/A</v>
      </c>
      <c r="J259" s="55" t="e">
        <v>#N/A</v>
      </c>
      <c r="K259" s="55" t="e">
        <v>#N/A</v>
      </c>
    </row>
    <row r="260" spans="1:11" ht="45" hidden="1" x14ac:dyDescent="0.25">
      <c r="A260" s="2" t="s">
        <v>450</v>
      </c>
      <c r="B260" s="3">
        <v>10797</v>
      </c>
      <c r="C260" s="4" t="s">
        <v>537</v>
      </c>
      <c r="D260" s="62" t="e">
        <v>#N/A</v>
      </c>
      <c r="E260" s="55" t="e">
        <v>#N/A</v>
      </c>
      <c r="F260" s="55" t="e">
        <v>#N/A</v>
      </c>
      <c r="G260" s="55" t="e">
        <v>#N/A</v>
      </c>
      <c r="H260" s="55" t="e">
        <v>#N/A</v>
      </c>
      <c r="I260" s="55" t="e">
        <v>#N/A</v>
      </c>
      <c r="J260" s="55" t="e">
        <v>#N/A</v>
      </c>
      <c r="K260" s="55" t="e">
        <v>#N/A</v>
      </c>
    </row>
    <row r="261" spans="1:11" ht="45" hidden="1" x14ac:dyDescent="0.25">
      <c r="A261" s="2" t="s">
        <v>450</v>
      </c>
      <c r="B261" s="3">
        <v>10798</v>
      </c>
      <c r="C261" s="4" t="s">
        <v>538</v>
      </c>
      <c r="D261" s="62" t="e">
        <v>#N/A</v>
      </c>
      <c r="E261" s="55" t="e">
        <v>#N/A</v>
      </c>
      <c r="F261" s="55" t="e">
        <v>#N/A</v>
      </c>
      <c r="G261" s="55" t="e">
        <v>#N/A</v>
      </c>
      <c r="H261" s="55" t="e">
        <v>#N/A</v>
      </c>
      <c r="I261" s="55" t="e">
        <v>#N/A</v>
      </c>
      <c r="J261" s="55" t="e">
        <v>#N/A</v>
      </c>
      <c r="K261" s="55" t="e">
        <v>#N/A</v>
      </c>
    </row>
    <row r="262" spans="1:11" ht="45" hidden="1" x14ac:dyDescent="0.25">
      <c r="A262" s="2" t="s">
        <v>450</v>
      </c>
      <c r="B262" s="3">
        <v>10799</v>
      </c>
      <c r="C262" s="4" t="s">
        <v>539</v>
      </c>
      <c r="D262" s="62" t="e">
        <v>#N/A</v>
      </c>
      <c r="E262" s="55" t="e">
        <v>#N/A</v>
      </c>
      <c r="F262" s="55" t="e">
        <v>#N/A</v>
      </c>
      <c r="G262" s="55" t="e">
        <v>#N/A</v>
      </c>
      <c r="H262" s="55" t="e">
        <v>#N/A</v>
      </c>
      <c r="I262" s="55" t="e">
        <v>#N/A</v>
      </c>
      <c r="J262" s="55" t="e">
        <v>#N/A</v>
      </c>
      <c r="K262" s="55" t="e">
        <v>#N/A</v>
      </c>
    </row>
    <row r="263" spans="1:11" ht="30" hidden="1" x14ac:dyDescent="0.25">
      <c r="A263" s="2" t="s">
        <v>450</v>
      </c>
      <c r="B263" s="3">
        <v>10801</v>
      </c>
      <c r="C263" s="4" t="s">
        <v>540</v>
      </c>
      <c r="D263" s="62" t="e">
        <v>#N/A</v>
      </c>
      <c r="E263" s="55" t="e">
        <v>#N/A</v>
      </c>
      <c r="F263" s="55" t="e">
        <v>#N/A</v>
      </c>
      <c r="G263" s="55" t="e">
        <v>#N/A</v>
      </c>
      <c r="H263" s="55" t="e">
        <v>#N/A</v>
      </c>
      <c r="I263" s="55" t="e">
        <v>#N/A</v>
      </c>
      <c r="J263" s="55" t="e">
        <v>#N/A</v>
      </c>
      <c r="K263" s="55" t="e">
        <v>#N/A</v>
      </c>
    </row>
    <row r="264" spans="1:11" ht="45" hidden="1" x14ac:dyDescent="0.25">
      <c r="A264" s="2" t="s">
        <v>450</v>
      </c>
      <c r="B264" s="3">
        <v>10802</v>
      </c>
      <c r="C264" s="4" t="s">
        <v>541</v>
      </c>
      <c r="D264" s="62" t="e">
        <v>#N/A</v>
      </c>
      <c r="E264" s="55" t="e">
        <v>#N/A</v>
      </c>
      <c r="F264" s="55" t="e">
        <v>#N/A</v>
      </c>
      <c r="G264" s="55" t="e">
        <v>#N/A</v>
      </c>
      <c r="H264" s="55" t="e">
        <v>#N/A</v>
      </c>
      <c r="I264" s="55" t="e">
        <v>#N/A</v>
      </c>
      <c r="J264" s="55" t="e">
        <v>#N/A</v>
      </c>
      <c r="K264" s="55" t="e">
        <v>#N/A</v>
      </c>
    </row>
    <row r="265" spans="1:11" ht="75" hidden="1" x14ac:dyDescent="0.25">
      <c r="A265" s="2" t="s">
        <v>450</v>
      </c>
      <c r="B265" s="3">
        <v>11010</v>
      </c>
      <c r="C265" s="4" t="s">
        <v>542</v>
      </c>
      <c r="D265" s="62" t="e">
        <v>#N/A</v>
      </c>
      <c r="E265" s="55" t="e">
        <v>#N/A</v>
      </c>
      <c r="F265" s="55" t="e">
        <v>#N/A</v>
      </c>
      <c r="G265" s="55" t="e">
        <v>#N/A</v>
      </c>
      <c r="H265" s="55" t="e">
        <v>#N/A</v>
      </c>
      <c r="I265" s="55" t="e">
        <v>#N/A</v>
      </c>
      <c r="J265" s="55" t="e">
        <v>#N/A</v>
      </c>
      <c r="K265" s="55" t="e">
        <v>#N/A</v>
      </c>
    </row>
    <row r="266" spans="1:11" ht="60" hidden="1" x14ac:dyDescent="0.25">
      <c r="A266" s="2" t="s">
        <v>450</v>
      </c>
      <c r="B266" s="3">
        <v>11020</v>
      </c>
      <c r="C266" s="4" t="s">
        <v>543</v>
      </c>
      <c r="D266" s="62" t="e">
        <v>#N/A</v>
      </c>
      <c r="E266" s="55" t="e">
        <v>#N/A</v>
      </c>
      <c r="F266" s="55" t="e">
        <v>#N/A</v>
      </c>
      <c r="G266" s="55" t="e">
        <v>#N/A</v>
      </c>
      <c r="H266" s="55" t="e">
        <v>#N/A</v>
      </c>
      <c r="I266" s="55" t="e">
        <v>#N/A</v>
      </c>
      <c r="J266" s="55" t="e">
        <v>#N/A</v>
      </c>
      <c r="K266" s="55" t="e">
        <v>#N/A</v>
      </c>
    </row>
    <row r="267" spans="1:11" ht="45" hidden="1" x14ac:dyDescent="0.25">
      <c r="A267" s="2" t="s">
        <v>450</v>
      </c>
      <c r="B267" s="3">
        <v>11030</v>
      </c>
      <c r="C267" s="4" t="s">
        <v>544</v>
      </c>
      <c r="D267" s="62" t="e">
        <v>#N/A</v>
      </c>
      <c r="E267" s="55" t="e">
        <v>#N/A</v>
      </c>
      <c r="F267" s="55" t="e">
        <v>#N/A</v>
      </c>
      <c r="G267" s="55" t="e">
        <v>#N/A</v>
      </c>
      <c r="H267" s="55" t="e">
        <v>#N/A</v>
      </c>
      <c r="I267" s="55" t="e">
        <v>#N/A</v>
      </c>
      <c r="J267" s="55" t="e">
        <v>#N/A</v>
      </c>
      <c r="K267" s="55" t="e">
        <v>#N/A</v>
      </c>
    </row>
    <row r="268" spans="1:11" hidden="1" x14ac:dyDescent="0.25">
      <c r="A268" s="2" t="s">
        <v>450</v>
      </c>
      <c r="B268" s="3">
        <v>11040</v>
      </c>
      <c r="C268" s="4" t="s">
        <v>545</v>
      </c>
      <c r="D268" s="62" t="e">
        <v>#N/A</v>
      </c>
      <c r="E268" s="55" t="e">
        <v>#N/A</v>
      </c>
      <c r="F268" s="55" t="e">
        <v>#N/A</v>
      </c>
      <c r="G268" s="55" t="e">
        <v>#N/A</v>
      </c>
      <c r="H268" s="55" t="e">
        <v>#N/A</v>
      </c>
      <c r="I268" s="55" t="e">
        <v>#N/A</v>
      </c>
      <c r="J268" s="55" t="e">
        <v>#N/A</v>
      </c>
      <c r="K268" s="55" t="e">
        <v>#N/A</v>
      </c>
    </row>
    <row r="269" spans="1:11" ht="30" hidden="1" x14ac:dyDescent="0.25">
      <c r="A269" s="2" t="s">
        <v>450</v>
      </c>
      <c r="B269" s="3">
        <v>11051</v>
      </c>
      <c r="C269" s="4" t="s">
        <v>546</v>
      </c>
      <c r="D269" s="62" t="e">
        <v>#N/A</v>
      </c>
      <c r="E269" s="55" t="e">
        <v>#N/A</v>
      </c>
      <c r="F269" s="55" t="e">
        <v>#N/A</v>
      </c>
      <c r="G269" s="55" t="e">
        <v>#N/A</v>
      </c>
      <c r="H269" s="55" t="e">
        <v>#N/A</v>
      </c>
      <c r="I269" s="55" t="e">
        <v>#N/A</v>
      </c>
      <c r="J269" s="55" t="e">
        <v>#N/A</v>
      </c>
      <c r="K269" s="55" t="e">
        <v>#N/A</v>
      </c>
    </row>
    <row r="270" spans="1:11" ht="30" hidden="1" x14ac:dyDescent="0.25">
      <c r="A270" s="2" t="s">
        <v>450</v>
      </c>
      <c r="B270" s="3">
        <v>11052</v>
      </c>
      <c r="C270" s="4" t="s">
        <v>547</v>
      </c>
      <c r="D270" s="62" t="e">
        <v>#N/A</v>
      </c>
      <c r="E270" s="55" t="e">
        <v>#N/A</v>
      </c>
      <c r="F270" s="55" t="e">
        <v>#N/A</v>
      </c>
      <c r="G270" s="55" t="e">
        <v>#N/A</v>
      </c>
      <c r="H270" s="55" t="e">
        <v>#N/A</v>
      </c>
      <c r="I270" s="55" t="e">
        <v>#N/A</v>
      </c>
      <c r="J270" s="55" t="e">
        <v>#N/A</v>
      </c>
      <c r="K270" s="55" t="e">
        <v>#N/A</v>
      </c>
    </row>
    <row r="271" spans="1:11" ht="30" hidden="1" x14ac:dyDescent="0.25">
      <c r="A271" s="2" t="s">
        <v>450</v>
      </c>
      <c r="B271" s="3">
        <v>11053</v>
      </c>
      <c r="C271" s="4" t="s">
        <v>548</v>
      </c>
      <c r="D271" s="62" t="e">
        <v>#N/A</v>
      </c>
      <c r="E271" s="55" t="e">
        <v>#N/A</v>
      </c>
      <c r="F271" s="55" t="e">
        <v>#N/A</v>
      </c>
      <c r="G271" s="55" t="e">
        <v>#N/A</v>
      </c>
      <c r="H271" s="55" t="e">
        <v>#N/A</v>
      </c>
      <c r="I271" s="55" t="e">
        <v>#N/A</v>
      </c>
      <c r="J271" s="55" t="e">
        <v>#N/A</v>
      </c>
      <c r="K271" s="55" t="e">
        <v>#N/A</v>
      </c>
    </row>
    <row r="272" spans="1:11" ht="30" hidden="1" x14ac:dyDescent="0.25">
      <c r="A272" s="2" t="s">
        <v>450</v>
      </c>
      <c r="B272" s="3">
        <v>11059</v>
      </c>
      <c r="C272" s="4" t="s">
        <v>549</v>
      </c>
      <c r="D272" s="62" t="e">
        <v>#N/A</v>
      </c>
      <c r="E272" s="55" t="e">
        <v>#N/A</v>
      </c>
      <c r="F272" s="55" t="e">
        <v>#N/A</v>
      </c>
      <c r="G272" s="55" t="e">
        <v>#N/A</v>
      </c>
      <c r="H272" s="55" t="e">
        <v>#N/A</v>
      </c>
      <c r="I272" s="55" t="e">
        <v>#N/A</v>
      </c>
      <c r="J272" s="55" t="e">
        <v>#N/A</v>
      </c>
      <c r="K272" s="55" t="e">
        <v>#N/A</v>
      </c>
    </row>
    <row r="273" spans="1:11" ht="30" hidden="1" x14ac:dyDescent="0.25">
      <c r="A273" s="2" t="s">
        <v>450</v>
      </c>
      <c r="B273" s="3">
        <v>12001</v>
      </c>
      <c r="C273" s="4" t="s">
        <v>550</v>
      </c>
      <c r="D273" s="62" t="e">
        <v>#N/A</v>
      </c>
      <c r="E273" s="55" t="e">
        <v>#N/A</v>
      </c>
      <c r="F273" s="55" t="e">
        <v>#N/A</v>
      </c>
      <c r="G273" s="55" t="e">
        <v>#N/A</v>
      </c>
      <c r="H273" s="55" t="e">
        <v>#N/A</v>
      </c>
      <c r="I273" s="55" t="e">
        <v>#N/A</v>
      </c>
      <c r="J273" s="55" t="e">
        <v>#N/A</v>
      </c>
      <c r="K273" s="55" t="e">
        <v>#N/A</v>
      </c>
    </row>
    <row r="274" spans="1:11" ht="30" hidden="1" x14ac:dyDescent="0.25">
      <c r="A274" s="2" t="s">
        <v>450</v>
      </c>
      <c r="B274" s="3">
        <v>12002</v>
      </c>
      <c r="C274" s="4" t="s">
        <v>551</v>
      </c>
      <c r="D274" s="62" t="e">
        <v>#N/A</v>
      </c>
      <c r="E274" s="55" t="e">
        <v>#N/A</v>
      </c>
      <c r="F274" s="55" t="e">
        <v>#N/A</v>
      </c>
      <c r="G274" s="55" t="e">
        <v>#N/A</v>
      </c>
      <c r="H274" s="55" t="e">
        <v>#N/A</v>
      </c>
      <c r="I274" s="55" t="e">
        <v>#N/A</v>
      </c>
      <c r="J274" s="55" t="e">
        <v>#N/A</v>
      </c>
      <c r="K274" s="55" t="e">
        <v>#N/A</v>
      </c>
    </row>
    <row r="275" spans="1:11" ht="30" hidden="1" x14ac:dyDescent="0.25">
      <c r="A275" s="2" t="s">
        <v>450</v>
      </c>
      <c r="B275" s="3">
        <v>12003</v>
      </c>
      <c r="C275" s="4" t="s">
        <v>552</v>
      </c>
      <c r="D275" s="62" t="e">
        <v>#N/A</v>
      </c>
      <c r="E275" s="55" t="e">
        <v>#N/A</v>
      </c>
      <c r="F275" s="55" t="e">
        <v>#N/A</v>
      </c>
      <c r="G275" s="55" t="e">
        <v>#N/A</v>
      </c>
      <c r="H275" s="55" t="e">
        <v>#N/A</v>
      </c>
      <c r="I275" s="55" t="e">
        <v>#N/A</v>
      </c>
      <c r="J275" s="55" t="e">
        <v>#N/A</v>
      </c>
      <c r="K275" s="55" t="e">
        <v>#N/A</v>
      </c>
    </row>
    <row r="276" spans="1:11" ht="60" hidden="1" x14ac:dyDescent="0.25">
      <c r="A276" s="2" t="s">
        <v>450</v>
      </c>
      <c r="B276" s="3">
        <v>12004</v>
      </c>
      <c r="C276" s="4" t="s">
        <v>553</v>
      </c>
      <c r="D276" s="62" t="e">
        <v>#N/A</v>
      </c>
      <c r="E276" s="55" t="e">
        <v>#N/A</v>
      </c>
      <c r="F276" s="55" t="e">
        <v>#N/A</v>
      </c>
      <c r="G276" s="55" t="e">
        <v>#N/A</v>
      </c>
      <c r="H276" s="55" t="e">
        <v>#N/A</v>
      </c>
      <c r="I276" s="55" t="e">
        <v>#N/A</v>
      </c>
      <c r="J276" s="55" t="e">
        <v>#N/A</v>
      </c>
      <c r="K276" s="55" t="e">
        <v>#N/A</v>
      </c>
    </row>
    <row r="277" spans="1:11" ht="30" hidden="1" x14ac:dyDescent="0.25">
      <c r="A277" s="2" t="s">
        <v>450</v>
      </c>
      <c r="B277" s="3">
        <v>12005</v>
      </c>
      <c r="C277" s="4" t="s">
        <v>554</v>
      </c>
      <c r="D277" s="62" t="e">
        <v>#N/A</v>
      </c>
      <c r="E277" s="55" t="e">
        <v>#N/A</v>
      </c>
      <c r="F277" s="55" t="e">
        <v>#N/A</v>
      </c>
      <c r="G277" s="55" t="e">
        <v>#N/A</v>
      </c>
      <c r="H277" s="55" t="e">
        <v>#N/A</v>
      </c>
      <c r="I277" s="55" t="e">
        <v>#N/A</v>
      </c>
      <c r="J277" s="55" t="e">
        <v>#N/A</v>
      </c>
      <c r="K277" s="55" t="e">
        <v>#N/A</v>
      </c>
    </row>
    <row r="278" spans="1:11" ht="30" hidden="1" x14ac:dyDescent="0.25">
      <c r="A278" s="2" t="s">
        <v>450</v>
      </c>
      <c r="B278" s="3">
        <v>12009</v>
      </c>
      <c r="C278" s="4" t="s">
        <v>555</v>
      </c>
      <c r="D278" s="62" t="e">
        <v>#N/A</v>
      </c>
      <c r="E278" s="55" t="e">
        <v>#N/A</v>
      </c>
      <c r="F278" s="55" t="e">
        <v>#N/A</v>
      </c>
      <c r="G278" s="55" t="e">
        <v>#N/A</v>
      </c>
      <c r="H278" s="55" t="e">
        <v>#N/A</v>
      </c>
      <c r="I278" s="55" t="e">
        <v>#N/A</v>
      </c>
      <c r="J278" s="55" t="e">
        <v>#N/A</v>
      </c>
      <c r="K278" s="55" t="e">
        <v>#N/A</v>
      </c>
    </row>
    <row r="279" spans="1:11" ht="30" hidden="1" x14ac:dyDescent="0.25">
      <c r="A279" s="2" t="s">
        <v>450</v>
      </c>
      <c r="B279" s="3">
        <v>13111</v>
      </c>
      <c r="C279" s="4" t="s">
        <v>556</v>
      </c>
      <c r="D279" s="62" t="e">
        <v>#N/A</v>
      </c>
      <c r="E279" s="55" t="e">
        <v>#N/A</v>
      </c>
      <c r="F279" s="55" t="e">
        <v>#N/A</v>
      </c>
      <c r="G279" s="55" t="e">
        <v>#N/A</v>
      </c>
      <c r="H279" s="55" t="e">
        <v>#N/A</v>
      </c>
      <c r="I279" s="55" t="e">
        <v>#N/A</v>
      </c>
      <c r="J279" s="55" t="e">
        <v>#N/A</v>
      </c>
      <c r="K279" s="55" t="e">
        <v>#N/A</v>
      </c>
    </row>
    <row r="280" spans="1:11" ht="30" hidden="1" x14ac:dyDescent="0.25">
      <c r="A280" s="2" t="s">
        <v>450</v>
      </c>
      <c r="B280" s="3">
        <v>13112</v>
      </c>
      <c r="C280" s="4" t="s">
        <v>557</v>
      </c>
      <c r="D280" s="62" t="e">
        <v>#N/A</v>
      </c>
      <c r="E280" s="55" t="e">
        <v>#N/A</v>
      </c>
      <c r="F280" s="55" t="e">
        <v>#N/A</v>
      </c>
      <c r="G280" s="55" t="e">
        <v>#N/A</v>
      </c>
      <c r="H280" s="55" t="e">
        <v>#N/A</v>
      </c>
      <c r="I280" s="55" t="e">
        <v>#N/A</v>
      </c>
      <c r="J280" s="55" t="e">
        <v>#N/A</v>
      </c>
      <c r="K280" s="55" t="e">
        <v>#N/A</v>
      </c>
    </row>
    <row r="281" spans="1:11" ht="30" hidden="1" x14ac:dyDescent="0.25">
      <c r="A281" s="2" t="s">
        <v>450</v>
      </c>
      <c r="B281" s="3">
        <v>13113</v>
      </c>
      <c r="C281" s="4" t="s">
        <v>558</v>
      </c>
      <c r="D281" s="62" t="e">
        <v>#N/A</v>
      </c>
      <c r="E281" s="55" t="e">
        <v>#N/A</v>
      </c>
      <c r="F281" s="55" t="e">
        <v>#N/A</v>
      </c>
      <c r="G281" s="55" t="e">
        <v>#N/A</v>
      </c>
      <c r="H281" s="55" t="e">
        <v>#N/A</v>
      </c>
      <c r="I281" s="55" t="e">
        <v>#N/A</v>
      </c>
      <c r="J281" s="55" t="e">
        <v>#N/A</v>
      </c>
      <c r="K281" s="55" t="e">
        <v>#N/A</v>
      </c>
    </row>
    <row r="282" spans="1:11" ht="30" hidden="1" x14ac:dyDescent="0.25">
      <c r="A282" s="2" t="s">
        <v>450</v>
      </c>
      <c r="B282" s="3">
        <v>13121</v>
      </c>
      <c r="C282" s="4" t="s">
        <v>559</v>
      </c>
      <c r="D282" s="62" t="e">
        <v>#N/A</v>
      </c>
      <c r="E282" s="55" t="e">
        <v>#N/A</v>
      </c>
      <c r="F282" s="55" t="e">
        <v>#N/A</v>
      </c>
      <c r="G282" s="55" t="e">
        <v>#N/A</v>
      </c>
      <c r="H282" s="55" t="e">
        <v>#N/A</v>
      </c>
      <c r="I282" s="55" t="e">
        <v>#N/A</v>
      </c>
      <c r="J282" s="55" t="e">
        <v>#N/A</v>
      </c>
      <c r="K282" s="55" t="e">
        <v>#N/A</v>
      </c>
    </row>
    <row r="283" spans="1:11" ht="45" hidden="1" x14ac:dyDescent="0.25">
      <c r="A283" s="2" t="s">
        <v>450</v>
      </c>
      <c r="B283" s="3">
        <v>13122</v>
      </c>
      <c r="C283" s="4" t="s">
        <v>560</v>
      </c>
      <c r="D283" s="62" t="e">
        <v>#N/A</v>
      </c>
      <c r="E283" s="55" t="e">
        <v>#N/A</v>
      </c>
      <c r="F283" s="55" t="e">
        <v>#N/A</v>
      </c>
      <c r="G283" s="55" t="e">
        <v>#N/A</v>
      </c>
      <c r="H283" s="55" t="e">
        <v>#N/A</v>
      </c>
      <c r="I283" s="55" t="e">
        <v>#N/A</v>
      </c>
      <c r="J283" s="55" t="e">
        <v>#N/A</v>
      </c>
      <c r="K283" s="55" t="e">
        <v>#N/A</v>
      </c>
    </row>
    <row r="284" spans="1:11" ht="30" hidden="1" x14ac:dyDescent="0.25">
      <c r="A284" s="2" t="s">
        <v>450</v>
      </c>
      <c r="B284" s="3">
        <v>13131</v>
      </c>
      <c r="C284" s="4" t="s">
        <v>561</v>
      </c>
      <c r="D284" s="62" t="e">
        <v>#N/A</v>
      </c>
      <c r="E284" s="55" t="e">
        <v>#N/A</v>
      </c>
      <c r="F284" s="55" t="e">
        <v>#N/A</v>
      </c>
      <c r="G284" s="55" t="e">
        <v>#N/A</v>
      </c>
      <c r="H284" s="55" t="e">
        <v>#N/A</v>
      </c>
      <c r="I284" s="55" t="e">
        <v>#N/A</v>
      </c>
      <c r="J284" s="55" t="e">
        <v>#N/A</v>
      </c>
      <c r="K284" s="55" t="e">
        <v>#N/A</v>
      </c>
    </row>
    <row r="285" spans="1:11" ht="30" hidden="1" x14ac:dyDescent="0.25">
      <c r="A285" s="2" t="s">
        <v>450</v>
      </c>
      <c r="B285" s="3">
        <v>13132</v>
      </c>
      <c r="C285" s="4" t="s">
        <v>562</v>
      </c>
      <c r="D285" s="62" t="e">
        <v>#N/A</v>
      </c>
      <c r="E285" s="55" t="e">
        <v>#N/A</v>
      </c>
      <c r="F285" s="55" t="e">
        <v>#N/A</v>
      </c>
      <c r="G285" s="55" t="e">
        <v>#N/A</v>
      </c>
      <c r="H285" s="55" t="e">
        <v>#N/A</v>
      </c>
      <c r="I285" s="55" t="e">
        <v>#N/A</v>
      </c>
      <c r="J285" s="55" t="e">
        <v>#N/A</v>
      </c>
      <c r="K285" s="55" t="e">
        <v>#N/A</v>
      </c>
    </row>
    <row r="286" spans="1:11" hidden="1" x14ac:dyDescent="0.25">
      <c r="A286" s="2" t="s">
        <v>450</v>
      </c>
      <c r="B286" s="3">
        <v>13133</v>
      </c>
      <c r="C286" s="4" t="s">
        <v>563</v>
      </c>
      <c r="D286" s="62" t="e">
        <v>#N/A</v>
      </c>
      <c r="E286" s="55" t="e">
        <v>#N/A</v>
      </c>
      <c r="F286" s="55" t="e">
        <v>#N/A</v>
      </c>
      <c r="G286" s="55" t="e">
        <v>#N/A</v>
      </c>
      <c r="H286" s="55" t="e">
        <v>#N/A</v>
      </c>
      <c r="I286" s="55" t="e">
        <v>#N/A</v>
      </c>
      <c r="J286" s="55" t="e">
        <v>#N/A</v>
      </c>
      <c r="K286" s="55" t="e">
        <v>#N/A</v>
      </c>
    </row>
    <row r="287" spans="1:11" ht="30" hidden="1" x14ac:dyDescent="0.25">
      <c r="A287" s="2" t="s">
        <v>450</v>
      </c>
      <c r="B287" s="3">
        <v>13139</v>
      </c>
      <c r="C287" s="4" t="s">
        <v>564</v>
      </c>
      <c r="D287" s="62" t="e">
        <v>#N/A</v>
      </c>
      <c r="E287" s="55" t="e">
        <v>#N/A</v>
      </c>
      <c r="F287" s="55" t="e">
        <v>#N/A</v>
      </c>
      <c r="G287" s="55" t="e">
        <v>#N/A</v>
      </c>
      <c r="H287" s="55" t="e">
        <v>#N/A</v>
      </c>
      <c r="I287" s="55" t="e">
        <v>#N/A</v>
      </c>
      <c r="J287" s="55" t="e">
        <v>#N/A</v>
      </c>
      <c r="K287" s="55" t="e">
        <v>#N/A</v>
      </c>
    </row>
    <row r="288" spans="1:11" ht="30" hidden="1" x14ac:dyDescent="0.25">
      <c r="A288" s="2" t="s">
        <v>450</v>
      </c>
      <c r="B288" s="3">
        <v>13911</v>
      </c>
      <c r="C288" s="4" t="s">
        <v>565</v>
      </c>
      <c r="D288" s="62" t="e">
        <v>#N/A</v>
      </c>
      <c r="E288" s="55" t="e">
        <v>#N/A</v>
      </c>
      <c r="F288" s="55" t="e">
        <v>#N/A</v>
      </c>
      <c r="G288" s="55" t="e">
        <v>#N/A</v>
      </c>
      <c r="H288" s="55" t="e">
        <v>#N/A</v>
      </c>
      <c r="I288" s="55" t="e">
        <v>#N/A</v>
      </c>
      <c r="J288" s="55" t="e">
        <v>#N/A</v>
      </c>
      <c r="K288" s="55" t="e">
        <v>#N/A</v>
      </c>
    </row>
    <row r="289" spans="1:11" ht="30" hidden="1" x14ac:dyDescent="0.25">
      <c r="A289" s="2" t="s">
        <v>450</v>
      </c>
      <c r="B289" s="3">
        <v>13912</v>
      </c>
      <c r="C289" s="4" t="s">
        <v>566</v>
      </c>
      <c r="D289" s="62" t="e">
        <v>#N/A</v>
      </c>
      <c r="E289" s="55" t="e">
        <v>#N/A</v>
      </c>
      <c r="F289" s="55" t="e">
        <v>#N/A</v>
      </c>
      <c r="G289" s="55" t="e">
        <v>#N/A</v>
      </c>
      <c r="H289" s="55" t="e">
        <v>#N/A</v>
      </c>
      <c r="I289" s="55" t="e">
        <v>#N/A</v>
      </c>
      <c r="J289" s="55" t="e">
        <v>#N/A</v>
      </c>
      <c r="K289" s="55" t="e">
        <v>#N/A</v>
      </c>
    </row>
    <row r="290" spans="1:11" ht="30" hidden="1" x14ac:dyDescent="0.25">
      <c r="A290" s="2" t="s">
        <v>450</v>
      </c>
      <c r="B290" s="3">
        <v>13913</v>
      </c>
      <c r="C290" s="4" t="s">
        <v>567</v>
      </c>
      <c r="D290" s="62" t="e">
        <v>#N/A</v>
      </c>
      <c r="E290" s="55" t="e">
        <v>#N/A</v>
      </c>
      <c r="F290" s="55" t="e">
        <v>#N/A</v>
      </c>
      <c r="G290" s="55" t="e">
        <v>#N/A</v>
      </c>
      <c r="H290" s="55" t="e">
        <v>#N/A</v>
      </c>
      <c r="I290" s="55" t="e">
        <v>#N/A</v>
      </c>
      <c r="J290" s="55" t="e">
        <v>#N/A</v>
      </c>
      <c r="K290" s="55" t="e">
        <v>#N/A</v>
      </c>
    </row>
    <row r="291" spans="1:11" ht="60" hidden="1" x14ac:dyDescent="0.25">
      <c r="A291" s="2" t="s">
        <v>450</v>
      </c>
      <c r="B291" s="3">
        <v>13921</v>
      </c>
      <c r="C291" s="4" t="s">
        <v>568</v>
      </c>
      <c r="D291" s="62" t="e">
        <v>#N/A</v>
      </c>
      <c r="E291" s="55" t="e">
        <v>#N/A</v>
      </c>
      <c r="F291" s="55" t="e">
        <v>#N/A</v>
      </c>
      <c r="G291" s="55" t="e">
        <v>#N/A</v>
      </c>
      <c r="H291" s="55" t="e">
        <v>#N/A</v>
      </c>
      <c r="I291" s="55" t="e">
        <v>#N/A</v>
      </c>
      <c r="J291" s="55" t="e">
        <v>#N/A</v>
      </c>
      <c r="K291" s="55" t="e">
        <v>#N/A</v>
      </c>
    </row>
    <row r="292" spans="1:11" ht="45" hidden="1" x14ac:dyDescent="0.25">
      <c r="A292" s="2" t="s">
        <v>450</v>
      </c>
      <c r="B292" s="3">
        <v>13922</v>
      </c>
      <c r="C292" s="4" t="s">
        <v>569</v>
      </c>
      <c r="D292" s="62" t="e">
        <v>#N/A</v>
      </c>
      <c r="E292" s="55" t="e">
        <v>#N/A</v>
      </c>
      <c r="F292" s="55" t="e">
        <v>#N/A</v>
      </c>
      <c r="G292" s="55" t="e">
        <v>#N/A</v>
      </c>
      <c r="H292" s="55" t="e">
        <v>#N/A</v>
      </c>
      <c r="I292" s="55" t="e">
        <v>#N/A</v>
      </c>
      <c r="J292" s="55" t="e">
        <v>#N/A</v>
      </c>
      <c r="K292" s="55" t="e">
        <v>#N/A</v>
      </c>
    </row>
    <row r="293" spans="1:11" ht="30" hidden="1" x14ac:dyDescent="0.25">
      <c r="A293" s="2" t="s">
        <v>450</v>
      </c>
      <c r="B293" s="3">
        <v>13923</v>
      </c>
      <c r="C293" s="4" t="s">
        <v>570</v>
      </c>
      <c r="D293" s="62" t="e">
        <v>#N/A</v>
      </c>
      <c r="E293" s="55" t="e">
        <v>#N/A</v>
      </c>
      <c r="F293" s="55" t="e">
        <v>#N/A</v>
      </c>
      <c r="G293" s="55" t="e">
        <v>#N/A</v>
      </c>
      <c r="H293" s="55" t="e">
        <v>#N/A</v>
      </c>
      <c r="I293" s="55" t="e">
        <v>#N/A</v>
      </c>
      <c r="J293" s="55" t="e">
        <v>#N/A</v>
      </c>
      <c r="K293" s="55" t="e">
        <v>#N/A</v>
      </c>
    </row>
    <row r="294" spans="1:11" ht="30" hidden="1" x14ac:dyDescent="0.25">
      <c r="A294" s="2" t="s">
        <v>450</v>
      </c>
      <c r="B294" s="3">
        <v>13924</v>
      </c>
      <c r="C294" s="4" t="s">
        <v>571</v>
      </c>
      <c r="D294" s="62" t="e">
        <v>#N/A</v>
      </c>
      <c r="E294" s="55" t="e">
        <v>#N/A</v>
      </c>
      <c r="F294" s="55" t="e">
        <v>#N/A</v>
      </c>
      <c r="G294" s="55" t="e">
        <v>#N/A</v>
      </c>
      <c r="H294" s="55" t="e">
        <v>#N/A</v>
      </c>
      <c r="I294" s="55" t="e">
        <v>#N/A</v>
      </c>
      <c r="J294" s="55" t="e">
        <v>#N/A</v>
      </c>
      <c r="K294" s="55" t="e">
        <v>#N/A</v>
      </c>
    </row>
    <row r="295" spans="1:11" ht="60" hidden="1" x14ac:dyDescent="0.25">
      <c r="A295" s="2" t="s">
        <v>450</v>
      </c>
      <c r="B295" s="3">
        <v>13929</v>
      </c>
      <c r="C295" s="4" t="s">
        <v>572</v>
      </c>
      <c r="D295" s="62" t="e">
        <v>#N/A</v>
      </c>
      <c r="E295" s="55" t="e">
        <v>#N/A</v>
      </c>
      <c r="F295" s="55" t="e">
        <v>#N/A</v>
      </c>
      <c r="G295" s="55" t="e">
        <v>#N/A</v>
      </c>
      <c r="H295" s="55" t="e">
        <v>#N/A</v>
      </c>
      <c r="I295" s="55" t="e">
        <v>#N/A</v>
      </c>
      <c r="J295" s="55" t="e">
        <v>#N/A</v>
      </c>
      <c r="K295" s="55" t="e">
        <v>#N/A</v>
      </c>
    </row>
    <row r="296" spans="1:11" ht="30" hidden="1" x14ac:dyDescent="0.25">
      <c r="A296" s="2" t="s">
        <v>450</v>
      </c>
      <c r="B296" s="3">
        <v>13930</v>
      </c>
      <c r="C296" s="4" t="s">
        <v>573</v>
      </c>
      <c r="D296" s="62" t="e">
        <v>#N/A</v>
      </c>
      <c r="E296" s="55" t="e">
        <v>#N/A</v>
      </c>
      <c r="F296" s="55" t="e">
        <v>#N/A</v>
      </c>
      <c r="G296" s="55" t="e">
        <v>#N/A</v>
      </c>
      <c r="H296" s="55" t="e">
        <v>#N/A</v>
      </c>
      <c r="I296" s="55" t="e">
        <v>#N/A</v>
      </c>
      <c r="J296" s="55" t="e">
        <v>#N/A</v>
      </c>
      <c r="K296" s="55" t="e">
        <v>#N/A</v>
      </c>
    </row>
    <row r="297" spans="1:11" hidden="1" x14ac:dyDescent="0.25">
      <c r="A297" s="2" t="s">
        <v>450</v>
      </c>
      <c r="B297" s="3">
        <v>13941</v>
      </c>
      <c r="C297" s="4" t="s">
        <v>574</v>
      </c>
      <c r="D297" s="62" t="e">
        <v>#N/A</v>
      </c>
      <c r="E297" s="55" t="e">
        <v>#N/A</v>
      </c>
      <c r="F297" s="55" t="e">
        <v>#N/A</v>
      </c>
      <c r="G297" s="55" t="e">
        <v>#N/A</v>
      </c>
      <c r="H297" s="55" t="e">
        <v>#N/A</v>
      </c>
      <c r="I297" s="55" t="e">
        <v>#N/A</v>
      </c>
      <c r="J297" s="55" t="e">
        <v>#N/A</v>
      </c>
      <c r="K297" s="55" t="e">
        <v>#N/A</v>
      </c>
    </row>
    <row r="298" spans="1:11" ht="30" hidden="1" x14ac:dyDescent="0.25">
      <c r="A298" s="2" t="s">
        <v>450</v>
      </c>
      <c r="B298" s="3">
        <v>13942</v>
      </c>
      <c r="C298" s="4" t="s">
        <v>575</v>
      </c>
      <c r="D298" s="62" t="e">
        <v>#N/A</v>
      </c>
      <c r="E298" s="55" t="e">
        <v>#N/A</v>
      </c>
      <c r="F298" s="55" t="e">
        <v>#N/A</v>
      </c>
      <c r="G298" s="55" t="e">
        <v>#N/A</v>
      </c>
      <c r="H298" s="55" t="e">
        <v>#N/A</v>
      </c>
      <c r="I298" s="55" t="e">
        <v>#N/A</v>
      </c>
      <c r="J298" s="55" t="e">
        <v>#N/A</v>
      </c>
      <c r="K298" s="55" t="e">
        <v>#N/A</v>
      </c>
    </row>
    <row r="299" spans="1:11" ht="30" hidden="1" x14ac:dyDescent="0.25">
      <c r="A299" s="2" t="s">
        <v>450</v>
      </c>
      <c r="B299" s="3">
        <v>13991</v>
      </c>
      <c r="C299" s="4" t="s">
        <v>576</v>
      </c>
      <c r="D299" s="62" t="e">
        <v>#N/A</v>
      </c>
      <c r="E299" s="55" t="e">
        <v>#N/A</v>
      </c>
      <c r="F299" s="55" t="e">
        <v>#N/A</v>
      </c>
      <c r="G299" s="55" t="e">
        <v>#N/A</v>
      </c>
      <c r="H299" s="55" t="e">
        <v>#N/A</v>
      </c>
      <c r="I299" s="55" t="e">
        <v>#N/A</v>
      </c>
      <c r="J299" s="55" t="e">
        <v>#N/A</v>
      </c>
      <c r="K299" s="55" t="e">
        <v>#N/A</v>
      </c>
    </row>
    <row r="300" spans="1:11" ht="45" hidden="1" x14ac:dyDescent="0.25">
      <c r="A300" s="2" t="s">
        <v>450</v>
      </c>
      <c r="B300" s="3">
        <v>13992</v>
      </c>
      <c r="C300" s="4" t="s">
        <v>577</v>
      </c>
      <c r="D300" s="62" t="e">
        <v>#N/A</v>
      </c>
      <c r="E300" s="55" t="e">
        <v>#N/A</v>
      </c>
      <c r="F300" s="55" t="e">
        <v>#N/A</v>
      </c>
      <c r="G300" s="55" t="e">
        <v>#N/A</v>
      </c>
      <c r="H300" s="55" t="e">
        <v>#N/A</v>
      </c>
      <c r="I300" s="55" t="e">
        <v>#N/A</v>
      </c>
      <c r="J300" s="55" t="e">
        <v>#N/A</v>
      </c>
      <c r="K300" s="55" t="e">
        <v>#N/A</v>
      </c>
    </row>
    <row r="301" spans="1:11" ht="45" hidden="1" x14ac:dyDescent="0.25">
      <c r="A301" s="2" t="s">
        <v>450</v>
      </c>
      <c r="B301" s="3">
        <v>13993</v>
      </c>
      <c r="C301" s="4" t="s">
        <v>578</v>
      </c>
      <c r="D301" s="62" t="e">
        <v>#N/A</v>
      </c>
      <c r="E301" s="55" t="e">
        <v>#N/A</v>
      </c>
      <c r="F301" s="55" t="e">
        <v>#N/A</v>
      </c>
      <c r="G301" s="55" t="e">
        <v>#N/A</v>
      </c>
      <c r="H301" s="55" t="e">
        <v>#N/A</v>
      </c>
      <c r="I301" s="55" t="e">
        <v>#N/A</v>
      </c>
      <c r="J301" s="55" t="e">
        <v>#N/A</v>
      </c>
      <c r="K301" s="55" t="e">
        <v>#N/A</v>
      </c>
    </row>
    <row r="302" spans="1:11" hidden="1" x14ac:dyDescent="0.25">
      <c r="A302" s="2" t="s">
        <v>450</v>
      </c>
      <c r="B302" s="3">
        <v>13994</v>
      </c>
      <c r="C302" s="4" t="s">
        <v>579</v>
      </c>
      <c r="D302" s="62" t="e">
        <v>#N/A</v>
      </c>
      <c r="E302" s="55" t="e">
        <v>#N/A</v>
      </c>
      <c r="F302" s="55" t="e">
        <v>#N/A</v>
      </c>
      <c r="G302" s="55" t="e">
        <v>#N/A</v>
      </c>
      <c r="H302" s="55" t="e">
        <v>#N/A</v>
      </c>
      <c r="I302" s="55" t="e">
        <v>#N/A</v>
      </c>
      <c r="J302" s="55" t="e">
        <v>#N/A</v>
      </c>
      <c r="K302" s="55" t="e">
        <v>#N/A</v>
      </c>
    </row>
    <row r="303" spans="1:11" hidden="1" x14ac:dyDescent="0.25">
      <c r="A303" s="2" t="s">
        <v>450</v>
      </c>
      <c r="B303" s="3">
        <v>13995</v>
      </c>
      <c r="C303" s="4" t="s">
        <v>580</v>
      </c>
      <c r="D303" s="62" t="e">
        <v>#N/A</v>
      </c>
      <c r="E303" s="55" t="e">
        <v>#N/A</v>
      </c>
      <c r="F303" s="55" t="e">
        <v>#N/A</v>
      </c>
      <c r="G303" s="55" t="e">
        <v>#N/A</v>
      </c>
      <c r="H303" s="55" t="e">
        <v>#N/A</v>
      </c>
      <c r="I303" s="55" t="e">
        <v>#N/A</v>
      </c>
      <c r="J303" s="55" t="e">
        <v>#N/A</v>
      </c>
      <c r="K303" s="55" t="e">
        <v>#N/A</v>
      </c>
    </row>
    <row r="304" spans="1:11" ht="45" hidden="1" x14ac:dyDescent="0.25">
      <c r="A304" s="2" t="s">
        <v>450</v>
      </c>
      <c r="B304" s="3">
        <v>13996</v>
      </c>
      <c r="C304" s="4" t="s">
        <v>581</v>
      </c>
      <c r="D304" s="62" t="e">
        <v>#N/A</v>
      </c>
      <c r="E304" s="55" t="e">
        <v>#N/A</v>
      </c>
      <c r="F304" s="55" t="e">
        <v>#N/A</v>
      </c>
      <c r="G304" s="55" t="e">
        <v>#N/A</v>
      </c>
      <c r="H304" s="55" t="e">
        <v>#N/A</v>
      </c>
      <c r="I304" s="55" t="e">
        <v>#N/A</v>
      </c>
      <c r="J304" s="55" t="e">
        <v>#N/A</v>
      </c>
      <c r="K304" s="55" t="e">
        <v>#N/A</v>
      </c>
    </row>
    <row r="305" spans="1:11" ht="30" hidden="1" x14ac:dyDescent="0.25">
      <c r="A305" s="2" t="s">
        <v>450</v>
      </c>
      <c r="B305" s="3">
        <v>13999</v>
      </c>
      <c r="C305" s="4" t="s">
        <v>582</v>
      </c>
      <c r="D305" s="62" t="e">
        <v>#N/A</v>
      </c>
      <c r="E305" s="55" t="e">
        <v>#N/A</v>
      </c>
      <c r="F305" s="55" t="e">
        <v>#N/A</v>
      </c>
      <c r="G305" s="55" t="e">
        <v>#N/A</v>
      </c>
      <c r="H305" s="55" t="e">
        <v>#N/A</v>
      </c>
      <c r="I305" s="55" t="e">
        <v>#N/A</v>
      </c>
      <c r="J305" s="55" t="e">
        <v>#N/A</v>
      </c>
      <c r="K305" s="55" t="e">
        <v>#N/A</v>
      </c>
    </row>
    <row r="306" spans="1:11" ht="45" hidden="1" x14ac:dyDescent="0.25">
      <c r="A306" s="2" t="s">
        <v>450</v>
      </c>
      <c r="B306" s="3">
        <v>14111</v>
      </c>
      <c r="C306" s="4" t="s">
        <v>583</v>
      </c>
      <c r="D306" s="62" t="e">
        <v>#N/A</v>
      </c>
      <c r="E306" s="55" t="e">
        <v>#N/A</v>
      </c>
      <c r="F306" s="55" t="e">
        <v>#N/A</v>
      </c>
      <c r="G306" s="55" t="e">
        <v>#N/A</v>
      </c>
      <c r="H306" s="55" t="e">
        <v>#N/A</v>
      </c>
      <c r="I306" s="55" t="e">
        <v>#N/A</v>
      </c>
      <c r="J306" s="55" t="e">
        <v>#N/A</v>
      </c>
      <c r="K306" s="55" t="e">
        <v>#N/A</v>
      </c>
    </row>
    <row r="307" spans="1:11" ht="60" hidden="1" x14ac:dyDescent="0.25">
      <c r="A307" s="2" t="s">
        <v>450</v>
      </c>
      <c r="B307" s="3">
        <v>14112</v>
      </c>
      <c r="C307" s="4" t="s">
        <v>584</v>
      </c>
      <c r="D307" s="62" t="e">
        <v>#N/A</v>
      </c>
      <c r="E307" s="55" t="e">
        <v>#N/A</v>
      </c>
      <c r="F307" s="55" t="e">
        <v>#N/A</v>
      </c>
      <c r="G307" s="55" t="e">
        <v>#N/A</v>
      </c>
      <c r="H307" s="55" t="e">
        <v>#N/A</v>
      </c>
      <c r="I307" s="55" t="e">
        <v>#N/A</v>
      </c>
      <c r="J307" s="55" t="e">
        <v>#N/A</v>
      </c>
      <c r="K307" s="55" t="e">
        <v>#N/A</v>
      </c>
    </row>
    <row r="308" spans="1:11" ht="60" hidden="1" x14ac:dyDescent="0.25">
      <c r="A308" s="2" t="s">
        <v>450</v>
      </c>
      <c r="B308" s="3">
        <v>14120</v>
      </c>
      <c r="C308" s="4" t="s">
        <v>585</v>
      </c>
      <c r="D308" s="62" t="e">
        <v>#N/A</v>
      </c>
      <c r="E308" s="55" t="e">
        <v>#N/A</v>
      </c>
      <c r="F308" s="55" t="e">
        <v>#N/A</v>
      </c>
      <c r="G308" s="55" t="e">
        <v>#N/A</v>
      </c>
      <c r="H308" s="55" t="e">
        <v>#N/A</v>
      </c>
      <c r="I308" s="55" t="e">
        <v>#N/A</v>
      </c>
      <c r="J308" s="55" t="e">
        <v>#N/A</v>
      </c>
      <c r="K308" s="55" t="e">
        <v>#N/A</v>
      </c>
    </row>
    <row r="309" spans="1:11" ht="45" hidden="1" x14ac:dyDescent="0.25">
      <c r="A309" s="2" t="s">
        <v>450</v>
      </c>
      <c r="B309" s="3">
        <v>14131</v>
      </c>
      <c r="C309" s="4" t="s">
        <v>586</v>
      </c>
      <c r="D309" s="62" t="e">
        <v>#N/A</v>
      </c>
      <c r="E309" s="55" t="e">
        <v>#N/A</v>
      </c>
      <c r="F309" s="55" t="e">
        <v>#N/A</v>
      </c>
      <c r="G309" s="55" t="e">
        <v>#N/A</v>
      </c>
      <c r="H309" s="55" t="e">
        <v>#N/A</v>
      </c>
      <c r="I309" s="55" t="e">
        <v>#N/A</v>
      </c>
      <c r="J309" s="55" t="e">
        <v>#N/A</v>
      </c>
      <c r="K309" s="55" t="e">
        <v>#N/A</v>
      </c>
    </row>
    <row r="310" spans="1:11" ht="60" hidden="1" x14ac:dyDescent="0.25">
      <c r="A310" s="2" t="s">
        <v>450</v>
      </c>
      <c r="B310" s="3">
        <v>14132</v>
      </c>
      <c r="C310" s="4" t="s">
        <v>587</v>
      </c>
      <c r="D310" s="62" t="e">
        <v>#N/A</v>
      </c>
      <c r="E310" s="55" t="e">
        <v>#N/A</v>
      </c>
      <c r="F310" s="55" t="e">
        <v>#N/A</v>
      </c>
      <c r="G310" s="55" t="e">
        <v>#N/A</v>
      </c>
      <c r="H310" s="55" t="e">
        <v>#N/A</v>
      </c>
      <c r="I310" s="55" t="e">
        <v>#N/A</v>
      </c>
      <c r="J310" s="55" t="e">
        <v>#N/A</v>
      </c>
      <c r="K310" s="55" t="e">
        <v>#N/A</v>
      </c>
    </row>
    <row r="311" spans="1:11" ht="30" hidden="1" x14ac:dyDescent="0.25">
      <c r="A311" s="2" t="s">
        <v>450</v>
      </c>
      <c r="B311" s="3">
        <v>14200</v>
      </c>
      <c r="C311" s="4" t="s">
        <v>588</v>
      </c>
      <c r="D311" s="62" t="e">
        <v>#N/A</v>
      </c>
      <c r="E311" s="55" t="e">
        <v>#N/A</v>
      </c>
      <c r="F311" s="55" t="e">
        <v>#N/A</v>
      </c>
      <c r="G311" s="55" t="e">
        <v>#N/A</v>
      </c>
      <c r="H311" s="55" t="e">
        <v>#N/A</v>
      </c>
      <c r="I311" s="55" t="e">
        <v>#N/A</v>
      </c>
      <c r="J311" s="55" t="e">
        <v>#N/A</v>
      </c>
      <c r="K311" s="55" t="e">
        <v>#N/A</v>
      </c>
    </row>
    <row r="312" spans="1:11" ht="60" hidden="1" x14ac:dyDescent="0.25">
      <c r="A312" s="2" t="s">
        <v>450</v>
      </c>
      <c r="B312" s="3">
        <v>14301</v>
      </c>
      <c r="C312" s="4" t="s">
        <v>589</v>
      </c>
      <c r="D312" s="62" t="e">
        <v>#N/A</v>
      </c>
      <c r="E312" s="55" t="e">
        <v>#N/A</v>
      </c>
      <c r="F312" s="55" t="e">
        <v>#N/A</v>
      </c>
      <c r="G312" s="55" t="e">
        <v>#N/A</v>
      </c>
      <c r="H312" s="55" t="e">
        <v>#N/A</v>
      </c>
      <c r="I312" s="55" t="e">
        <v>#N/A</v>
      </c>
      <c r="J312" s="55" t="e">
        <v>#N/A</v>
      </c>
      <c r="K312" s="55" t="e">
        <v>#N/A</v>
      </c>
    </row>
    <row r="313" spans="1:11" ht="45" hidden="1" x14ac:dyDescent="0.25">
      <c r="A313" s="2" t="s">
        <v>450</v>
      </c>
      <c r="B313" s="3">
        <v>14302</v>
      </c>
      <c r="C313" s="4" t="s">
        <v>590</v>
      </c>
      <c r="D313" s="62" t="e">
        <v>#N/A</v>
      </c>
      <c r="E313" s="55" t="e">
        <v>#N/A</v>
      </c>
      <c r="F313" s="55" t="e">
        <v>#N/A</v>
      </c>
      <c r="G313" s="55" t="e">
        <v>#N/A</v>
      </c>
      <c r="H313" s="55" t="e">
        <v>#N/A</v>
      </c>
      <c r="I313" s="55" t="e">
        <v>#N/A</v>
      </c>
      <c r="J313" s="55" t="e">
        <v>#N/A</v>
      </c>
      <c r="K313" s="55" t="e">
        <v>#N/A</v>
      </c>
    </row>
    <row r="314" spans="1:11" hidden="1" x14ac:dyDescent="0.25">
      <c r="A314" s="2" t="s">
        <v>450</v>
      </c>
      <c r="B314" s="3">
        <v>15111</v>
      </c>
      <c r="C314" s="4" t="s">
        <v>591</v>
      </c>
      <c r="D314" s="62" t="e">
        <v>#N/A</v>
      </c>
      <c r="E314" s="55" t="e">
        <v>#N/A</v>
      </c>
      <c r="F314" s="55" t="e">
        <v>#N/A</v>
      </c>
      <c r="G314" s="55" t="e">
        <v>#N/A</v>
      </c>
      <c r="H314" s="55" t="e">
        <v>#N/A</v>
      </c>
      <c r="I314" s="55" t="e">
        <v>#N/A</v>
      </c>
      <c r="J314" s="55" t="e">
        <v>#N/A</v>
      </c>
      <c r="K314" s="55" t="e">
        <v>#N/A</v>
      </c>
    </row>
    <row r="315" spans="1:11" hidden="1" x14ac:dyDescent="0.25">
      <c r="A315" s="2" t="s">
        <v>450</v>
      </c>
      <c r="B315" s="3">
        <v>15112</v>
      </c>
      <c r="C315" s="4" t="s">
        <v>592</v>
      </c>
      <c r="D315" s="62" t="e">
        <v>#N/A</v>
      </c>
      <c r="E315" s="55" t="e">
        <v>#N/A</v>
      </c>
      <c r="F315" s="55" t="e">
        <v>#N/A</v>
      </c>
      <c r="G315" s="55" t="e">
        <v>#N/A</v>
      </c>
      <c r="H315" s="55" t="e">
        <v>#N/A</v>
      </c>
      <c r="I315" s="55" t="e">
        <v>#N/A</v>
      </c>
      <c r="J315" s="55" t="e">
        <v>#N/A</v>
      </c>
      <c r="K315" s="55" t="e">
        <v>#N/A</v>
      </c>
    </row>
    <row r="316" spans="1:11" ht="30" hidden="1" x14ac:dyDescent="0.25">
      <c r="A316" s="2" t="s">
        <v>450</v>
      </c>
      <c r="B316" s="3">
        <v>15113</v>
      </c>
      <c r="C316" s="4" t="s">
        <v>593</v>
      </c>
      <c r="D316" s="62" t="e">
        <v>#N/A</v>
      </c>
      <c r="E316" s="55" t="e">
        <v>#N/A</v>
      </c>
      <c r="F316" s="55" t="e">
        <v>#N/A</v>
      </c>
      <c r="G316" s="55" t="e">
        <v>#N/A</v>
      </c>
      <c r="H316" s="55" t="e">
        <v>#N/A</v>
      </c>
      <c r="I316" s="55" t="e">
        <v>#N/A</v>
      </c>
      <c r="J316" s="55" t="e">
        <v>#N/A</v>
      </c>
      <c r="K316" s="55" t="e">
        <v>#N/A</v>
      </c>
    </row>
    <row r="317" spans="1:11" ht="30" hidden="1" x14ac:dyDescent="0.25">
      <c r="A317" s="2" t="s">
        <v>450</v>
      </c>
      <c r="B317" s="3">
        <v>15114</v>
      </c>
      <c r="C317" s="4" t="s">
        <v>594</v>
      </c>
      <c r="D317" s="62" t="e">
        <v>#N/A</v>
      </c>
      <c r="E317" s="55" t="e">
        <v>#N/A</v>
      </c>
      <c r="F317" s="55" t="e">
        <v>#N/A</v>
      </c>
      <c r="G317" s="55" t="e">
        <v>#N/A</v>
      </c>
      <c r="H317" s="55" t="e">
        <v>#N/A</v>
      </c>
      <c r="I317" s="55" t="e">
        <v>#N/A</v>
      </c>
      <c r="J317" s="55" t="e">
        <v>#N/A</v>
      </c>
      <c r="K317" s="55" t="e">
        <v>#N/A</v>
      </c>
    </row>
    <row r="318" spans="1:11" ht="45" hidden="1" x14ac:dyDescent="0.25">
      <c r="A318" s="2" t="s">
        <v>450</v>
      </c>
      <c r="B318" s="3">
        <v>15121</v>
      </c>
      <c r="C318" s="4" t="s">
        <v>595</v>
      </c>
      <c r="D318" s="62" t="e">
        <v>#N/A</v>
      </c>
      <c r="E318" s="55" t="e">
        <v>#N/A</v>
      </c>
      <c r="F318" s="55" t="e">
        <v>#N/A</v>
      </c>
      <c r="G318" s="55" t="e">
        <v>#N/A</v>
      </c>
      <c r="H318" s="55" t="e">
        <v>#N/A</v>
      </c>
      <c r="I318" s="55" t="e">
        <v>#N/A</v>
      </c>
      <c r="J318" s="55" t="e">
        <v>#N/A</v>
      </c>
      <c r="K318" s="55" t="e">
        <v>#N/A</v>
      </c>
    </row>
    <row r="319" spans="1:11" ht="75" hidden="1" x14ac:dyDescent="0.25">
      <c r="A319" s="2" t="s">
        <v>450</v>
      </c>
      <c r="B319" s="3">
        <v>15122</v>
      </c>
      <c r="C319" s="4" t="s">
        <v>596</v>
      </c>
      <c r="D319" s="62" t="e">
        <v>#N/A</v>
      </c>
      <c r="E319" s="55" t="e">
        <v>#N/A</v>
      </c>
      <c r="F319" s="55" t="e">
        <v>#N/A</v>
      </c>
      <c r="G319" s="55" t="e">
        <v>#N/A</v>
      </c>
      <c r="H319" s="55" t="e">
        <v>#N/A</v>
      </c>
      <c r="I319" s="55" t="e">
        <v>#N/A</v>
      </c>
      <c r="J319" s="55" t="e">
        <v>#N/A</v>
      </c>
      <c r="K319" s="55" t="e">
        <v>#N/A</v>
      </c>
    </row>
    <row r="320" spans="1:11" ht="45" hidden="1" x14ac:dyDescent="0.25">
      <c r="A320" s="2" t="s">
        <v>450</v>
      </c>
      <c r="B320" s="3">
        <v>15129</v>
      </c>
      <c r="C320" s="4" t="s">
        <v>597</v>
      </c>
      <c r="D320" s="62" t="e">
        <v>#N/A</v>
      </c>
      <c r="E320" s="55" t="e">
        <v>#N/A</v>
      </c>
      <c r="F320" s="55" t="e">
        <v>#N/A</v>
      </c>
      <c r="G320" s="55" t="e">
        <v>#N/A</v>
      </c>
      <c r="H320" s="55" t="e">
        <v>#N/A</v>
      </c>
      <c r="I320" s="55" t="e">
        <v>#N/A</v>
      </c>
      <c r="J320" s="55" t="e">
        <v>#N/A</v>
      </c>
      <c r="K320" s="55" t="e">
        <v>#N/A</v>
      </c>
    </row>
    <row r="321" spans="1:11" ht="45" hidden="1" x14ac:dyDescent="0.25">
      <c r="A321" s="2" t="s">
        <v>450</v>
      </c>
      <c r="B321" s="3">
        <v>15201</v>
      </c>
      <c r="C321" s="4" t="s">
        <v>598</v>
      </c>
      <c r="D321" s="62" t="e">
        <v>#N/A</v>
      </c>
      <c r="E321" s="55" t="e">
        <v>#N/A</v>
      </c>
      <c r="F321" s="55" t="e">
        <v>#N/A</v>
      </c>
      <c r="G321" s="55" t="e">
        <v>#N/A</v>
      </c>
      <c r="H321" s="55" t="e">
        <v>#N/A</v>
      </c>
      <c r="I321" s="55" t="e">
        <v>#N/A</v>
      </c>
      <c r="J321" s="55" t="e">
        <v>#N/A</v>
      </c>
      <c r="K321" s="55" t="e">
        <v>#N/A</v>
      </c>
    </row>
    <row r="322" spans="1:11" ht="30" hidden="1" x14ac:dyDescent="0.25">
      <c r="A322" s="2" t="s">
        <v>450</v>
      </c>
      <c r="B322" s="3">
        <v>15202</v>
      </c>
      <c r="C322" s="4" t="s">
        <v>599</v>
      </c>
      <c r="D322" s="62" t="e">
        <v>#N/A</v>
      </c>
      <c r="E322" s="55" t="e">
        <v>#N/A</v>
      </c>
      <c r="F322" s="55" t="e">
        <v>#N/A</v>
      </c>
      <c r="G322" s="55" t="e">
        <v>#N/A</v>
      </c>
      <c r="H322" s="55" t="e">
        <v>#N/A</v>
      </c>
      <c r="I322" s="55" t="e">
        <v>#N/A</v>
      </c>
      <c r="J322" s="55" t="e">
        <v>#N/A</v>
      </c>
      <c r="K322" s="55" t="e">
        <v>#N/A</v>
      </c>
    </row>
    <row r="323" spans="1:11" ht="60" hidden="1" x14ac:dyDescent="0.25">
      <c r="A323" s="2" t="s">
        <v>450</v>
      </c>
      <c r="B323" s="3">
        <v>15203</v>
      </c>
      <c r="C323" s="4" t="s">
        <v>600</v>
      </c>
      <c r="D323" s="62" t="e">
        <v>#N/A</v>
      </c>
      <c r="E323" s="55" t="e">
        <v>#N/A</v>
      </c>
      <c r="F323" s="55" t="e">
        <v>#N/A</v>
      </c>
      <c r="G323" s="55" t="e">
        <v>#N/A</v>
      </c>
      <c r="H323" s="55" t="e">
        <v>#N/A</v>
      </c>
      <c r="I323" s="55" t="e">
        <v>#N/A</v>
      </c>
      <c r="J323" s="55" t="e">
        <v>#N/A</v>
      </c>
      <c r="K323" s="55" t="e">
        <v>#N/A</v>
      </c>
    </row>
    <row r="324" spans="1:11" ht="30" hidden="1" x14ac:dyDescent="0.25">
      <c r="A324" s="2" t="s">
        <v>450</v>
      </c>
      <c r="B324" s="3">
        <v>15209</v>
      </c>
      <c r="C324" s="4" t="s">
        <v>601</v>
      </c>
      <c r="D324" s="62" t="e">
        <v>#N/A</v>
      </c>
      <c r="E324" s="55" t="e">
        <v>#N/A</v>
      </c>
      <c r="F324" s="55" t="e">
        <v>#N/A</v>
      </c>
      <c r="G324" s="55" t="e">
        <v>#N/A</v>
      </c>
      <c r="H324" s="55" t="e">
        <v>#N/A</v>
      </c>
      <c r="I324" s="55" t="e">
        <v>#N/A</v>
      </c>
      <c r="J324" s="55" t="e">
        <v>#N/A</v>
      </c>
      <c r="K324" s="55" t="e">
        <v>#N/A</v>
      </c>
    </row>
    <row r="325" spans="1:11" ht="30" hidden="1" x14ac:dyDescent="0.25">
      <c r="A325" s="2" t="s">
        <v>450</v>
      </c>
      <c r="B325" s="3">
        <v>16101</v>
      </c>
      <c r="C325" s="4" t="s">
        <v>602</v>
      </c>
      <c r="D325" s="62" t="e">
        <v>#N/A</v>
      </c>
      <c r="E325" s="55" t="e">
        <v>#N/A</v>
      </c>
      <c r="F325" s="55" t="e">
        <v>#N/A</v>
      </c>
      <c r="G325" s="55" t="e">
        <v>#N/A</v>
      </c>
      <c r="H325" s="55" t="e">
        <v>#N/A</v>
      </c>
      <c r="I325" s="55" t="e">
        <v>#N/A</v>
      </c>
      <c r="J325" s="55" t="e">
        <v>#N/A</v>
      </c>
      <c r="K325" s="55" t="e">
        <v>#N/A</v>
      </c>
    </row>
    <row r="326" spans="1:11" hidden="1" x14ac:dyDescent="0.25">
      <c r="A326" s="2" t="s">
        <v>450</v>
      </c>
      <c r="B326" s="3">
        <v>16102</v>
      </c>
      <c r="C326" s="4" t="s">
        <v>603</v>
      </c>
      <c r="D326" s="62" t="e">
        <v>#N/A</v>
      </c>
      <c r="E326" s="55" t="e">
        <v>#N/A</v>
      </c>
      <c r="F326" s="55" t="e">
        <v>#N/A</v>
      </c>
      <c r="G326" s="55" t="e">
        <v>#N/A</v>
      </c>
      <c r="H326" s="55" t="e">
        <v>#N/A</v>
      </c>
      <c r="I326" s="55" t="e">
        <v>#N/A</v>
      </c>
      <c r="J326" s="55" t="e">
        <v>#N/A</v>
      </c>
      <c r="K326" s="55" t="e">
        <v>#N/A</v>
      </c>
    </row>
    <row r="327" spans="1:11" ht="45" hidden="1" x14ac:dyDescent="0.25">
      <c r="A327" s="2" t="s">
        <v>450</v>
      </c>
      <c r="B327" s="3">
        <v>16103</v>
      </c>
      <c r="C327" s="4" t="s">
        <v>604</v>
      </c>
      <c r="D327" s="62" t="e">
        <v>#N/A</v>
      </c>
      <c r="E327" s="55" t="e">
        <v>#N/A</v>
      </c>
      <c r="F327" s="55" t="e">
        <v>#N/A</v>
      </c>
      <c r="G327" s="55" t="e">
        <v>#N/A</v>
      </c>
      <c r="H327" s="55" t="e">
        <v>#N/A</v>
      </c>
      <c r="I327" s="55" t="e">
        <v>#N/A</v>
      </c>
      <c r="J327" s="55" t="e">
        <v>#N/A</v>
      </c>
      <c r="K327" s="55" t="e">
        <v>#N/A</v>
      </c>
    </row>
    <row r="328" spans="1:11" hidden="1" x14ac:dyDescent="0.25">
      <c r="A328" s="2" t="s">
        <v>450</v>
      </c>
      <c r="B328" s="3">
        <v>16104</v>
      </c>
      <c r="C328" s="4" t="s">
        <v>605</v>
      </c>
      <c r="D328" s="62" t="e">
        <v>#N/A</v>
      </c>
      <c r="E328" s="55" t="e">
        <v>#N/A</v>
      </c>
      <c r="F328" s="55" t="e">
        <v>#N/A</v>
      </c>
      <c r="G328" s="55" t="e">
        <v>#N/A</v>
      </c>
      <c r="H328" s="55" t="e">
        <v>#N/A</v>
      </c>
      <c r="I328" s="55" t="e">
        <v>#N/A</v>
      </c>
      <c r="J328" s="55" t="e">
        <v>#N/A</v>
      </c>
      <c r="K328" s="55" t="e">
        <v>#N/A</v>
      </c>
    </row>
    <row r="329" spans="1:11" ht="30" hidden="1" x14ac:dyDescent="0.25">
      <c r="A329" s="2" t="s">
        <v>450</v>
      </c>
      <c r="B329" s="3">
        <v>16105</v>
      </c>
      <c r="C329" s="4" t="s">
        <v>606</v>
      </c>
      <c r="D329" s="62" t="e">
        <v>#N/A</v>
      </c>
      <c r="E329" s="55" t="e">
        <v>#N/A</v>
      </c>
      <c r="F329" s="55" t="e">
        <v>#N/A</v>
      </c>
      <c r="G329" s="55" t="e">
        <v>#N/A</v>
      </c>
      <c r="H329" s="55" t="e">
        <v>#N/A</v>
      </c>
      <c r="I329" s="55" t="e">
        <v>#N/A</v>
      </c>
      <c r="J329" s="55" t="e">
        <v>#N/A</v>
      </c>
      <c r="K329" s="55" t="e">
        <v>#N/A</v>
      </c>
    </row>
    <row r="330" spans="1:11" hidden="1" x14ac:dyDescent="0.25">
      <c r="A330" s="2" t="s">
        <v>450</v>
      </c>
      <c r="B330" s="3">
        <v>16211</v>
      </c>
      <c r="C330" s="4" t="s">
        <v>607</v>
      </c>
      <c r="D330" s="62" t="e">
        <v>#N/A</v>
      </c>
      <c r="E330" s="55" t="e">
        <v>#N/A</v>
      </c>
      <c r="F330" s="55" t="e">
        <v>#N/A</v>
      </c>
      <c r="G330" s="55" t="e">
        <v>#N/A</v>
      </c>
      <c r="H330" s="55" t="e">
        <v>#N/A</v>
      </c>
      <c r="I330" s="55" t="e">
        <v>#N/A</v>
      </c>
      <c r="J330" s="55" t="e">
        <v>#N/A</v>
      </c>
      <c r="K330" s="55" t="e">
        <v>#N/A</v>
      </c>
    </row>
    <row r="331" spans="1:11" hidden="1" x14ac:dyDescent="0.25">
      <c r="A331" s="2" t="s">
        <v>450</v>
      </c>
      <c r="B331" s="3">
        <v>16212</v>
      </c>
      <c r="C331" s="4" t="s">
        <v>608</v>
      </c>
      <c r="D331" s="62" t="e">
        <v>#N/A</v>
      </c>
      <c r="E331" s="55" t="e">
        <v>#N/A</v>
      </c>
      <c r="F331" s="55" t="e">
        <v>#N/A</v>
      </c>
      <c r="G331" s="55" t="e">
        <v>#N/A</v>
      </c>
      <c r="H331" s="55" t="e">
        <v>#N/A</v>
      </c>
      <c r="I331" s="55" t="e">
        <v>#N/A</v>
      </c>
      <c r="J331" s="55" t="e">
        <v>#N/A</v>
      </c>
      <c r="K331" s="55" t="e">
        <v>#N/A</v>
      </c>
    </row>
    <row r="332" spans="1:11" ht="30" hidden="1" x14ac:dyDescent="0.25">
      <c r="A332" s="2" t="s">
        <v>450</v>
      </c>
      <c r="B332" s="3">
        <v>16213</v>
      </c>
      <c r="C332" s="4" t="s">
        <v>609</v>
      </c>
      <c r="D332" s="62" t="e">
        <v>#N/A</v>
      </c>
      <c r="E332" s="55" t="e">
        <v>#N/A</v>
      </c>
      <c r="F332" s="55" t="e">
        <v>#N/A</v>
      </c>
      <c r="G332" s="55" t="e">
        <v>#N/A</v>
      </c>
      <c r="H332" s="55" t="e">
        <v>#N/A</v>
      </c>
      <c r="I332" s="55" t="e">
        <v>#N/A</v>
      </c>
      <c r="J332" s="55" t="e">
        <v>#N/A</v>
      </c>
      <c r="K332" s="55" t="e">
        <v>#N/A</v>
      </c>
    </row>
    <row r="333" spans="1:11" ht="30" hidden="1" x14ac:dyDescent="0.25">
      <c r="A333" s="2" t="s">
        <v>450</v>
      </c>
      <c r="B333" s="3">
        <v>16219</v>
      </c>
      <c r="C333" s="4" t="s">
        <v>610</v>
      </c>
      <c r="D333" s="62" t="e">
        <v>#N/A</v>
      </c>
      <c r="E333" s="55" t="e">
        <v>#N/A</v>
      </c>
      <c r="F333" s="55" t="e">
        <v>#N/A</v>
      </c>
      <c r="G333" s="55" t="e">
        <v>#N/A</v>
      </c>
      <c r="H333" s="55" t="e">
        <v>#N/A</v>
      </c>
      <c r="I333" s="55" t="e">
        <v>#N/A</v>
      </c>
      <c r="J333" s="55" t="e">
        <v>#N/A</v>
      </c>
      <c r="K333" s="55" t="e">
        <v>#N/A</v>
      </c>
    </row>
    <row r="334" spans="1:11" ht="45" hidden="1" x14ac:dyDescent="0.25">
      <c r="A334" s="2" t="s">
        <v>450</v>
      </c>
      <c r="B334" s="3">
        <v>16221</v>
      </c>
      <c r="C334" s="4" t="s">
        <v>611</v>
      </c>
      <c r="D334" s="62" t="e">
        <v>#N/A</v>
      </c>
      <c r="E334" s="55" t="e">
        <v>#N/A</v>
      </c>
      <c r="F334" s="55" t="e">
        <v>#N/A</v>
      </c>
      <c r="G334" s="55" t="e">
        <v>#N/A</v>
      </c>
      <c r="H334" s="55" t="e">
        <v>#N/A</v>
      </c>
      <c r="I334" s="55" t="e">
        <v>#N/A</v>
      </c>
      <c r="J334" s="55" t="e">
        <v>#N/A</v>
      </c>
      <c r="K334" s="55" t="e">
        <v>#N/A</v>
      </c>
    </row>
    <row r="335" spans="1:11" ht="45" hidden="1" x14ac:dyDescent="0.25">
      <c r="A335" s="2" t="s">
        <v>450</v>
      </c>
      <c r="B335" s="3">
        <v>16222</v>
      </c>
      <c r="C335" s="4" t="s">
        <v>612</v>
      </c>
      <c r="D335" s="62" t="e">
        <v>#N/A</v>
      </c>
      <c r="E335" s="55" t="e">
        <v>#N/A</v>
      </c>
      <c r="F335" s="55" t="e">
        <v>#N/A</v>
      </c>
      <c r="G335" s="55" t="e">
        <v>#N/A</v>
      </c>
      <c r="H335" s="55" t="e">
        <v>#N/A</v>
      </c>
      <c r="I335" s="55" t="e">
        <v>#N/A</v>
      </c>
      <c r="J335" s="55" t="e">
        <v>#N/A</v>
      </c>
      <c r="K335" s="55" t="e">
        <v>#N/A</v>
      </c>
    </row>
    <row r="336" spans="1:11" ht="30" hidden="1" x14ac:dyDescent="0.25">
      <c r="A336" s="2" t="s">
        <v>450</v>
      </c>
      <c r="B336" s="3">
        <v>16230</v>
      </c>
      <c r="C336" s="4" t="s">
        <v>613</v>
      </c>
      <c r="D336" s="62" t="e">
        <v>#N/A</v>
      </c>
      <c r="E336" s="55" t="e">
        <v>#N/A</v>
      </c>
      <c r="F336" s="55" t="e">
        <v>#N/A</v>
      </c>
      <c r="G336" s="55" t="e">
        <v>#N/A</v>
      </c>
      <c r="H336" s="55" t="e">
        <v>#N/A</v>
      </c>
      <c r="I336" s="55" t="e">
        <v>#N/A</v>
      </c>
      <c r="J336" s="55" t="e">
        <v>#N/A</v>
      </c>
      <c r="K336" s="55" t="e">
        <v>#N/A</v>
      </c>
    </row>
    <row r="337" spans="1:11" ht="45" hidden="1" x14ac:dyDescent="0.25">
      <c r="A337" s="2" t="s">
        <v>450</v>
      </c>
      <c r="B337" s="3">
        <v>16291</v>
      </c>
      <c r="C337" s="4" t="s">
        <v>614</v>
      </c>
      <c r="D337" s="62" t="e">
        <v>#N/A</v>
      </c>
      <c r="E337" s="55" t="e">
        <v>#N/A</v>
      </c>
      <c r="F337" s="55" t="e">
        <v>#N/A</v>
      </c>
      <c r="G337" s="55" t="e">
        <v>#N/A</v>
      </c>
      <c r="H337" s="55" t="e">
        <v>#N/A</v>
      </c>
      <c r="I337" s="55" t="e">
        <v>#N/A</v>
      </c>
      <c r="J337" s="55" t="e">
        <v>#N/A</v>
      </c>
      <c r="K337" s="55" t="e">
        <v>#N/A</v>
      </c>
    </row>
    <row r="338" spans="1:11" ht="60" hidden="1" x14ac:dyDescent="0.25">
      <c r="A338" s="2" t="s">
        <v>450</v>
      </c>
      <c r="B338" s="3">
        <v>16292</v>
      </c>
      <c r="C338" s="4" t="s">
        <v>615</v>
      </c>
      <c r="D338" s="62" t="e">
        <v>#N/A</v>
      </c>
      <c r="E338" s="55" t="e">
        <v>#N/A</v>
      </c>
      <c r="F338" s="55" t="e">
        <v>#N/A</v>
      </c>
      <c r="G338" s="55" t="e">
        <v>#N/A</v>
      </c>
      <c r="H338" s="55" t="e">
        <v>#N/A</v>
      </c>
      <c r="I338" s="55" t="e">
        <v>#N/A</v>
      </c>
      <c r="J338" s="55" t="e">
        <v>#N/A</v>
      </c>
      <c r="K338" s="55" t="e">
        <v>#N/A</v>
      </c>
    </row>
    <row r="339" spans="1:11" ht="45" hidden="1" x14ac:dyDescent="0.25">
      <c r="A339" s="2" t="s">
        <v>450</v>
      </c>
      <c r="B339" s="3">
        <v>16293</v>
      </c>
      <c r="C339" s="4" t="s">
        <v>616</v>
      </c>
      <c r="D339" s="62" t="e">
        <v>#N/A</v>
      </c>
      <c r="E339" s="55" t="e">
        <v>#N/A</v>
      </c>
      <c r="F339" s="55" t="e">
        <v>#N/A</v>
      </c>
      <c r="G339" s="55" t="e">
        <v>#N/A</v>
      </c>
      <c r="H339" s="55" t="e">
        <v>#N/A</v>
      </c>
      <c r="I339" s="55" t="e">
        <v>#N/A</v>
      </c>
      <c r="J339" s="55" t="e">
        <v>#N/A</v>
      </c>
      <c r="K339" s="55" t="e">
        <v>#N/A</v>
      </c>
    </row>
    <row r="340" spans="1:11" ht="60" hidden="1" x14ac:dyDescent="0.25">
      <c r="A340" s="2" t="s">
        <v>450</v>
      </c>
      <c r="B340" s="3">
        <v>16294</v>
      </c>
      <c r="C340" s="4" t="s">
        <v>617</v>
      </c>
      <c r="D340" s="62" t="e">
        <v>#N/A</v>
      </c>
      <c r="E340" s="55" t="e">
        <v>#N/A</v>
      </c>
      <c r="F340" s="55" t="e">
        <v>#N/A</v>
      </c>
      <c r="G340" s="55" t="e">
        <v>#N/A</v>
      </c>
      <c r="H340" s="55" t="e">
        <v>#N/A</v>
      </c>
      <c r="I340" s="55" t="e">
        <v>#N/A</v>
      </c>
      <c r="J340" s="55" t="e">
        <v>#N/A</v>
      </c>
      <c r="K340" s="55" t="e">
        <v>#N/A</v>
      </c>
    </row>
    <row r="341" spans="1:11" ht="60" hidden="1" x14ac:dyDescent="0.25">
      <c r="A341" s="2" t="s">
        <v>450</v>
      </c>
      <c r="B341" s="3">
        <v>16295</v>
      </c>
      <c r="C341" s="4" t="s">
        <v>618</v>
      </c>
      <c r="D341" s="62" t="e">
        <v>#N/A</v>
      </c>
      <c r="E341" s="55" t="e">
        <v>#N/A</v>
      </c>
      <c r="F341" s="55" t="e">
        <v>#N/A</v>
      </c>
      <c r="G341" s="55" t="e">
        <v>#N/A</v>
      </c>
      <c r="H341" s="55" t="e">
        <v>#N/A</v>
      </c>
      <c r="I341" s="55" t="e">
        <v>#N/A</v>
      </c>
      <c r="J341" s="55" t="e">
        <v>#N/A</v>
      </c>
      <c r="K341" s="55" t="e">
        <v>#N/A</v>
      </c>
    </row>
    <row r="342" spans="1:11" ht="60" hidden="1" x14ac:dyDescent="0.25">
      <c r="A342" s="2" t="s">
        <v>450</v>
      </c>
      <c r="B342" s="3">
        <v>16299</v>
      </c>
      <c r="C342" s="4" t="s">
        <v>619</v>
      </c>
      <c r="D342" s="62" t="e">
        <v>#N/A</v>
      </c>
      <c r="E342" s="55" t="e">
        <v>#N/A</v>
      </c>
      <c r="F342" s="55" t="e">
        <v>#N/A</v>
      </c>
      <c r="G342" s="55" t="e">
        <v>#N/A</v>
      </c>
      <c r="H342" s="55" t="e">
        <v>#N/A</v>
      </c>
      <c r="I342" s="55" t="e">
        <v>#N/A</v>
      </c>
      <c r="J342" s="55" t="e">
        <v>#N/A</v>
      </c>
      <c r="K342" s="55" t="e">
        <v>#N/A</v>
      </c>
    </row>
    <row r="343" spans="1:11" ht="30" hidden="1" x14ac:dyDescent="0.25">
      <c r="A343" s="2" t="s">
        <v>450</v>
      </c>
      <c r="B343" s="3">
        <v>17011</v>
      </c>
      <c r="C343" s="4" t="s">
        <v>620</v>
      </c>
      <c r="D343" s="62" t="e">
        <v>#N/A</v>
      </c>
      <c r="E343" s="55" t="e">
        <v>#N/A</v>
      </c>
      <c r="F343" s="55" t="e">
        <v>#N/A</v>
      </c>
      <c r="G343" s="55" t="e">
        <v>#N/A</v>
      </c>
      <c r="H343" s="55" t="e">
        <v>#N/A</v>
      </c>
      <c r="I343" s="55" t="e">
        <v>#N/A</v>
      </c>
      <c r="J343" s="55" t="e">
        <v>#N/A</v>
      </c>
      <c r="K343" s="55" t="e">
        <v>#N/A</v>
      </c>
    </row>
    <row r="344" spans="1:11" ht="30" hidden="1" x14ac:dyDescent="0.25">
      <c r="A344" s="2" t="s">
        <v>450</v>
      </c>
      <c r="B344" s="3">
        <v>17012</v>
      </c>
      <c r="C344" s="4" t="s">
        <v>621</v>
      </c>
      <c r="D344" s="62" t="e">
        <v>#N/A</v>
      </c>
      <c r="E344" s="55" t="e">
        <v>#N/A</v>
      </c>
      <c r="F344" s="55" t="e">
        <v>#N/A</v>
      </c>
      <c r="G344" s="55" t="e">
        <v>#N/A</v>
      </c>
      <c r="H344" s="55" t="e">
        <v>#N/A</v>
      </c>
      <c r="I344" s="55" t="e">
        <v>#N/A</v>
      </c>
      <c r="J344" s="55" t="e">
        <v>#N/A</v>
      </c>
      <c r="K344" s="55" t="e">
        <v>#N/A</v>
      </c>
    </row>
    <row r="345" spans="1:11" ht="30" hidden="1" x14ac:dyDescent="0.25">
      <c r="A345" s="2" t="s">
        <v>450</v>
      </c>
      <c r="B345" s="3">
        <v>17013</v>
      </c>
      <c r="C345" s="4" t="s">
        <v>622</v>
      </c>
      <c r="D345" s="62" t="e">
        <v>#N/A</v>
      </c>
      <c r="E345" s="55" t="e">
        <v>#N/A</v>
      </c>
      <c r="F345" s="55" t="e">
        <v>#N/A</v>
      </c>
      <c r="G345" s="55" t="e">
        <v>#N/A</v>
      </c>
      <c r="H345" s="55" t="e">
        <v>#N/A</v>
      </c>
      <c r="I345" s="55" t="e">
        <v>#N/A</v>
      </c>
      <c r="J345" s="55" t="e">
        <v>#N/A</v>
      </c>
      <c r="K345" s="55" t="e">
        <v>#N/A</v>
      </c>
    </row>
    <row r="346" spans="1:11" ht="30" hidden="1" x14ac:dyDescent="0.25">
      <c r="A346" s="2" t="s">
        <v>450</v>
      </c>
      <c r="B346" s="3">
        <v>17014</v>
      </c>
      <c r="C346" s="4" t="s">
        <v>623</v>
      </c>
      <c r="D346" s="62" t="e">
        <v>#N/A</v>
      </c>
      <c r="E346" s="55" t="e">
        <v>#N/A</v>
      </c>
      <c r="F346" s="55" t="e">
        <v>#N/A</v>
      </c>
      <c r="G346" s="55" t="e">
        <v>#N/A</v>
      </c>
      <c r="H346" s="55" t="e">
        <v>#N/A</v>
      </c>
      <c r="I346" s="55" t="e">
        <v>#N/A</v>
      </c>
      <c r="J346" s="55" t="e">
        <v>#N/A</v>
      </c>
      <c r="K346" s="55" t="e">
        <v>#N/A</v>
      </c>
    </row>
    <row r="347" spans="1:11" ht="30" hidden="1" x14ac:dyDescent="0.25">
      <c r="A347" s="2" t="s">
        <v>450</v>
      </c>
      <c r="B347" s="3">
        <v>17019</v>
      </c>
      <c r="C347" s="4" t="s">
        <v>624</v>
      </c>
      <c r="D347" s="62" t="e">
        <v>#N/A</v>
      </c>
      <c r="E347" s="55" t="e">
        <v>#N/A</v>
      </c>
      <c r="F347" s="55" t="e">
        <v>#N/A</v>
      </c>
      <c r="G347" s="55" t="e">
        <v>#N/A</v>
      </c>
      <c r="H347" s="55" t="e">
        <v>#N/A</v>
      </c>
      <c r="I347" s="55" t="e">
        <v>#N/A</v>
      </c>
      <c r="J347" s="55" t="e">
        <v>#N/A</v>
      </c>
      <c r="K347" s="55" t="e">
        <v>#N/A</v>
      </c>
    </row>
    <row r="348" spans="1:11" ht="45" hidden="1" x14ac:dyDescent="0.25">
      <c r="A348" s="2" t="s">
        <v>450</v>
      </c>
      <c r="B348" s="3">
        <v>17021</v>
      </c>
      <c r="C348" s="4" t="s">
        <v>625</v>
      </c>
      <c r="D348" s="62" t="e">
        <v>#N/A</v>
      </c>
      <c r="E348" s="55" t="e">
        <v>#N/A</v>
      </c>
      <c r="F348" s="55" t="e">
        <v>#N/A</v>
      </c>
      <c r="G348" s="55" t="e">
        <v>#N/A</v>
      </c>
      <c r="H348" s="55" t="e">
        <v>#N/A</v>
      </c>
      <c r="I348" s="55" t="e">
        <v>#N/A</v>
      </c>
      <c r="J348" s="55" t="e">
        <v>#N/A</v>
      </c>
      <c r="K348" s="55" t="e">
        <v>#N/A</v>
      </c>
    </row>
    <row r="349" spans="1:11" ht="45" hidden="1" x14ac:dyDescent="0.25">
      <c r="A349" s="2" t="s">
        <v>450</v>
      </c>
      <c r="B349" s="3">
        <v>17022</v>
      </c>
      <c r="C349" s="4" t="s">
        <v>626</v>
      </c>
      <c r="D349" s="62" t="e">
        <v>#N/A</v>
      </c>
      <c r="E349" s="55" t="e">
        <v>#N/A</v>
      </c>
      <c r="F349" s="55" t="e">
        <v>#N/A</v>
      </c>
      <c r="G349" s="55" t="e">
        <v>#N/A</v>
      </c>
      <c r="H349" s="55" t="e">
        <v>#N/A</v>
      </c>
      <c r="I349" s="55" t="e">
        <v>#N/A</v>
      </c>
      <c r="J349" s="55" t="e">
        <v>#N/A</v>
      </c>
      <c r="K349" s="55" t="e">
        <v>#N/A</v>
      </c>
    </row>
    <row r="350" spans="1:11" hidden="1" x14ac:dyDescent="0.25">
      <c r="A350" s="2" t="s">
        <v>450</v>
      </c>
      <c r="B350" s="3">
        <v>17091</v>
      </c>
      <c r="C350" s="4" t="s">
        <v>627</v>
      </c>
      <c r="D350" s="62" t="e">
        <v>#N/A</v>
      </c>
      <c r="E350" s="55" t="e">
        <v>#N/A</v>
      </c>
      <c r="F350" s="55" t="e">
        <v>#N/A</v>
      </c>
      <c r="G350" s="55" t="e">
        <v>#N/A</v>
      </c>
      <c r="H350" s="55" t="e">
        <v>#N/A</v>
      </c>
      <c r="I350" s="55" t="e">
        <v>#N/A</v>
      </c>
      <c r="J350" s="55" t="e">
        <v>#N/A</v>
      </c>
      <c r="K350" s="55" t="e">
        <v>#N/A</v>
      </c>
    </row>
    <row r="351" spans="1:11" ht="60" hidden="1" x14ac:dyDescent="0.25">
      <c r="A351" s="2" t="s">
        <v>450</v>
      </c>
      <c r="B351" s="3">
        <v>17099</v>
      </c>
      <c r="C351" s="4" t="s">
        <v>628</v>
      </c>
      <c r="D351" s="62" t="e">
        <v>#N/A</v>
      </c>
      <c r="E351" s="55" t="e">
        <v>#N/A</v>
      </c>
      <c r="F351" s="55" t="e">
        <v>#N/A</v>
      </c>
      <c r="G351" s="55" t="e">
        <v>#N/A</v>
      </c>
      <c r="H351" s="55" t="e">
        <v>#N/A</v>
      </c>
      <c r="I351" s="55" t="e">
        <v>#N/A</v>
      </c>
      <c r="J351" s="55" t="e">
        <v>#N/A</v>
      </c>
      <c r="K351" s="55" t="e">
        <v>#N/A</v>
      </c>
    </row>
    <row r="352" spans="1:11" hidden="1" x14ac:dyDescent="0.25">
      <c r="A352" s="2" t="s">
        <v>450</v>
      </c>
      <c r="B352" s="3">
        <v>18111</v>
      </c>
      <c r="C352" s="4" t="s">
        <v>629</v>
      </c>
      <c r="D352" s="62" t="e">
        <v>#N/A</v>
      </c>
      <c r="E352" s="55" t="e">
        <v>#N/A</v>
      </c>
      <c r="F352" s="55" t="e">
        <v>#N/A</v>
      </c>
      <c r="G352" s="55" t="e">
        <v>#N/A</v>
      </c>
      <c r="H352" s="55" t="e">
        <v>#N/A</v>
      </c>
      <c r="I352" s="55" t="e">
        <v>#N/A</v>
      </c>
      <c r="J352" s="55" t="e">
        <v>#N/A</v>
      </c>
      <c r="K352" s="55" t="e">
        <v>#N/A</v>
      </c>
    </row>
    <row r="353" spans="1:11" hidden="1" x14ac:dyDescent="0.25">
      <c r="A353" s="2" t="s">
        <v>450</v>
      </c>
      <c r="B353" s="3">
        <v>18112</v>
      </c>
      <c r="C353" s="4" t="s">
        <v>630</v>
      </c>
      <c r="D353" s="62" t="e">
        <v>#N/A</v>
      </c>
      <c r="E353" s="55" t="e">
        <v>#N/A</v>
      </c>
      <c r="F353" s="55" t="e">
        <v>#N/A</v>
      </c>
      <c r="G353" s="55" t="e">
        <v>#N/A</v>
      </c>
      <c r="H353" s="55" t="e">
        <v>#N/A</v>
      </c>
      <c r="I353" s="55" t="e">
        <v>#N/A</v>
      </c>
      <c r="J353" s="55" t="e">
        <v>#N/A</v>
      </c>
      <c r="K353" s="55" t="e">
        <v>#N/A</v>
      </c>
    </row>
    <row r="354" spans="1:11" ht="30" hidden="1" x14ac:dyDescent="0.25">
      <c r="A354" s="2" t="s">
        <v>450</v>
      </c>
      <c r="B354" s="3">
        <v>18113</v>
      </c>
      <c r="C354" s="4" t="s">
        <v>631</v>
      </c>
      <c r="D354" s="62" t="e">
        <v>#N/A</v>
      </c>
      <c r="E354" s="55" t="e">
        <v>#N/A</v>
      </c>
      <c r="F354" s="55" t="e">
        <v>#N/A</v>
      </c>
      <c r="G354" s="55" t="e">
        <v>#N/A</v>
      </c>
      <c r="H354" s="55" t="e">
        <v>#N/A</v>
      </c>
      <c r="I354" s="55" t="e">
        <v>#N/A</v>
      </c>
      <c r="J354" s="55" t="e">
        <v>#N/A</v>
      </c>
      <c r="K354" s="55" t="e">
        <v>#N/A</v>
      </c>
    </row>
    <row r="355" spans="1:11" ht="45" hidden="1" x14ac:dyDescent="0.25">
      <c r="A355" s="2" t="s">
        <v>450</v>
      </c>
      <c r="B355" s="3">
        <v>18120</v>
      </c>
      <c r="C355" s="4" t="s">
        <v>632</v>
      </c>
      <c r="D355" s="62" t="e">
        <v>#N/A</v>
      </c>
      <c r="E355" s="55" t="e">
        <v>#N/A</v>
      </c>
      <c r="F355" s="55" t="e">
        <v>#N/A</v>
      </c>
      <c r="G355" s="55" t="e">
        <v>#N/A</v>
      </c>
      <c r="H355" s="55" t="e">
        <v>#N/A</v>
      </c>
      <c r="I355" s="55" t="e">
        <v>#N/A</v>
      </c>
      <c r="J355" s="55" t="e">
        <v>#N/A</v>
      </c>
      <c r="K355" s="55" t="e">
        <v>#N/A</v>
      </c>
    </row>
    <row r="356" spans="1:11" ht="60" hidden="1" x14ac:dyDescent="0.25">
      <c r="A356" s="2" t="s">
        <v>450</v>
      </c>
      <c r="B356" s="3">
        <v>18201</v>
      </c>
      <c r="C356" s="4" t="s">
        <v>633</v>
      </c>
      <c r="D356" s="62" t="e">
        <v>#N/A</v>
      </c>
      <c r="E356" s="55" t="e">
        <v>#N/A</v>
      </c>
      <c r="F356" s="55" t="e">
        <v>#N/A</v>
      </c>
      <c r="G356" s="55" t="e">
        <v>#N/A</v>
      </c>
      <c r="H356" s="55" t="e">
        <v>#N/A</v>
      </c>
      <c r="I356" s="55" t="e">
        <v>#N/A</v>
      </c>
      <c r="J356" s="55" t="e">
        <v>#N/A</v>
      </c>
      <c r="K356" s="55" t="e">
        <v>#N/A</v>
      </c>
    </row>
    <row r="357" spans="1:11" ht="45" hidden="1" x14ac:dyDescent="0.25">
      <c r="A357" s="2" t="s">
        <v>450</v>
      </c>
      <c r="B357" s="3">
        <v>18202</v>
      </c>
      <c r="C357" s="4" t="s">
        <v>634</v>
      </c>
      <c r="D357" s="62" t="e">
        <v>#N/A</v>
      </c>
      <c r="E357" s="55" t="e">
        <v>#N/A</v>
      </c>
      <c r="F357" s="55" t="e">
        <v>#N/A</v>
      </c>
      <c r="G357" s="55" t="e">
        <v>#N/A</v>
      </c>
      <c r="H357" s="55" t="e">
        <v>#N/A</v>
      </c>
      <c r="I357" s="55" t="e">
        <v>#N/A</v>
      </c>
      <c r="J357" s="55" t="e">
        <v>#N/A</v>
      </c>
      <c r="K357" s="55" t="e">
        <v>#N/A</v>
      </c>
    </row>
    <row r="358" spans="1:11" ht="30" hidden="1" x14ac:dyDescent="0.25">
      <c r="A358" s="2" t="s">
        <v>450</v>
      </c>
      <c r="B358" s="3">
        <v>19100</v>
      </c>
      <c r="C358" s="4" t="s">
        <v>635</v>
      </c>
      <c r="D358" s="62" t="e">
        <v>#N/A</v>
      </c>
      <c r="E358" s="55" t="e">
        <v>#N/A</v>
      </c>
      <c r="F358" s="55" t="e">
        <v>#N/A</v>
      </c>
      <c r="G358" s="55" t="e">
        <v>#N/A</v>
      </c>
      <c r="H358" s="55" t="e">
        <v>#N/A</v>
      </c>
      <c r="I358" s="55" t="e">
        <v>#N/A</v>
      </c>
      <c r="J358" s="55" t="e">
        <v>#N/A</v>
      </c>
      <c r="K358" s="55" t="e">
        <v>#N/A</v>
      </c>
    </row>
    <row r="359" spans="1:11" ht="75" hidden="1" x14ac:dyDescent="0.25">
      <c r="A359" s="2" t="s">
        <v>450</v>
      </c>
      <c r="B359" s="3">
        <v>19201</v>
      </c>
      <c r="C359" s="4" t="s">
        <v>636</v>
      </c>
      <c r="D359" s="62" t="e">
        <v>#N/A</v>
      </c>
      <c r="E359" s="55" t="e">
        <v>#N/A</v>
      </c>
      <c r="F359" s="55" t="e">
        <v>#N/A</v>
      </c>
      <c r="G359" s="55" t="e">
        <v>#N/A</v>
      </c>
      <c r="H359" s="55" t="e">
        <v>#N/A</v>
      </c>
      <c r="I359" s="55" t="e">
        <v>#N/A</v>
      </c>
      <c r="J359" s="55" t="e">
        <v>#N/A</v>
      </c>
      <c r="K359" s="55" t="e">
        <v>#N/A</v>
      </c>
    </row>
    <row r="360" spans="1:11" ht="30" hidden="1" x14ac:dyDescent="0.25">
      <c r="A360" s="2" t="s">
        <v>450</v>
      </c>
      <c r="B360" s="3">
        <v>19202</v>
      </c>
      <c r="C360" s="4" t="s">
        <v>637</v>
      </c>
      <c r="D360" s="62" t="e">
        <v>#N/A</v>
      </c>
      <c r="E360" s="55" t="e">
        <v>#N/A</v>
      </c>
      <c r="F360" s="55" t="e">
        <v>#N/A</v>
      </c>
      <c r="G360" s="55" t="e">
        <v>#N/A</v>
      </c>
      <c r="H360" s="55" t="e">
        <v>#N/A</v>
      </c>
      <c r="I360" s="55" t="e">
        <v>#N/A</v>
      </c>
      <c r="J360" s="55" t="e">
        <v>#N/A</v>
      </c>
      <c r="K360" s="55" t="e">
        <v>#N/A</v>
      </c>
    </row>
    <row r="361" spans="1:11" ht="45" hidden="1" x14ac:dyDescent="0.25">
      <c r="A361" s="2" t="s">
        <v>450</v>
      </c>
      <c r="B361" s="3">
        <v>19203</v>
      </c>
      <c r="C361" s="4" t="s">
        <v>638</v>
      </c>
      <c r="D361" s="62" t="e">
        <v>#N/A</v>
      </c>
      <c r="E361" s="55" t="e">
        <v>#N/A</v>
      </c>
      <c r="F361" s="55" t="e">
        <v>#N/A</v>
      </c>
      <c r="G361" s="55" t="e">
        <v>#N/A</v>
      </c>
      <c r="H361" s="55" t="e">
        <v>#N/A</v>
      </c>
      <c r="I361" s="55" t="e">
        <v>#N/A</v>
      </c>
      <c r="J361" s="55" t="e">
        <v>#N/A</v>
      </c>
      <c r="K361" s="55" t="e">
        <v>#N/A</v>
      </c>
    </row>
    <row r="362" spans="1:11" ht="60" hidden="1" x14ac:dyDescent="0.25">
      <c r="A362" s="2" t="s">
        <v>450</v>
      </c>
      <c r="B362" s="3">
        <v>19204</v>
      </c>
      <c r="C362" s="4" t="s">
        <v>639</v>
      </c>
      <c r="D362" s="62" t="e">
        <v>#N/A</v>
      </c>
      <c r="E362" s="55" t="e">
        <v>#N/A</v>
      </c>
      <c r="F362" s="55" t="e">
        <v>#N/A</v>
      </c>
      <c r="G362" s="55" t="e">
        <v>#N/A</v>
      </c>
      <c r="H362" s="55" t="e">
        <v>#N/A</v>
      </c>
      <c r="I362" s="55" t="e">
        <v>#N/A</v>
      </c>
      <c r="J362" s="55" t="e">
        <v>#N/A</v>
      </c>
      <c r="K362" s="55" t="e">
        <v>#N/A</v>
      </c>
    </row>
    <row r="363" spans="1:11" hidden="1" x14ac:dyDescent="0.25">
      <c r="A363" s="2" t="s">
        <v>450</v>
      </c>
      <c r="B363" s="3">
        <v>19205</v>
      </c>
      <c r="C363" s="4" t="s">
        <v>640</v>
      </c>
      <c r="D363" s="62" t="e">
        <v>#N/A</v>
      </c>
      <c r="E363" s="55" t="e">
        <v>#N/A</v>
      </c>
      <c r="F363" s="55" t="e">
        <v>#N/A</v>
      </c>
      <c r="G363" s="55" t="e">
        <v>#N/A</v>
      </c>
      <c r="H363" s="55" t="e">
        <v>#N/A</v>
      </c>
      <c r="I363" s="55" t="e">
        <v>#N/A</v>
      </c>
      <c r="J363" s="55" t="e">
        <v>#N/A</v>
      </c>
      <c r="K363" s="55" t="e">
        <v>#N/A</v>
      </c>
    </row>
    <row r="364" spans="1:11" ht="60" hidden="1" x14ac:dyDescent="0.25">
      <c r="A364" s="2" t="s">
        <v>450</v>
      </c>
      <c r="B364" s="3">
        <v>19206</v>
      </c>
      <c r="C364" s="4" t="s">
        <v>641</v>
      </c>
      <c r="D364" s="62" t="e">
        <v>#N/A</v>
      </c>
      <c r="E364" s="55" t="e">
        <v>#N/A</v>
      </c>
      <c r="F364" s="55" t="e">
        <v>#N/A</v>
      </c>
      <c r="G364" s="55" t="e">
        <v>#N/A</v>
      </c>
      <c r="H364" s="55" t="e">
        <v>#N/A</v>
      </c>
      <c r="I364" s="55" t="e">
        <v>#N/A</v>
      </c>
      <c r="J364" s="55" t="e">
        <v>#N/A</v>
      </c>
      <c r="K364" s="55" t="e">
        <v>#N/A</v>
      </c>
    </row>
    <row r="365" spans="1:11" ht="45" hidden="1" x14ac:dyDescent="0.25">
      <c r="A365" s="2" t="s">
        <v>450</v>
      </c>
      <c r="B365" s="3">
        <v>19209</v>
      </c>
      <c r="C365" s="4" t="s">
        <v>642</v>
      </c>
      <c r="D365" s="62" t="e">
        <v>#N/A</v>
      </c>
      <c r="E365" s="55" t="e">
        <v>#N/A</v>
      </c>
      <c r="F365" s="55" t="e">
        <v>#N/A</v>
      </c>
      <c r="G365" s="55" t="e">
        <v>#N/A</v>
      </c>
      <c r="H365" s="55" t="e">
        <v>#N/A</v>
      </c>
      <c r="I365" s="55" t="e">
        <v>#N/A</v>
      </c>
      <c r="J365" s="55" t="e">
        <v>#N/A</v>
      </c>
      <c r="K365" s="55" t="e">
        <v>#N/A</v>
      </c>
    </row>
    <row r="366" spans="1:11" ht="45" hidden="1" x14ac:dyDescent="0.25">
      <c r="A366" s="2" t="s">
        <v>450</v>
      </c>
      <c r="B366" s="3">
        <v>20111</v>
      </c>
      <c r="C366" s="4" t="s">
        <v>643</v>
      </c>
      <c r="D366" s="62" t="e">
        <v>#N/A</v>
      </c>
      <c r="E366" s="55" t="e">
        <v>#N/A</v>
      </c>
      <c r="F366" s="55" t="e">
        <v>#N/A</v>
      </c>
      <c r="G366" s="55" t="e">
        <v>#N/A</v>
      </c>
      <c r="H366" s="55" t="e">
        <v>#N/A</v>
      </c>
      <c r="I366" s="55" t="e">
        <v>#N/A</v>
      </c>
      <c r="J366" s="55" t="e">
        <v>#N/A</v>
      </c>
      <c r="K366" s="55" t="e">
        <v>#N/A</v>
      </c>
    </row>
    <row r="367" spans="1:11" ht="30" hidden="1" x14ac:dyDescent="0.25">
      <c r="A367" s="2" t="s">
        <v>450</v>
      </c>
      <c r="B367" s="3">
        <v>20112</v>
      </c>
      <c r="C367" s="4" t="s">
        <v>644</v>
      </c>
      <c r="D367" s="62" t="e">
        <v>#N/A</v>
      </c>
      <c r="E367" s="55" t="e">
        <v>#N/A</v>
      </c>
      <c r="F367" s="55" t="e">
        <v>#N/A</v>
      </c>
      <c r="G367" s="55" t="e">
        <v>#N/A</v>
      </c>
      <c r="H367" s="55" t="e">
        <v>#N/A</v>
      </c>
      <c r="I367" s="55" t="e">
        <v>#N/A</v>
      </c>
      <c r="J367" s="55" t="e">
        <v>#N/A</v>
      </c>
      <c r="K367" s="55" t="e">
        <v>#N/A</v>
      </c>
    </row>
    <row r="368" spans="1:11" ht="45" hidden="1" x14ac:dyDescent="0.25">
      <c r="A368" s="2" t="s">
        <v>450</v>
      </c>
      <c r="B368" s="3">
        <v>20113</v>
      </c>
      <c r="C368" s="4" t="s">
        <v>645</v>
      </c>
      <c r="D368" s="62" t="e">
        <v>#N/A</v>
      </c>
      <c r="E368" s="55" t="e">
        <v>#N/A</v>
      </c>
      <c r="F368" s="55" t="e">
        <v>#N/A</v>
      </c>
      <c r="G368" s="55" t="e">
        <v>#N/A</v>
      </c>
      <c r="H368" s="55" t="e">
        <v>#N/A</v>
      </c>
      <c r="I368" s="55" t="e">
        <v>#N/A</v>
      </c>
      <c r="J368" s="55" t="e">
        <v>#N/A</v>
      </c>
      <c r="K368" s="55" t="e">
        <v>#N/A</v>
      </c>
    </row>
    <row r="369" spans="1:11" ht="30" hidden="1" x14ac:dyDescent="0.25">
      <c r="A369" s="2" t="s">
        <v>450</v>
      </c>
      <c r="B369" s="3">
        <v>20114</v>
      </c>
      <c r="C369" s="4" t="s">
        <v>646</v>
      </c>
      <c r="D369" s="62" t="e">
        <v>#N/A</v>
      </c>
      <c r="E369" s="55" t="e">
        <v>#N/A</v>
      </c>
      <c r="F369" s="55" t="e">
        <v>#N/A</v>
      </c>
      <c r="G369" s="55" t="e">
        <v>#N/A</v>
      </c>
      <c r="H369" s="55" t="e">
        <v>#N/A</v>
      </c>
      <c r="I369" s="55" t="e">
        <v>#N/A</v>
      </c>
      <c r="J369" s="55" t="e">
        <v>#N/A</v>
      </c>
      <c r="K369" s="55" t="e">
        <v>#N/A</v>
      </c>
    </row>
    <row r="370" spans="1:11" ht="60" hidden="1" x14ac:dyDescent="0.25">
      <c r="A370" s="2" t="s">
        <v>450</v>
      </c>
      <c r="B370" s="3">
        <v>20115</v>
      </c>
      <c r="C370" s="4" t="s">
        <v>647</v>
      </c>
      <c r="D370" s="62" t="e">
        <v>#N/A</v>
      </c>
      <c r="E370" s="55" t="e">
        <v>#N/A</v>
      </c>
      <c r="F370" s="55" t="e">
        <v>#N/A</v>
      </c>
      <c r="G370" s="55" t="e">
        <v>#N/A</v>
      </c>
      <c r="H370" s="55" t="e">
        <v>#N/A</v>
      </c>
      <c r="I370" s="55" t="e">
        <v>#N/A</v>
      </c>
      <c r="J370" s="55" t="e">
        <v>#N/A</v>
      </c>
      <c r="K370" s="55" t="e">
        <v>#N/A</v>
      </c>
    </row>
    <row r="371" spans="1:11" ht="60" hidden="1" x14ac:dyDescent="0.25">
      <c r="A371" s="2" t="s">
        <v>450</v>
      </c>
      <c r="B371" s="3">
        <v>20116</v>
      </c>
      <c r="C371" s="4" t="s">
        <v>648</v>
      </c>
      <c r="D371" s="62" t="e">
        <v>#N/A</v>
      </c>
      <c r="E371" s="55" t="e">
        <v>#N/A</v>
      </c>
      <c r="F371" s="55" t="e">
        <v>#N/A</v>
      </c>
      <c r="G371" s="55" t="e">
        <v>#N/A</v>
      </c>
      <c r="H371" s="55" t="e">
        <v>#N/A</v>
      </c>
      <c r="I371" s="55" t="e">
        <v>#N/A</v>
      </c>
      <c r="J371" s="55" t="e">
        <v>#N/A</v>
      </c>
      <c r="K371" s="55" t="e">
        <v>#N/A</v>
      </c>
    </row>
    <row r="372" spans="1:11" ht="45" hidden="1" x14ac:dyDescent="0.25">
      <c r="A372" s="2" t="s">
        <v>450</v>
      </c>
      <c r="B372" s="3">
        <v>20119</v>
      </c>
      <c r="C372" s="4" t="s">
        <v>649</v>
      </c>
      <c r="D372" s="62" t="e">
        <v>#N/A</v>
      </c>
      <c r="E372" s="55" t="e">
        <v>#N/A</v>
      </c>
      <c r="F372" s="55" t="e">
        <v>#N/A</v>
      </c>
      <c r="G372" s="55" t="e">
        <v>#N/A</v>
      </c>
      <c r="H372" s="55" t="e">
        <v>#N/A</v>
      </c>
      <c r="I372" s="55" t="e">
        <v>#N/A</v>
      </c>
      <c r="J372" s="55" t="e">
        <v>#N/A</v>
      </c>
      <c r="K372" s="55" t="e">
        <v>#N/A</v>
      </c>
    </row>
    <row r="373" spans="1:11" ht="60" hidden="1" x14ac:dyDescent="0.25">
      <c r="A373" s="2" t="s">
        <v>450</v>
      </c>
      <c r="B373" s="3">
        <v>20121</v>
      </c>
      <c r="C373" s="4" t="s">
        <v>650</v>
      </c>
      <c r="D373" s="62" t="e">
        <v>#N/A</v>
      </c>
      <c r="E373" s="55" t="e">
        <v>#N/A</v>
      </c>
      <c r="F373" s="55" t="e">
        <v>#N/A</v>
      </c>
      <c r="G373" s="55" t="e">
        <v>#N/A</v>
      </c>
      <c r="H373" s="55" t="e">
        <v>#N/A</v>
      </c>
      <c r="I373" s="55" t="e">
        <v>#N/A</v>
      </c>
      <c r="J373" s="55" t="e">
        <v>#N/A</v>
      </c>
      <c r="K373" s="55" t="e">
        <v>#N/A</v>
      </c>
    </row>
    <row r="374" spans="1:11" ht="45" hidden="1" x14ac:dyDescent="0.25">
      <c r="A374" s="2" t="s">
        <v>450</v>
      </c>
      <c r="B374" s="3">
        <v>20122</v>
      </c>
      <c r="C374" s="4" t="s">
        <v>651</v>
      </c>
      <c r="D374" s="62" t="e">
        <v>#N/A</v>
      </c>
      <c r="E374" s="55" t="e">
        <v>#N/A</v>
      </c>
      <c r="F374" s="55" t="e">
        <v>#N/A</v>
      </c>
      <c r="G374" s="55" t="e">
        <v>#N/A</v>
      </c>
      <c r="H374" s="55" t="e">
        <v>#N/A</v>
      </c>
      <c r="I374" s="55" t="e">
        <v>#N/A</v>
      </c>
      <c r="J374" s="55" t="e">
        <v>#N/A</v>
      </c>
      <c r="K374" s="55" t="e">
        <v>#N/A</v>
      </c>
    </row>
    <row r="375" spans="1:11" ht="30" hidden="1" x14ac:dyDescent="0.25">
      <c r="A375" s="2" t="s">
        <v>450</v>
      </c>
      <c r="B375" s="3">
        <v>20123</v>
      </c>
      <c r="C375" s="4" t="s">
        <v>652</v>
      </c>
      <c r="D375" s="62" t="e">
        <v>#N/A</v>
      </c>
      <c r="E375" s="55" t="e">
        <v>#N/A</v>
      </c>
      <c r="F375" s="55" t="e">
        <v>#N/A</v>
      </c>
      <c r="G375" s="55" t="e">
        <v>#N/A</v>
      </c>
      <c r="H375" s="55" t="e">
        <v>#N/A</v>
      </c>
      <c r="I375" s="55" t="e">
        <v>#N/A</v>
      </c>
      <c r="J375" s="55" t="e">
        <v>#N/A</v>
      </c>
      <c r="K375" s="55" t="e">
        <v>#N/A</v>
      </c>
    </row>
    <row r="376" spans="1:11" ht="60" hidden="1" x14ac:dyDescent="0.25">
      <c r="A376" s="2" t="s">
        <v>450</v>
      </c>
      <c r="B376" s="3">
        <v>20124</v>
      </c>
      <c r="C376" s="4" t="s">
        <v>653</v>
      </c>
      <c r="D376" s="62" t="e">
        <v>#N/A</v>
      </c>
      <c r="E376" s="55" t="e">
        <v>#N/A</v>
      </c>
      <c r="F376" s="55" t="e">
        <v>#N/A</v>
      </c>
      <c r="G376" s="55" t="e">
        <v>#N/A</v>
      </c>
      <c r="H376" s="55" t="e">
        <v>#N/A</v>
      </c>
      <c r="I376" s="55" t="e">
        <v>#N/A</v>
      </c>
      <c r="J376" s="55" t="e">
        <v>#N/A</v>
      </c>
      <c r="K376" s="55" t="e">
        <v>#N/A</v>
      </c>
    </row>
    <row r="377" spans="1:11" ht="30" hidden="1" x14ac:dyDescent="0.25">
      <c r="A377" s="2" t="s">
        <v>450</v>
      </c>
      <c r="B377" s="3">
        <v>20125</v>
      </c>
      <c r="C377" s="4" t="s">
        <v>654</v>
      </c>
      <c r="D377" s="62" t="e">
        <v>#N/A</v>
      </c>
      <c r="E377" s="55" t="e">
        <v>#N/A</v>
      </c>
      <c r="F377" s="55" t="e">
        <v>#N/A</v>
      </c>
      <c r="G377" s="55" t="e">
        <v>#N/A</v>
      </c>
      <c r="H377" s="55" t="e">
        <v>#N/A</v>
      </c>
      <c r="I377" s="55" t="e">
        <v>#N/A</v>
      </c>
      <c r="J377" s="55" t="e">
        <v>#N/A</v>
      </c>
      <c r="K377" s="55" t="e">
        <v>#N/A</v>
      </c>
    </row>
    <row r="378" spans="1:11" ht="60" hidden="1" x14ac:dyDescent="0.25">
      <c r="A378" s="2" t="s">
        <v>450</v>
      </c>
      <c r="B378" s="3">
        <v>20131</v>
      </c>
      <c r="C378" s="4" t="s">
        <v>655</v>
      </c>
      <c r="D378" s="62" t="e">
        <v>#N/A</v>
      </c>
      <c r="E378" s="55" t="e">
        <v>#N/A</v>
      </c>
      <c r="F378" s="55" t="e">
        <v>#N/A</v>
      </c>
      <c r="G378" s="55" t="e">
        <v>#N/A</v>
      </c>
      <c r="H378" s="55" t="e">
        <v>#N/A</v>
      </c>
      <c r="I378" s="55" t="e">
        <v>#N/A</v>
      </c>
      <c r="J378" s="55" t="e">
        <v>#N/A</v>
      </c>
      <c r="K378" s="55" t="e">
        <v>#N/A</v>
      </c>
    </row>
    <row r="379" spans="1:11" ht="30" hidden="1" x14ac:dyDescent="0.25">
      <c r="A379" s="2" t="s">
        <v>450</v>
      </c>
      <c r="B379" s="3">
        <v>20132</v>
      </c>
      <c r="C379" s="4" t="s">
        <v>656</v>
      </c>
      <c r="D379" s="62" t="e">
        <v>#N/A</v>
      </c>
      <c r="E379" s="55" t="e">
        <v>#N/A</v>
      </c>
      <c r="F379" s="55" t="e">
        <v>#N/A</v>
      </c>
      <c r="G379" s="55" t="e">
        <v>#N/A</v>
      </c>
      <c r="H379" s="55" t="e">
        <v>#N/A</v>
      </c>
      <c r="I379" s="55" t="e">
        <v>#N/A</v>
      </c>
      <c r="J379" s="55" t="e">
        <v>#N/A</v>
      </c>
      <c r="K379" s="55" t="e">
        <v>#N/A</v>
      </c>
    </row>
    <row r="380" spans="1:11" ht="45" hidden="1" x14ac:dyDescent="0.25">
      <c r="A380" s="2" t="s">
        <v>450</v>
      </c>
      <c r="B380" s="3">
        <v>20211</v>
      </c>
      <c r="C380" s="4" t="s">
        <v>657</v>
      </c>
      <c r="D380" s="62" t="e">
        <v>#N/A</v>
      </c>
      <c r="E380" s="55" t="e">
        <v>#N/A</v>
      </c>
      <c r="F380" s="55" t="e">
        <v>#N/A</v>
      </c>
      <c r="G380" s="55" t="e">
        <v>#N/A</v>
      </c>
      <c r="H380" s="55" t="e">
        <v>#N/A</v>
      </c>
      <c r="I380" s="55" t="e">
        <v>#N/A</v>
      </c>
      <c r="J380" s="55" t="e">
        <v>#N/A</v>
      </c>
      <c r="K380" s="55" t="e">
        <v>#N/A</v>
      </c>
    </row>
    <row r="381" spans="1:11" ht="45" hidden="1" x14ac:dyDescent="0.25">
      <c r="A381" s="2" t="s">
        <v>450</v>
      </c>
      <c r="B381" s="3">
        <v>20212</v>
      </c>
      <c r="C381" s="4" t="s">
        <v>658</v>
      </c>
      <c r="D381" s="62" t="e">
        <v>#N/A</v>
      </c>
      <c r="E381" s="55" t="e">
        <v>#N/A</v>
      </c>
      <c r="F381" s="55" t="e">
        <v>#N/A</v>
      </c>
      <c r="G381" s="55" t="e">
        <v>#N/A</v>
      </c>
      <c r="H381" s="55" t="e">
        <v>#N/A</v>
      </c>
      <c r="I381" s="55" t="e">
        <v>#N/A</v>
      </c>
      <c r="J381" s="55" t="e">
        <v>#N/A</v>
      </c>
      <c r="K381" s="55" t="e">
        <v>#N/A</v>
      </c>
    </row>
    <row r="382" spans="1:11" ht="30" hidden="1" x14ac:dyDescent="0.25">
      <c r="A382" s="2" t="s">
        <v>450</v>
      </c>
      <c r="B382" s="3">
        <v>20213</v>
      </c>
      <c r="C382" s="4" t="s">
        <v>659</v>
      </c>
      <c r="D382" s="62" t="e">
        <v>#N/A</v>
      </c>
      <c r="E382" s="55" t="e">
        <v>#N/A</v>
      </c>
      <c r="F382" s="55" t="e">
        <v>#N/A</v>
      </c>
      <c r="G382" s="55" t="e">
        <v>#N/A</v>
      </c>
      <c r="H382" s="55" t="e">
        <v>#N/A</v>
      </c>
      <c r="I382" s="55" t="e">
        <v>#N/A</v>
      </c>
      <c r="J382" s="55" t="e">
        <v>#N/A</v>
      </c>
      <c r="K382" s="55" t="e">
        <v>#N/A</v>
      </c>
    </row>
    <row r="383" spans="1:11" hidden="1" x14ac:dyDescent="0.25">
      <c r="A383" s="2" t="s">
        <v>450</v>
      </c>
      <c r="B383" s="3">
        <v>20221</v>
      </c>
      <c r="C383" s="4" t="s">
        <v>660</v>
      </c>
      <c r="D383" s="62" t="e">
        <v>#N/A</v>
      </c>
      <c r="E383" s="55" t="e">
        <v>#N/A</v>
      </c>
      <c r="F383" s="55" t="e">
        <v>#N/A</v>
      </c>
      <c r="G383" s="55" t="e">
        <v>#N/A</v>
      </c>
      <c r="H383" s="55" t="e">
        <v>#N/A</v>
      </c>
      <c r="I383" s="55" t="e">
        <v>#N/A</v>
      </c>
      <c r="J383" s="55" t="e">
        <v>#N/A</v>
      </c>
      <c r="K383" s="55" t="e">
        <v>#N/A</v>
      </c>
    </row>
    <row r="384" spans="1:11" hidden="1" x14ac:dyDescent="0.25">
      <c r="A384" s="2" t="s">
        <v>450</v>
      </c>
      <c r="B384" s="3">
        <v>20222</v>
      </c>
      <c r="C384" s="4" t="s">
        <v>661</v>
      </c>
      <c r="D384" s="62" t="e">
        <v>#N/A</v>
      </c>
      <c r="E384" s="55" t="e">
        <v>#N/A</v>
      </c>
      <c r="F384" s="55" t="e">
        <v>#N/A</v>
      </c>
      <c r="G384" s="55" t="e">
        <v>#N/A</v>
      </c>
      <c r="H384" s="55" t="e">
        <v>#N/A</v>
      </c>
      <c r="I384" s="55" t="e">
        <v>#N/A</v>
      </c>
      <c r="J384" s="55" t="e">
        <v>#N/A</v>
      </c>
      <c r="K384" s="55" t="e">
        <v>#N/A</v>
      </c>
    </row>
    <row r="385" spans="1:11" hidden="1" x14ac:dyDescent="0.25">
      <c r="A385" s="2" t="s">
        <v>450</v>
      </c>
      <c r="B385" s="3">
        <v>20223</v>
      </c>
      <c r="C385" s="4" t="s">
        <v>662</v>
      </c>
      <c r="D385" s="62" t="e">
        <v>#N/A</v>
      </c>
      <c r="E385" s="55" t="e">
        <v>#N/A</v>
      </c>
      <c r="F385" s="55" t="e">
        <v>#N/A</v>
      </c>
      <c r="G385" s="55" t="e">
        <v>#N/A</v>
      </c>
      <c r="H385" s="55" t="e">
        <v>#N/A</v>
      </c>
      <c r="I385" s="55" t="e">
        <v>#N/A</v>
      </c>
      <c r="J385" s="55" t="e">
        <v>#N/A</v>
      </c>
      <c r="K385" s="55" t="e">
        <v>#N/A</v>
      </c>
    </row>
    <row r="386" spans="1:11" ht="45" hidden="1" x14ac:dyDescent="0.25">
      <c r="A386" s="2" t="s">
        <v>450</v>
      </c>
      <c r="B386" s="3">
        <v>20229</v>
      </c>
      <c r="C386" s="4" t="s">
        <v>663</v>
      </c>
      <c r="D386" s="62" t="e">
        <v>#N/A</v>
      </c>
      <c r="E386" s="55" t="e">
        <v>#N/A</v>
      </c>
      <c r="F386" s="55" t="e">
        <v>#N/A</v>
      </c>
      <c r="G386" s="55" t="e">
        <v>#N/A</v>
      </c>
      <c r="H386" s="55" t="e">
        <v>#N/A</v>
      </c>
      <c r="I386" s="55" t="e">
        <v>#N/A</v>
      </c>
      <c r="J386" s="55" t="e">
        <v>#N/A</v>
      </c>
      <c r="K386" s="55" t="e">
        <v>#N/A</v>
      </c>
    </row>
    <row r="387" spans="1:11" ht="30" hidden="1" x14ac:dyDescent="0.25">
      <c r="A387" s="2" t="s">
        <v>450</v>
      </c>
      <c r="B387" s="3">
        <v>20231</v>
      </c>
      <c r="C387" s="4" t="s">
        <v>664</v>
      </c>
      <c r="D387" s="62" t="e">
        <v>#N/A</v>
      </c>
      <c r="E387" s="55" t="e">
        <v>#N/A</v>
      </c>
      <c r="F387" s="55" t="e">
        <v>#N/A</v>
      </c>
      <c r="G387" s="55" t="e">
        <v>#N/A</v>
      </c>
      <c r="H387" s="55" t="e">
        <v>#N/A</v>
      </c>
      <c r="I387" s="55" t="e">
        <v>#N/A</v>
      </c>
      <c r="J387" s="55" t="e">
        <v>#N/A</v>
      </c>
      <c r="K387" s="55" t="e">
        <v>#N/A</v>
      </c>
    </row>
    <row r="388" spans="1:11" ht="60" hidden="1" x14ac:dyDescent="0.25">
      <c r="A388" s="2" t="s">
        <v>450</v>
      </c>
      <c r="B388" s="3">
        <v>20232</v>
      </c>
      <c r="C388" s="4" t="s">
        <v>665</v>
      </c>
      <c r="D388" s="62" t="e">
        <v>#N/A</v>
      </c>
      <c r="E388" s="55" t="e">
        <v>#N/A</v>
      </c>
      <c r="F388" s="55" t="e">
        <v>#N/A</v>
      </c>
      <c r="G388" s="55" t="e">
        <v>#N/A</v>
      </c>
      <c r="H388" s="55" t="e">
        <v>#N/A</v>
      </c>
      <c r="I388" s="55" t="e">
        <v>#N/A</v>
      </c>
      <c r="J388" s="55" t="e">
        <v>#N/A</v>
      </c>
      <c r="K388" s="55" t="e">
        <v>#N/A</v>
      </c>
    </row>
    <row r="389" spans="1:11" ht="30" hidden="1" x14ac:dyDescent="0.25">
      <c r="A389" s="2" t="s">
        <v>450</v>
      </c>
      <c r="B389" s="3">
        <v>20233</v>
      </c>
      <c r="C389" s="4" t="s">
        <v>666</v>
      </c>
      <c r="D389" s="62" t="e">
        <v>#N/A</v>
      </c>
      <c r="E389" s="55" t="e">
        <v>#N/A</v>
      </c>
      <c r="F389" s="55" t="e">
        <v>#N/A</v>
      </c>
      <c r="G389" s="55" t="e">
        <v>#N/A</v>
      </c>
      <c r="H389" s="55" t="e">
        <v>#N/A</v>
      </c>
      <c r="I389" s="55" t="e">
        <v>#N/A</v>
      </c>
      <c r="J389" s="55" t="e">
        <v>#N/A</v>
      </c>
      <c r="K389" s="55" t="e">
        <v>#N/A</v>
      </c>
    </row>
    <row r="390" spans="1:11" ht="30" hidden="1" x14ac:dyDescent="0.25">
      <c r="A390" s="2" t="s">
        <v>450</v>
      </c>
      <c r="B390" s="3">
        <v>20234</v>
      </c>
      <c r="C390" s="4" t="s">
        <v>667</v>
      </c>
      <c r="D390" s="62" t="e">
        <v>#N/A</v>
      </c>
      <c r="E390" s="55" t="e">
        <v>#N/A</v>
      </c>
      <c r="F390" s="55" t="e">
        <v>#N/A</v>
      </c>
      <c r="G390" s="55" t="e">
        <v>#N/A</v>
      </c>
      <c r="H390" s="55" t="e">
        <v>#N/A</v>
      </c>
      <c r="I390" s="55" t="e">
        <v>#N/A</v>
      </c>
      <c r="J390" s="55" t="e">
        <v>#N/A</v>
      </c>
      <c r="K390" s="55" t="e">
        <v>#N/A</v>
      </c>
    </row>
    <row r="391" spans="1:11" ht="30" hidden="1" x14ac:dyDescent="0.25">
      <c r="A391" s="2" t="s">
        <v>450</v>
      </c>
      <c r="B391" s="3">
        <v>20235</v>
      </c>
      <c r="C391" s="4" t="s">
        <v>668</v>
      </c>
      <c r="D391" s="62" t="e">
        <v>#N/A</v>
      </c>
      <c r="E391" s="55" t="e">
        <v>#N/A</v>
      </c>
      <c r="F391" s="55" t="e">
        <v>#N/A</v>
      </c>
      <c r="G391" s="55" t="e">
        <v>#N/A</v>
      </c>
      <c r="H391" s="55" t="e">
        <v>#N/A</v>
      </c>
      <c r="I391" s="55" t="e">
        <v>#N/A</v>
      </c>
      <c r="J391" s="55" t="e">
        <v>#N/A</v>
      </c>
      <c r="K391" s="55" t="e">
        <v>#N/A</v>
      </c>
    </row>
    <row r="392" spans="1:11" ht="30" hidden="1" x14ac:dyDescent="0.25">
      <c r="A392" s="2" t="s">
        <v>450</v>
      </c>
      <c r="B392" s="3">
        <v>20291</v>
      </c>
      <c r="C392" s="4" t="s">
        <v>669</v>
      </c>
      <c r="D392" s="62" t="e">
        <v>#N/A</v>
      </c>
      <c r="E392" s="55" t="e">
        <v>#N/A</v>
      </c>
      <c r="F392" s="55" t="e">
        <v>#N/A</v>
      </c>
      <c r="G392" s="55" t="e">
        <v>#N/A</v>
      </c>
      <c r="H392" s="55" t="e">
        <v>#N/A</v>
      </c>
      <c r="I392" s="55" t="e">
        <v>#N/A</v>
      </c>
      <c r="J392" s="55" t="e">
        <v>#N/A</v>
      </c>
      <c r="K392" s="55" t="e">
        <v>#N/A</v>
      </c>
    </row>
    <row r="393" spans="1:11" ht="30" hidden="1" x14ac:dyDescent="0.25">
      <c r="A393" s="2" t="s">
        <v>450</v>
      </c>
      <c r="B393" s="3">
        <v>20292</v>
      </c>
      <c r="C393" s="4" t="s">
        <v>670</v>
      </c>
      <c r="D393" s="62" t="e">
        <v>#N/A</v>
      </c>
      <c r="E393" s="55" t="e">
        <v>#N/A</v>
      </c>
      <c r="F393" s="55" t="e">
        <v>#N/A</v>
      </c>
      <c r="G393" s="55" t="e">
        <v>#N/A</v>
      </c>
      <c r="H393" s="55" t="e">
        <v>#N/A</v>
      </c>
      <c r="I393" s="55" t="e">
        <v>#N/A</v>
      </c>
      <c r="J393" s="55" t="e">
        <v>#N/A</v>
      </c>
      <c r="K393" s="55" t="e">
        <v>#N/A</v>
      </c>
    </row>
    <row r="394" spans="1:11" hidden="1" x14ac:dyDescent="0.25">
      <c r="A394" s="2" t="s">
        <v>450</v>
      </c>
      <c r="B394" s="3">
        <v>20293</v>
      </c>
      <c r="C394" s="4" t="s">
        <v>671</v>
      </c>
      <c r="D394" s="62" t="e">
        <v>#N/A</v>
      </c>
      <c r="E394" s="55" t="e">
        <v>#N/A</v>
      </c>
      <c r="F394" s="55" t="e">
        <v>#N/A</v>
      </c>
      <c r="G394" s="55" t="e">
        <v>#N/A</v>
      </c>
      <c r="H394" s="55" t="e">
        <v>#N/A</v>
      </c>
      <c r="I394" s="55" t="e">
        <v>#N/A</v>
      </c>
      <c r="J394" s="55" t="e">
        <v>#N/A</v>
      </c>
      <c r="K394" s="55" t="e">
        <v>#N/A</v>
      </c>
    </row>
    <row r="395" spans="1:11" ht="30" hidden="1" x14ac:dyDescent="0.25">
      <c r="A395" s="2" t="s">
        <v>450</v>
      </c>
      <c r="B395" s="3">
        <v>20294</v>
      </c>
      <c r="C395" s="4" t="s">
        <v>672</v>
      </c>
      <c r="D395" s="62" t="e">
        <v>#N/A</v>
      </c>
      <c r="E395" s="55" t="e">
        <v>#N/A</v>
      </c>
      <c r="F395" s="55" t="e">
        <v>#N/A</v>
      </c>
      <c r="G395" s="55" t="e">
        <v>#N/A</v>
      </c>
      <c r="H395" s="55" t="e">
        <v>#N/A</v>
      </c>
      <c r="I395" s="55" t="e">
        <v>#N/A</v>
      </c>
      <c r="J395" s="55" t="e">
        <v>#N/A</v>
      </c>
      <c r="K395" s="55" t="e">
        <v>#N/A</v>
      </c>
    </row>
    <row r="396" spans="1:11" hidden="1" x14ac:dyDescent="0.25">
      <c r="A396" s="2" t="s">
        <v>450</v>
      </c>
      <c r="B396" s="3">
        <v>20295</v>
      </c>
      <c r="C396" s="4" t="s">
        <v>673</v>
      </c>
      <c r="D396" s="62" t="e">
        <v>#N/A</v>
      </c>
      <c r="E396" s="55" t="e">
        <v>#N/A</v>
      </c>
      <c r="F396" s="55" t="e">
        <v>#N/A</v>
      </c>
      <c r="G396" s="55" t="e">
        <v>#N/A</v>
      </c>
      <c r="H396" s="55" t="e">
        <v>#N/A</v>
      </c>
      <c r="I396" s="55" t="e">
        <v>#N/A</v>
      </c>
      <c r="J396" s="55" t="e">
        <v>#N/A</v>
      </c>
      <c r="K396" s="55" t="e">
        <v>#N/A</v>
      </c>
    </row>
    <row r="397" spans="1:11" ht="30" hidden="1" x14ac:dyDescent="0.25">
      <c r="A397" s="2" t="s">
        <v>450</v>
      </c>
      <c r="B397" s="3">
        <v>20296</v>
      </c>
      <c r="C397" s="4" t="s">
        <v>674</v>
      </c>
      <c r="D397" s="62" t="e">
        <v>#N/A</v>
      </c>
      <c r="E397" s="55" t="e">
        <v>#N/A</v>
      </c>
      <c r="F397" s="55" t="e">
        <v>#N/A</v>
      </c>
      <c r="G397" s="55" t="e">
        <v>#N/A</v>
      </c>
      <c r="H397" s="55" t="e">
        <v>#N/A</v>
      </c>
      <c r="I397" s="55" t="e">
        <v>#N/A</v>
      </c>
      <c r="J397" s="55" t="e">
        <v>#N/A</v>
      </c>
      <c r="K397" s="55" t="e">
        <v>#N/A</v>
      </c>
    </row>
    <row r="398" spans="1:11" ht="30" hidden="1" x14ac:dyDescent="0.25">
      <c r="A398" s="2" t="s">
        <v>450</v>
      </c>
      <c r="B398" s="3">
        <v>20297</v>
      </c>
      <c r="C398" s="4" t="s">
        <v>675</v>
      </c>
      <c r="D398" s="62" t="e">
        <v>#N/A</v>
      </c>
      <c r="E398" s="55" t="e">
        <v>#N/A</v>
      </c>
      <c r="F398" s="55" t="e">
        <v>#N/A</v>
      </c>
      <c r="G398" s="55" t="s">
        <v>2091</v>
      </c>
      <c r="H398" s="55" t="e">
        <v>#N/A</v>
      </c>
      <c r="I398" s="55" t="e">
        <v>#N/A</v>
      </c>
      <c r="J398" s="55" t="e">
        <v>#N/A</v>
      </c>
      <c r="K398" s="55" t="e">
        <v>#N/A</v>
      </c>
    </row>
    <row r="399" spans="1:11" ht="30" hidden="1" x14ac:dyDescent="0.25">
      <c r="A399" s="2" t="s">
        <v>450</v>
      </c>
      <c r="B399" s="3">
        <v>20298</v>
      </c>
      <c r="C399" s="4" t="s">
        <v>676</v>
      </c>
      <c r="D399" s="62" t="e">
        <v>#N/A</v>
      </c>
      <c r="E399" s="55" t="e">
        <v>#N/A</v>
      </c>
      <c r="F399" s="55" t="e">
        <v>#N/A</v>
      </c>
      <c r="G399" s="55" t="e">
        <v>#N/A</v>
      </c>
      <c r="H399" s="55" t="e">
        <v>#N/A</v>
      </c>
      <c r="I399" s="55" t="e">
        <v>#N/A</v>
      </c>
      <c r="J399" s="55" t="e">
        <v>#N/A</v>
      </c>
      <c r="K399" s="55" t="e">
        <v>#N/A</v>
      </c>
    </row>
    <row r="400" spans="1:11" ht="30" hidden="1" x14ac:dyDescent="0.25">
      <c r="A400" s="2" t="s">
        <v>450</v>
      </c>
      <c r="B400" s="3">
        <v>20299</v>
      </c>
      <c r="C400" s="4" t="s">
        <v>677</v>
      </c>
      <c r="D400" s="62" t="e">
        <v>#N/A</v>
      </c>
      <c r="E400" s="55" t="e">
        <v>#N/A</v>
      </c>
      <c r="F400" s="55" t="e">
        <v>#N/A</v>
      </c>
      <c r="G400" s="55" t="s">
        <v>2091</v>
      </c>
      <c r="H400" s="55" t="e">
        <v>#N/A</v>
      </c>
      <c r="I400" s="55" t="e">
        <v>#N/A</v>
      </c>
      <c r="J400" s="55" t="e">
        <v>#N/A</v>
      </c>
      <c r="K400" s="55" t="e">
        <v>#N/A</v>
      </c>
    </row>
    <row r="401" spans="1:11" ht="45" hidden="1" x14ac:dyDescent="0.25">
      <c r="A401" s="2" t="s">
        <v>450</v>
      </c>
      <c r="B401" s="3">
        <v>20301</v>
      </c>
      <c r="C401" s="4" t="s">
        <v>678</v>
      </c>
      <c r="D401" s="62" t="e">
        <v>#N/A</v>
      </c>
      <c r="E401" s="55" t="e">
        <v>#N/A</v>
      </c>
      <c r="F401" s="55" t="e">
        <v>#N/A</v>
      </c>
      <c r="G401" s="55" t="e">
        <v>#N/A</v>
      </c>
      <c r="H401" s="55" t="e">
        <v>#N/A</v>
      </c>
      <c r="I401" s="55" t="e">
        <v>#N/A</v>
      </c>
      <c r="J401" s="55" t="e">
        <v>#N/A</v>
      </c>
      <c r="K401" s="55" t="e">
        <v>#N/A</v>
      </c>
    </row>
    <row r="402" spans="1:11" ht="30" hidden="1" x14ac:dyDescent="0.25">
      <c r="A402" s="2" t="s">
        <v>450</v>
      </c>
      <c r="B402" s="3">
        <v>20302</v>
      </c>
      <c r="C402" s="4" t="s">
        <v>679</v>
      </c>
      <c r="D402" s="62" t="e">
        <v>#N/A</v>
      </c>
      <c r="E402" s="55" t="e">
        <v>#N/A</v>
      </c>
      <c r="F402" s="55" t="e">
        <v>#N/A</v>
      </c>
      <c r="G402" s="55" t="e">
        <v>#N/A</v>
      </c>
      <c r="H402" s="55" t="e">
        <v>#N/A</v>
      </c>
      <c r="I402" s="55" t="e">
        <v>#N/A</v>
      </c>
      <c r="J402" s="55" t="e">
        <v>#N/A</v>
      </c>
      <c r="K402" s="55" t="e">
        <v>#N/A</v>
      </c>
    </row>
    <row r="403" spans="1:11" ht="45" hidden="1" x14ac:dyDescent="0.25">
      <c r="A403" s="2" t="s">
        <v>450</v>
      </c>
      <c r="B403" s="3">
        <v>21011</v>
      </c>
      <c r="C403" s="4" t="s">
        <v>680</v>
      </c>
      <c r="D403" s="62" t="e">
        <v>#N/A</v>
      </c>
      <c r="E403" s="55" t="e">
        <v>#N/A</v>
      </c>
      <c r="F403" s="55" t="e">
        <v>#N/A</v>
      </c>
      <c r="G403" s="55" t="e">
        <v>#N/A</v>
      </c>
      <c r="H403" s="55" t="e">
        <v>#N/A</v>
      </c>
      <c r="I403" s="55" t="e">
        <v>#N/A</v>
      </c>
      <c r="J403" s="55" t="e">
        <v>#N/A</v>
      </c>
      <c r="K403" s="55" t="e">
        <v>#N/A</v>
      </c>
    </row>
    <row r="404" spans="1:11" ht="45" hidden="1" x14ac:dyDescent="0.25">
      <c r="A404" s="2" t="s">
        <v>450</v>
      </c>
      <c r="B404" s="3">
        <v>21012</v>
      </c>
      <c r="C404" s="4" t="s">
        <v>681</v>
      </c>
      <c r="D404" s="62" t="e">
        <v>#N/A</v>
      </c>
      <c r="E404" s="55" t="e">
        <v>#N/A</v>
      </c>
      <c r="F404" s="55" t="e">
        <v>#N/A</v>
      </c>
      <c r="G404" s="55" t="e">
        <v>#N/A</v>
      </c>
      <c r="H404" s="55" t="e">
        <v>#N/A</v>
      </c>
      <c r="I404" s="55" t="e">
        <v>#N/A</v>
      </c>
      <c r="J404" s="55" t="e">
        <v>#N/A</v>
      </c>
      <c r="K404" s="55" t="e">
        <v>#N/A</v>
      </c>
    </row>
    <row r="405" spans="1:11" ht="45" hidden="1" x14ac:dyDescent="0.25">
      <c r="A405" s="2" t="s">
        <v>450</v>
      </c>
      <c r="B405" s="3">
        <v>21013</v>
      </c>
      <c r="C405" s="4" t="s">
        <v>682</v>
      </c>
      <c r="D405" s="62" t="e">
        <v>#N/A</v>
      </c>
      <c r="E405" s="55" t="e">
        <v>#N/A</v>
      </c>
      <c r="F405" s="55" t="e">
        <v>#N/A</v>
      </c>
      <c r="G405" s="55" t="e">
        <v>#N/A</v>
      </c>
      <c r="H405" s="55" t="e">
        <v>#N/A</v>
      </c>
      <c r="I405" s="55" t="e">
        <v>#N/A</v>
      </c>
      <c r="J405" s="55" t="e">
        <v>#N/A</v>
      </c>
      <c r="K405" s="55" t="e">
        <v>#N/A</v>
      </c>
    </row>
    <row r="406" spans="1:11" ht="45" hidden="1" x14ac:dyDescent="0.25">
      <c r="A406" s="2" t="s">
        <v>450</v>
      </c>
      <c r="B406" s="3">
        <v>21014</v>
      </c>
      <c r="C406" s="4" t="s">
        <v>683</v>
      </c>
      <c r="D406" s="62" t="e">
        <v>#N/A</v>
      </c>
      <c r="E406" s="55" t="e">
        <v>#N/A</v>
      </c>
      <c r="F406" s="55" t="e">
        <v>#N/A</v>
      </c>
      <c r="G406" s="55" t="e">
        <v>#N/A</v>
      </c>
      <c r="H406" s="55" t="e">
        <v>#N/A</v>
      </c>
      <c r="I406" s="55" t="e">
        <v>#N/A</v>
      </c>
      <c r="J406" s="55" t="e">
        <v>#N/A</v>
      </c>
      <c r="K406" s="55" t="e">
        <v>#N/A</v>
      </c>
    </row>
    <row r="407" spans="1:11" ht="60" hidden="1" x14ac:dyDescent="0.25">
      <c r="A407" s="2" t="s">
        <v>450</v>
      </c>
      <c r="B407" s="3">
        <v>21015</v>
      </c>
      <c r="C407" s="4" t="s">
        <v>684</v>
      </c>
      <c r="D407" s="62" t="e">
        <v>#N/A</v>
      </c>
      <c r="E407" s="55" t="e">
        <v>#N/A</v>
      </c>
      <c r="F407" s="55" t="e">
        <v>#N/A</v>
      </c>
      <c r="G407" s="55" t="e">
        <v>#N/A</v>
      </c>
      <c r="H407" s="55" t="e">
        <v>#N/A</v>
      </c>
      <c r="I407" s="55" t="e">
        <v>#N/A</v>
      </c>
      <c r="J407" s="55" t="e">
        <v>#N/A</v>
      </c>
      <c r="K407" s="55" t="e">
        <v>#N/A</v>
      </c>
    </row>
    <row r="408" spans="1:11" ht="60" hidden="1" x14ac:dyDescent="0.25">
      <c r="A408" s="2" t="s">
        <v>450</v>
      </c>
      <c r="B408" s="3">
        <v>21021</v>
      </c>
      <c r="C408" s="4" t="s">
        <v>685</v>
      </c>
      <c r="D408" s="62" t="e">
        <v>#N/A</v>
      </c>
      <c r="E408" s="55" t="e">
        <v>#N/A</v>
      </c>
      <c r="F408" s="55" t="e">
        <v>#N/A</v>
      </c>
      <c r="G408" s="55" t="e">
        <v>#N/A</v>
      </c>
      <c r="H408" s="55" t="e">
        <v>#N/A</v>
      </c>
      <c r="I408" s="55" t="e">
        <v>#N/A</v>
      </c>
      <c r="J408" s="55" t="e">
        <v>#N/A</v>
      </c>
      <c r="K408" s="55" t="e">
        <v>#N/A</v>
      </c>
    </row>
    <row r="409" spans="1:11" ht="45" hidden="1" x14ac:dyDescent="0.25">
      <c r="A409" s="2" t="s">
        <v>450</v>
      </c>
      <c r="B409" s="3">
        <v>21022</v>
      </c>
      <c r="C409" s="4" t="s">
        <v>686</v>
      </c>
      <c r="D409" s="62" t="e">
        <v>#N/A</v>
      </c>
      <c r="E409" s="55" t="e">
        <v>#N/A</v>
      </c>
      <c r="F409" s="55" t="e">
        <v>#N/A</v>
      </c>
      <c r="G409" s="55" t="e">
        <v>#N/A</v>
      </c>
      <c r="H409" s="55" t="e">
        <v>#N/A</v>
      </c>
      <c r="I409" s="55" t="e">
        <v>#N/A</v>
      </c>
      <c r="J409" s="55" t="e">
        <v>#N/A</v>
      </c>
      <c r="K409" s="55" t="e">
        <v>#N/A</v>
      </c>
    </row>
    <row r="410" spans="1:11" ht="45" hidden="1" x14ac:dyDescent="0.25">
      <c r="A410" s="2" t="s">
        <v>450</v>
      </c>
      <c r="B410" s="3">
        <v>21023</v>
      </c>
      <c r="C410" s="4" t="s">
        <v>687</v>
      </c>
      <c r="D410" s="62" t="e">
        <v>#N/A</v>
      </c>
      <c r="E410" s="55" t="e">
        <v>#N/A</v>
      </c>
      <c r="F410" s="55" t="e">
        <v>#N/A</v>
      </c>
      <c r="G410" s="55" t="e">
        <v>#N/A</v>
      </c>
      <c r="H410" s="55" t="e">
        <v>#N/A</v>
      </c>
      <c r="I410" s="55" t="e">
        <v>#N/A</v>
      </c>
      <c r="J410" s="55" t="e">
        <v>#N/A</v>
      </c>
      <c r="K410" s="55" t="e">
        <v>#N/A</v>
      </c>
    </row>
    <row r="411" spans="1:11" ht="45" hidden="1" x14ac:dyDescent="0.25">
      <c r="A411" s="2" t="s">
        <v>450</v>
      </c>
      <c r="B411" s="3">
        <v>21024</v>
      </c>
      <c r="C411" s="4" t="s">
        <v>688</v>
      </c>
      <c r="D411" s="62" t="e">
        <v>#N/A</v>
      </c>
      <c r="E411" s="55" t="e">
        <v>#N/A</v>
      </c>
      <c r="F411" s="55" t="e">
        <v>#N/A</v>
      </c>
      <c r="G411" s="55" t="e">
        <v>#N/A</v>
      </c>
      <c r="H411" s="55" t="e">
        <v>#N/A</v>
      </c>
      <c r="I411" s="55" t="e">
        <v>#N/A</v>
      </c>
      <c r="J411" s="55" t="e">
        <v>#N/A</v>
      </c>
      <c r="K411" s="55" t="e">
        <v>#N/A</v>
      </c>
    </row>
    <row r="412" spans="1:11" ht="30" hidden="1" x14ac:dyDescent="0.25">
      <c r="A412" s="2" t="s">
        <v>450</v>
      </c>
      <c r="B412" s="3">
        <v>22111</v>
      </c>
      <c r="C412" s="4" t="s">
        <v>689</v>
      </c>
      <c r="D412" s="62" t="e">
        <v>#N/A</v>
      </c>
      <c r="E412" s="55" t="e">
        <v>#N/A</v>
      </c>
      <c r="F412" s="55" t="e">
        <v>#N/A</v>
      </c>
      <c r="G412" s="55" t="e">
        <v>#N/A</v>
      </c>
      <c r="H412" s="55" t="e">
        <v>#N/A</v>
      </c>
      <c r="I412" s="55" t="e">
        <v>#N/A</v>
      </c>
      <c r="J412" s="55" t="e">
        <v>#N/A</v>
      </c>
      <c r="K412" s="55" t="e">
        <v>#N/A</v>
      </c>
    </row>
    <row r="413" spans="1:11" ht="60" hidden="1" x14ac:dyDescent="0.25">
      <c r="A413" s="2" t="s">
        <v>450</v>
      </c>
      <c r="B413" s="3">
        <v>22112</v>
      </c>
      <c r="C413" s="4" t="s">
        <v>690</v>
      </c>
      <c r="D413" s="62" t="e">
        <v>#N/A</v>
      </c>
      <c r="E413" s="55" t="e">
        <v>#N/A</v>
      </c>
      <c r="F413" s="55" t="e">
        <v>#N/A</v>
      </c>
      <c r="G413" s="55" t="e">
        <v>#N/A</v>
      </c>
      <c r="H413" s="55" t="e">
        <v>#N/A</v>
      </c>
      <c r="I413" s="55" t="e">
        <v>#N/A</v>
      </c>
      <c r="J413" s="55" t="e">
        <v>#N/A</v>
      </c>
      <c r="K413" s="55" t="e">
        <v>#N/A</v>
      </c>
    </row>
    <row r="414" spans="1:11" hidden="1" x14ac:dyDescent="0.25">
      <c r="A414" s="2" t="s">
        <v>450</v>
      </c>
      <c r="B414" s="3">
        <v>22121</v>
      </c>
      <c r="C414" s="4" t="s">
        <v>691</v>
      </c>
      <c r="D414" s="62" t="e">
        <v>#N/A</v>
      </c>
      <c r="E414" s="55" t="e">
        <v>#N/A</v>
      </c>
      <c r="F414" s="55" t="e">
        <v>#N/A</v>
      </c>
      <c r="G414" s="55" t="e">
        <v>#N/A</v>
      </c>
      <c r="H414" s="55" t="e">
        <v>#N/A</v>
      </c>
      <c r="I414" s="55" t="e">
        <v>#N/A</v>
      </c>
      <c r="J414" s="55" t="e">
        <v>#N/A</v>
      </c>
      <c r="K414" s="55" t="e">
        <v>#N/A</v>
      </c>
    </row>
    <row r="415" spans="1:11" ht="45" hidden="1" x14ac:dyDescent="0.25">
      <c r="A415" s="2" t="s">
        <v>450</v>
      </c>
      <c r="B415" s="3">
        <v>22122</v>
      </c>
      <c r="C415" s="4" t="s">
        <v>692</v>
      </c>
      <c r="D415" s="62" t="e">
        <v>#N/A</v>
      </c>
      <c r="E415" s="55" t="e">
        <v>#N/A</v>
      </c>
      <c r="F415" s="55" t="e">
        <v>#N/A</v>
      </c>
      <c r="G415" s="55" t="e">
        <v>#N/A</v>
      </c>
      <c r="H415" s="55" t="e">
        <v>#N/A</v>
      </c>
      <c r="I415" s="55" t="e">
        <v>#N/A</v>
      </c>
      <c r="J415" s="55" t="e">
        <v>#N/A</v>
      </c>
      <c r="K415" s="55" t="e">
        <v>#N/A</v>
      </c>
    </row>
    <row r="416" spans="1:11" ht="45" hidden="1" x14ac:dyDescent="0.25">
      <c r="A416" s="2" t="s">
        <v>450</v>
      </c>
      <c r="B416" s="3">
        <v>22123</v>
      </c>
      <c r="C416" s="4" t="s">
        <v>693</v>
      </c>
      <c r="D416" s="62" t="e">
        <v>#N/A</v>
      </c>
      <c r="E416" s="55" t="e">
        <v>#N/A</v>
      </c>
      <c r="F416" s="55" t="e">
        <v>#N/A</v>
      </c>
      <c r="G416" s="55" t="e">
        <v>#N/A</v>
      </c>
      <c r="H416" s="55" t="e">
        <v>#N/A</v>
      </c>
      <c r="I416" s="55" t="e">
        <v>#N/A</v>
      </c>
      <c r="J416" s="55" t="e">
        <v>#N/A</v>
      </c>
      <c r="K416" s="55" t="e">
        <v>#N/A</v>
      </c>
    </row>
    <row r="417" spans="1:11" ht="45" hidden="1" x14ac:dyDescent="0.25">
      <c r="A417" s="2" t="s">
        <v>450</v>
      </c>
      <c r="B417" s="3">
        <v>22129</v>
      </c>
      <c r="C417" s="4" t="s">
        <v>694</v>
      </c>
      <c r="D417" s="62" t="e">
        <v>#N/A</v>
      </c>
      <c r="E417" s="55" t="e">
        <v>#N/A</v>
      </c>
      <c r="F417" s="55" t="e">
        <v>#N/A</v>
      </c>
      <c r="G417" s="55" t="e">
        <v>#N/A</v>
      </c>
      <c r="H417" s="55" t="e">
        <v>#N/A</v>
      </c>
      <c r="I417" s="55" t="e">
        <v>#N/A</v>
      </c>
      <c r="J417" s="55" t="e">
        <v>#N/A</v>
      </c>
      <c r="K417" s="55" t="e">
        <v>#N/A</v>
      </c>
    </row>
    <row r="418" spans="1:11" ht="60" hidden="1" x14ac:dyDescent="0.25">
      <c r="A418" s="2" t="s">
        <v>450</v>
      </c>
      <c r="B418" s="3">
        <v>22191</v>
      </c>
      <c r="C418" s="4" t="s">
        <v>695</v>
      </c>
      <c r="D418" s="62" t="e">
        <v>#N/A</v>
      </c>
      <c r="E418" s="55" t="e">
        <v>#N/A</v>
      </c>
      <c r="F418" s="55" t="e">
        <v>#N/A</v>
      </c>
      <c r="G418" s="55" t="e">
        <v>#N/A</v>
      </c>
      <c r="H418" s="55" t="e">
        <v>#N/A</v>
      </c>
      <c r="I418" s="55" t="e">
        <v>#N/A</v>
      </c>
      <c r="J418" s="55" t="e">
        <v>#N/A</v>
      </c>
      <c r="K418" s="55" t="e">
        <v>#N/A</v>
      </c>
    </row>
    <row r="419" spans="1:11" ht="45" hidden="1" x14ac:dyDescent="0.25">
      <c r="A419" s="2" t="s">
        <v>450</v>
      </c>
      <c r="B419" s="3">
        <v>22192</v>
      </c>
      <c r="C419" s="4" t="s">
        <v>696</v>
      </c>
      <c r="D419" s="62" t="e">
        <v>#N/A</v>
      </c>
      <c r="E419" s="55" t="e">
        <v>#N/A</v>
      </c>
      <c r="F419" s="55" t="e">
        <v>#N/A</v>
      </c>
      <c r="G419" s="55" t="e">
        <v>#N/A</v>
      </c>
      <c r="H419" s="55" t="e">
        <v>#N/A</v>
      </c>
      <c r="I419" s="55" t="e">
        <v>#N/A</v>
      </c>
      <c r="J419" s="55" t="e">
        <v>#N/A</v>
      </c>
      <c r="K419" s="55" t="e">
        <v>#N/A</v>
      </c>
    </row>
    <row r="420" spans="1:11" ht="60" hidden="1" x14ac:dyDescent="0.25">
      <c r="A420" s="2" t="s">
        <v>450</v>
      </c>
      <c r="B420" s="3">
        <v>22193</v>
      </c>
      <c r="C420" s="4" t="s">
        <v>697</v>
      </c>
      <c r="D420" s="62" t="e">
        <v>#N/A</v>
      </c>
      <c r="E420" s="55" t="e">
        <v>#N/A</v>
      </c>
      <c r="F420" s="55" t="e">
        <v>#N/A</v>
      </c>
      <c r="G420" s="55" t="e">
        <v>#N/A</v>
      </c>
      <c r="H420" s="55" t="e">
        <v>#N/A</v>
      </c>
      <c r="I420" s="55" t="e">
        <v>#N/A</v>
      </c>
      <c r="J420" s="55" t="e">
        <v>#N/A</v>
      </c>
      <c r="K420" s="55" t="e">
        <v>#N/A</v>
      </c>
    </row>
    <row r="421" spans="1:11" ht="45" hidden="1" x14ac:dyDescent="0.25">
      <c r="A421" s="2" t="s">
        <v>450</v>
      </c>
      <c r="B421" s="3">
        <v>22194</v>
      </c>
      <c r="C421" s="4" t="s">
        <v>698</v>
      </c>
      <c r="D421" s="62" t="e">
        <v>#N/A</v>
      </c>
      <c r="E421" s="55" t="e">
        <v>#N/A</v>
      </c>
      <c r="F421" s="55" t="e">
        <v>#N/A</v>
      </c>
      <c r="G421" s="55" t="e">
        <v>#N/A</v>
      </c>
      <c r="H421" s="55" t="e">
        <v>#N/A</v>
      </c>
      <c r="I421" s="55" t="e">
        <v>#N/A</v>
      </c>
      <c r="J421" s="55" t="e">
        <v>#N/A</v>
      </c>
      <c r="K421" s="55" t="e">
        <v>#N/A</v>
      </c>
    </row>
    <row r="422" spans="1:11" ht="45" hidden="1" x14ac:dyDescent="0.25">
      <c r="A422" s="2" t="s">
        <v>450</v>
      </c>
      <c r="B422" s="3">
        <v>22199</v>
      </c>
      <c r="C422" s="4" t="s">
        <v>699</v>
      </c>
      <c r="D422" s="62" t="e">
        <v>#N/A</v>
      </c>
      <c r="E422" s="55" t="e">
        <v>#N/A</v>
      </c>
      <c r="F422" s="55" t="e">
        <v>#N/A</v>
      </c>
      <c r="G422" s="55" t="e">
        <v>#N/A</v>
      </c>
      <c r="H422" s="55" t="e">
        <v>#N/A</v>
      </c>
      <c r="I422" s="55" t="e">
        <v>#N/A</v>
      </c>
      <c r="J422" s="55" t="e">
        <v>#N/A</v>
      </c>
      <c r="K422" s="55" t="e">
        <v>#N/A</v>
      </c>
    </row>
    <row r="423" spans="1:11" ht="45" hidden="1" x14ac:dyDescent="0.25">
      <c r="A423" s="2" t="s">
        <v>450</v>
      </c>
      <c r="B423" s="3">
        <v>22201</v>
      </c>
      <c r="C423" s="4" t="s">
        <v>700</v>
      </c>
      <c r="D423" s="62" t="e">
        <v>#N/A</v>
      </c>
      <c r="E423" s="55" t="e">
        <v>#N/A</v>
      </c>
      <c r="F423" s="55" t="e">
        <v>#N/A</v>
      </c>
      <c r="G423" s="55" t="s">
        <v>2091</v>
      </c>
      <c r="H423" s="55" t="e">
        <v>#N/A</v>
      </c>
      <c r="I423" s="55" t="e">
        <v>#N/A</v>
      </c>
      <c r="J423" s="55" t="e">
        <v>#N/A</v>
      </c>
      <c r="K423" s="55" t="e">
        <v>#N/A</v>
      </c>
    </row>
    <row r="424" spans="1:11" ht="45" hidden="1" x14ac:dyDescent="0.25">
      <c r="A424" s="2" t="s">
        <v>450</v>
      </c>
      <c r="B424" s="3">
        <v>22202</v>
      </c>
      <c r="C424" s="4" t="s">
        <v>701</v>
      </c>
      <c r="D424" s="62" t="e">
        <v>#N/A</v>
      </c>
      <c r="E424" s="55" t="e">
        <v>#N/A</v>
      </c>
      <c r="F424" s="55" t="e">
        <v>#N/A</v>
      </c>
      <c r="G424" s="55" t="e">
        <v>#N/A</v>
      </c>
      <c r="H424" s="55" t="e">
        <v>#N/A</v>
      </c>
      <c r="I424" s="55" t="e">
        <v>#N/A</v>
      </c>
      <c r="J424" s="55" t="e">
        <v>#N/A</v>
      </c>
      <c r="K424" s="55" t="e">
        <v>#N/A</v>
      </c>
    </row>
    <row r="425" spans="1:11" ht="45" hidden="1" x14ac:dyDescent="0.25">
      <c r="A425" s="2" t="s">
        <v>450</v>
      </c>
      <c r="B425" s="3">
        <v>22203</v>
      </c>
      <c r="C425" s="4" t="s">
        <v>702</v>
      </c>
      <c r="D425" s="62" t="e">
        <v>#N/A</v>
      </c>
      <c r="E425" s="55" t="e">
        <v>#N/A</v>
      </c>
      <c r="F425" s="55" t="e">
        <v>#N/A</v>
      </c>
      <c r="G425" s="55" t="e">
        <v>#N/A</v>
      </c>
      <c r="H425" s="55" t="e">
        <v>#N/A</v>
      </c>
      <c r="I425" s="55" t="e">
        <v>#N/A</v>
      </c>
      <c r="J425" s="55" t="e">
        <v>#N/A</v>
      </c>
      <c r="K425" s="55" t="e">
        <v>#N/A</v>
      </c>
    </row>
    <row r="426" spans="1:11" ht="30" hidden="1" x14ac:dyDescent="0.25">
      <c r="A426" s="2" t="s">
        <v>450</v>
      </c>
      <c r="B426" s="3">
        <v>22204</v>
      </c>
      <c r="C426" s="4" t="s">
        <v>703</v>
      </c>
      <c r="D426" s="62" t="e">
        <v>#N/A</v>
      </c>
      <c r="E426" s="55" t="e">
        <v>#N/A</v>
      </c>
      <c r="F426" s="55" t="e">
        <v>#N/A</v>
      </c>
      <c r="G426" s="55" t="e">
        <v>#N/A</v>
      </c>
      <c r="H426" s="55" t="e">
        <v>#N/A</v>
      </c>
      <c r="I426" s="55" t="e">
        <v>#N/A</v>
      </c>
      <c r="J426" s="55" t="e">
        <v>#N/A</v>
      </c>
      <c r="K426" s="55" t="e">
        <v>#N/A</v>
      </c>
    </row>
    <row r="427" spans="1:11" ht="60" hidden="1" x14ac:dyDescent="0.25">
      <c r="A427" s="2" t="s">
        <v>450</v>
      </c>
      <c r="B427" s="3">
        <v>22205</v>
      </c>
      <c r="C427" s="4" t="s">
        <v>704</v>
      </c>
      <c r="D427" s="62" t="e">
        <v>#N/A</v>
      </c>
      <c r="E427" s="55" t="e">
        <v>#N/A</v>
      </c>
      <c r="F427" s="55" t="e">
        <v>#N/A</v>
      </c>
      <c r="G427" s="55" t="e">
        <v>#N/A</v>
      </c>
      <c r="H427" s="55" t="e">
        <v>#N/A</v>
      </c>
      <c r="I427" s="55" t="e">
        <v>#N/A</v>
      </c>
      <c r="J427" s="55" t="e">
        <v>#N/A</v>
      </c>
      <c r="K427" s="55" t="e">
        <v>#N/A</v>
      </c>
    </row>
    <row r="428" spans="1:11" ht="60" hidden="1" x14ac:dyDescent="0.25">
      <c r="A428" s="2" t="s">
        <v>450</v>
      </c>
      <c r="B428" s="3">
        <v>22206</v>
      </c>
      <c r="C428" s="4" t="s">
        <v>705</v>
      </c>
      <c r="D428" s="62" t="e">
        <v>#N/A</v>
      </c>
      <c r="E428" s="55" t="e">
        <v>#N/A</v>
      </c>
      <c r="F428" s="55" t="e">
        <v>#N/A</v>
      </c>
      <c r="G428" s="55" t="e">
        <v>#N/A</v>
      </c>
      <c r="H428" s="55" t="e">
        <v>#N/A</v>
      </c>
      <c r="I428" s="55" t="e">
        <v>#N/A</v>
      </c>
      <c r="J428" s="55" t="e">
        <v>#N/A</v>
      </c>
      <c r="K428" s="55" t="e">
        <v>#N/A</v>
      </c>
    </row>
    <row r="429" spans="1:11" ht="30" hidden="1" x14ac:dyDescent="0.25">
      <c r="A429" s="2" t="s">
        <v>450</v>
      </c>
      <c r="B429" s="3">
        <v>22209</v>
      </c>
      <c r="C429" s="4" t="s">
        <v>706</v>
      </c>
      <c r="D429" s="62" t="e">
        <v>#N/A</v>
      </c>
      <c r="E429" s="55" t="e">
        <v>#N/A</v>
      </c>
      <c r="F429" s="55" t="e">
        <v>#N/A</v>
      </c>
      <c r="G429" s="55" t="e">
        <v>#N/A</v>
      </c>
      <c r="H429" s="55" t="e">
        <v>#N/A</v>
      </c>
      <c r="I429" s="55" t="e">
        <v>#N/A</v>
      </c>
      <c r="J429" s="55" t="e">
        <v>#N/A</v>
      </c>
      <c r="K429" s="55" t="e">
        <v>#N/A</v>
      </c>
    </row>
    <row r="430" spans="1:11" ht="30" hidden="1" x14ac:dyDescent="0.25">
      <c r="A430" s="2" t="s">
        <v>450</v>
      </c>
      <c r="B430" s="3">
        <v>23111</v>
      </c>
      <c r="C430" s="4" t="s">
        <v>707</v>
      </c>
      <c r="D430" s="62" t="e">
        <v>#N/A</v>
      </c>
      <c r="E430" s="55" t="e">
        <v>#N/A</v>
      </c>
      <c r="F430" s="55" t="e">
        <v>#N/A</v>
      </c>
      <c r="G430" s="55" t="e">
        <v>#N/A</v>
      </c>
      <c r="H430" s="55" t="e">
        <v>#N/A</v>
      </c>
      <c r="I430" s="55" t="e">
        <v>#N/A</v>
      </c>
      <c r="J430" s="55" t="e">
        <v>#N/A</v>
      </c>
      <c r="K430" s="55" t="e">
        <v>#N/A</v>
      </c>
    </row>
    <row r="431" spans="1:11" ht="30" hidden="1" x14ac:dyDescent="0.25">
      <c r="A431" s="2" t="s">
        <v>450</v>
      </c>
      <c r="B431" s="3">
        <v>23112</v>
      </c>
      <c r="C431" s="4" t="s">
        <v>708</v>
      </c>
      <c r="D431" s="62" t="e">
        <v>#N/A</v>
      </c>
      <c r="E431" s="55" t="e">
        <v>#N/A</v>
      </c>
      <c r="F431" s="55" t="e">
        <v>#N/A</v>
      </c>
      <c r="G431" s="55" t="e">
        <v>#N/A</v>
      </c>
      <c r="H431" s="55" t="e">
        <v>#N/A</v>
      </c>
      <c r="I431" s="55" t="e">
        <v>#N/A</v>
      </c>
      <c r="J431" s="55" t="e">
        <v>#N/A</v>
      </c>
      <c r="K431" s="55" t="e">
        <v>#N/A</v>
      </c>
    </row>
    <row r="432" spans="1:11" ht="30" hidden="1" x14ac:dyDescent="0.25">
      <c r="A432" s="2" t="s">
        <v>450</v>
      </c>
      <c r="B432" s="3">
        <v>23119</v>
      </c>
      <c r="C432" s="4" t="s">
        <v>709</v>
      </c>
      <c r="D432" s="62" t="e">
        <v>#N/A</v>
      </c>
      <c r="E432" s="55" t="e">
        <v>#N/A</v>
      </c>
      <c r="F432" s="55" t="e">
        <v>#N/A</v>
      </c>
      <c r="G432" s="55" t="e">
        <v>#N/A</v>
      </c>
      <c r="H432" s="55" t="e">
        <v>#N/A</v>
      </c>
      <c r="I432" s="55" t="e">
        <v>#N/A</v>
      </c>
      <c r="J432" s="55" t="e">
        <v>#N/A</v>
      </c>
      <c r="K432" s="55" t="e">
        <v>#N/A</v>
      </c>
    </row>
    <row r="433" spans="1:11" ht="60" hidden="1" x14ac:dyDescent="0.25">
      <c r="A433" s="2" t="s">
        <v>450</v>
      </c>
      <c r="B433" s="3">
        <v>23121</v>
      </c>
      <c r="C433" s="4" t="s">
        <v>710</v>
      </c>
      <c r="D433" s="62" t="e">
        <v>#N/A</v>
      </c>
      <c r="E433" s="55" t="e">
        <v>#N/A</v>
      </c>
      <c r="F433" s="55" t="e">
        <v>#N/A</v>
      </c>
      <c r="G433" s="55" t="e">
        <v>#N/A</v>
      </c>
      <c r="H433" s="55" t="e">
        <v>#N/A</v>
      </c>
      <c r="I433" s="55" t="e">
        <v>#N/A</v>
      </c>
      <c r="J433" s="55" t="e">
        <v>#N/A</v>
      </c>
      <c r="K433" s="55" t="e">
        <v>#N/A</v>
      </c>
    </row>
    <row r="434" spans="1:11" ht="60" hidden="1" x14ac:dyDescent="0.25">
      <c r="A434" s="2" t="s">
        <v>450</v>
      </c>
      <c r="B434" s="3">
        <v>23122</v>
      </c>
      <c r="C434" s="4" t="s">
        <v>711</v>
      </c>
      <c r="D434" s="62" t="e">
        <v>#N/A</v>
      </c>
      <c r="E434" s="55" t="e">
        <v>#N/A</v>
      </c>
      <c r="F434" s="55" t="e">
        <v>#N/A</v>
      </c>
      <c r="G434" s="55" t="e">
        <v>#N/A</v>
      </c>
      <c r="H434" s="55" t="e">
        <v>#N/A</v>
      </c>
      <c r="I434" s="55" t="e">
        <v>#N/A</v>
      </c>
      <c r="J434" s="55" t="e">
        <v>#N/A</v>
      </c>
      <c r="K434" s="55" t="e">
        <v>#N/A</v>
      </c>
    </row>
    <row r="435" spans="1:11" ht="30" hidden="1" x14ac:dyDescent="0.25">
      <c r="A435" s="2" t="s">
        <v>450</v>
      </c>
      <c r="B435" s="3">
        <v>23129</v>
      </c>
      <c r="C435" s="4" t="s">
        <v>712</v>
      </c>
      <c r="D435" s="62" t="e">
        <v>#N/A</v>
      </c>
      <c r="E435" s="55" t="e">
        <v>#N/A</v>
      </c>
      <c r="F435" s="55" t="e">
        <v>#N/A</v>
      </c>
      <c r="G435" s="55" t="e">
        <v>#N/A</v>
      </c>
      <c r="H435" s="55" t="e">
        <v>#N/A</v>
      </c>
      <c r="I435" s="55" t="e">
        <v>#N/A</v>
      </c>
      <c r="J435" s="55" t="e">
        <v>#N/A</v>
      </c>
      <c r="K435" s="55" t="e">
        <v>#N/A</v>
      </c>
    </row>
    <row r="436" spans="1:11" ht="60" hidden="1" x14ac:dyDescent="0.25">
      <c r="A436" s="2" t="s">
        <v>450</v>
      </c>
      <c r="B436" s="3">
        <v>23911</v>
      </c>
      <c r="C436" s="4" t="s">
        <v>713</v>
      </c>
      <c r="D436" s="62" t="e">
        <v>#N/A</v>
      </c>
      <c r="E436" s="55" t="e">
        <v>#N/A</v>
      </c>
      <c r="F436" s="55" t="e">
        <v>#N/A</v>
      </c>
      <c r="G436" s="55" t="e">
        <v>#N/A</v>
      </c>
      <c r="H436" s="55" t="e">
        <v>#N/A</v>
      </c>
      <c r="I436" s="55" t="e">
        <v>#N/A</v>
      </c>
      <c r="J436" s="55" t="e">
        <v>#N/A</v>
      </c>
      <c r="K436" s="55" t="e">
        <v>#N/A</v>
      </c>
    </row>
    <row r="437" spans="1:11" ht="45" hidden="1" x14ac:dyDescent="0.25">
      <c r="A437" s="2" t="s">
        <v>450</v>
      </c>
      <c r="B437" s="3">
        <v>23919</v>
      </c>
      <c r="C437" s="4" t="s">
        <v>714</v>
      </c>
      <c r="D437" s="62" t="e">
        <v>#N/A</v>
      </c>
      <c r="E437" s="55" t="e">
        <v>#N/A</v>
      </c>
      <c r="F437" s="55" t="e">
        <v>#N/A</v>
      </c>
      <c r="G437" s="55" t="e">
        <v>#N/A</v>
      </c>
      <c r="H437" s="55" t="e">
        <v>#N/A</v>
      </c>
      <c r="I437" s="55" t="e">
        <v>#N/A</v>
      </c>
      <c r="J437" s="55" t="e">
        <v>#N/A</v>
      </c>
      <c r="K437" s="55" t="e">
        <v>#N/A</v>
      </c>
    </row>
    <row r="438" spans="1:11" ht="45" hidden="1" x14ac:dyDescent="0.25">
      <c r="A438" s="2" t="s">
        <v>450</v>
      </c>
      <c r="B438" s="3">
        <v>23921</v>
      </c>
      <c r="C438" s="4" t="s">
        <v>715</v>
      </c>
      <c r="D438" s="62" t="e">
        <v>#N/A</v>
      </c>
      <c r="E438" s="55" t="e">
        <v>#N/A</v>
      </c>
      <c r="F438" s="55" t="e">
        <v>#N/A</v>
      </c>
      <c r="G438" s="55" t="e">
        <v>#N/A</v>
      </c>
      <c r="H438" s="55" t="e">
        <v>#N/A</v>
      </c>
      <c r="I438" s="55" t="e">
        <v>#N/A</v>
      </c>
      <c r="J438" s="55" t="e">
        <v>#N/A</v>
      </c>
      <c r="K438" s="55" t="e">
        <v>#N/A</v>
      </c>
    </row>
    <row r="439" spans="1:11" ht="45" hidden="1" x14ac:dyDescent="0.25">
      <c r="A439" s="2" t="s">
        <v>450</v>
      </c>
      <c r="B439" s="3">
        <v>23922</v>
      </c>
      <c r="C439" s="4" t="s">
        <v>716</v>
      </c>
      <c r="D439" s="62" t="e">
        <v>#N/A</v>
      </c>
      <c r="E439" s="55" t="e">
        <v>#N/A</v>
      </c>
      <c r="F439" s="55" t="e">
        <v>#N/A</v>
      </c>
      <c r="G439" s="55" t="e">
        <v>#N/A</v>
      </c>
      <c r="H439" s="55" t="e">
        <v>#N/A</v>
      </c>
      <c r="I439" s="55" t="e">
        <v>#N/A</v>
      </c>
      <c r="J439" s="55" t="e">
        <v>#N/A</v>
      </c>
      <c r="K439" s="55" t="e">
        <v>#N/A</v>
      </c>
    </row>
    <row r="440" spans="1:11" ht="60" hidden="1" x14ac:dyDescent="0.25">
      <c r="A440" s="2" t="s">
        <v>450</v>
      </c>
      <c r="B440" s="3">
        <v>23929</v>
      </c>
      <c r="C440" s="4" t="s">
        <v>717</v>
      </c>
      <c r="D440" s="62" t="e">
        <v>#N/A</v>
      </c>
      <c r="E440" s="55" t="e">
        <v>#N/A</v>
      </c>
      <c r="F440" s="55" t="e">
        <v>#N/A</v>
      </c>
      <c r="G440" s="55" t="e">
        <v>#N/A</v>
      </c>
      <c r="H440" s="55" t="e">
        <v>#N/A</v>
      </c>
      <c r="I440" s="55" t="e">
        <v>#N/A</v>
      </c>
      <c r="J440" s="55" t="e">
        <v>#N/A</v>
      </c>
      <c r="K440" s="55" t="e">
        <v>#N/A</v>
      </c>
    </row>
    <row r="441" spans="1:11" ht="60" hidden="1" x14ac:dyDescent="0.25">
      <c r="A441" s="2" t="s">
        <v>450</v>
      </c>
      <c r="B441" s="3">
        <v>23931</v>
      </c>
      <c r="C441" s="4" t="s">
        <v>718</v>
      </c>
      <c r="D441" s="62" t="e">
        <v>#N/A</v>
      </c>
      <c r="E441" s="55" t="e">
        <v>#N/A</v>
      </c>
      <c r="F441" s="55" t="e">
        <v>#N/A</v>
      </c>
      <c r="G441" s="55" t="e">
        <v>#N/A</v>
      </c>
      <c r="H441" s="55" t="e">
        <v>#N/A</v>
      </c>
      <c r="I441" s="55" t="e">
        <v>#N/A</v>
      </c>
      <c r="J441" s="55" t="e">
        <v>#N/A</v>
      </c>
      <c r="K441" s="55" t="e">
        <v>#N/A</v>
      </c>
    </row>
    <row r="442" spans="1:11" ht="60" hidden="1" x14ac:dyDescent="0.25">
      <c r="A442" s="2" t="s">
        <v>450</v>
      </c>
      <c r="B442" s="3">
        <v>23932</v>
      </c>
      <c r="C442" s="4" t="s">
        <v>719</v>
      </c>
      <c r="D442" s="62" t="e">
        <v>#N/A</v>
      </c>
      <c r="E442" s="55" t="e">
        <v>#N/A</v>
      </c>
      <c r="F442" s="55" t="e">
        <v>#N/A</v>
      </c>
      <c r="G442" s="55" t="e">
        <v>#N/A</v>
      </c>
      <c r="H442" s="55" t="e">
        <v>#N/A</v>
      </c>
      <c r="I442" s="55" t="e">
        <v>#N/A</v>
      </c>
      <c r="J442" s="55" t="e">
        <v>#N/A</v>
      </c>
      <c r="K442" s="55" t="e">
        <v>#N/A</v>
      </c>
    </row>
    <row r="443" spans="1:11" ht="60" hidden="1" x14ac:dyDescent="0.25">
      <c r="A443" s="2" t="s">
        <v>450</v>
      </c>
      <c r="B443" s="3">
        <v>23933</v>
      </c>
      <c r="C443" s="4" t="s">
        <v>720</v>
      </c>
      <c r="D443" s="62" t="e">
        <v>#N/A</v>
      </c>
      <c r="E443" s="55" t="e">
        <v>#N/A</v>
      </c>
      <c r="F443" s="55" t="e">
        <v>#N/A</v>
      </c>
      <c r="G443" s="55" t="e">
        <v>#N/A</v>
      </c>
      <c r="H443" s="55" t="e">
        <v>#N/A</v>
      </c>
      <c r="I443" s="55" t="e">
        <v>#N/A</v>
      </c>
      <c r="J443" s="55" t="e">
        <v>#N/A</v>
      </c>
      <c r="K443" s="55" t="e">
        <v>#N/A</v>
      </c>
    </row>
    <row r="444" spans="1:11" ht="45" hidden="1" x14ac:dyDescent="0.25">
      <c r="A444" s="2" t="s">
        <v>450</v>
      </c>
      <c r="B444" s="3">
        <v>23934</v>
      </c>
      <c r="C444" s="4" t="s">
        <v>721</v>
      </c>
      <c r="D444" s="62" t="e">
        <v>#N/A</v>
      </c>
      <c r="E444" s="55" t="e">
        <v>#N/A</v>
      </c>
      <c r="F444" s="55" t="e">
        <v>#N/A</v>
      </c>
      <c r="G444" s="55" t="e">
        <v>#N/A</v>
      </c>
      <c r="H444" s="55" t="e">
        <v>#N/A</v>
      </c>
      <c r="I444" s="55" t="e">
        <v>#N/A</v>
      </c>
      <c r="J444" s="55" t="e">
        <v>#N/A</v>
      </c>
      <c r="K444" s="55" t="e">
        <v>#N/A</v>
      </c>
    </row>
    <row r="445" spans="1:11" ht="45" hidden="1" x14ac:dyDescent="0.25">
      <c r="A445" s="2" t="s">
        <v>450</v>
      </c>
      <c r="B445" s="3">
        <v>23935</v>
      </c>
      <c r="C445" s="4" t="s">
        <v>722</v>
      </c>
      <c r="D445" s="62" t="e">
        <v>#N/A</v>
      </c>
      <c r="E445" s="55" t="e">
        <v>#N/A</v>
      </c>
      <c r="F445" s="55" t="e">
        <v>#N/A</v>
      </c>
      <c r="G445" s="55" t="e">
        <v>#N/A</v>
      </c>
      <c r="H445" s="55" t="e">
        <v>#N/A</v>
      </c>
      <c r="I445" s="55" t="e">
        <v>#N/A</v>
      </c>
      <c r="J445" s="55" t="e">
        <v>#N/A</v>
      </c>
      <c r="K445" s="55" t="e">
        <v>#N/A</v>
      </c>
    </row>
    <row r="446" spans="1:11" ht="60" hidden="1" x14ac:dyDescent="0.25">
      <c r="A446" s="2" t="s">
        <v>450</v>
      </c>
      <c r="B446" s="3">
        <v>23939</v>
      </c>
      <c r="C446" s="4" t="s">
        <v>723</v>
      </c>
      <c r="D446" s="62" t="e">
        <v>#N/A</v>
      </c>
      <c r="E446" s="55" t="e">
        <v>#N/A</v>
      </c>
      <c r="F446" s="55" t="e">
        <v>#N/A</v>
      </c>
      <c r="G446" s="55" t="e">
        <v>#N/A</v>
      </c>
      <c r="H446" s="55" t="e">
        <v>#N/A</v>
      </c>
      <c r="I446" s="55" t="e">
        <v>#N/A</v>
      </c>
      <c r="J446" s="55" t="e">
        <v>#N/A</v>
      </c>
      <c r="K446" s="55" t="e">
        <v>#N/A</v>
      </c>
    </row>
    <row r="447" spans="1:11" hidden="1" x14ac:dyDescent="0.25">
      <c r="A447" s="2" t="s">
        <v>450</v>
      </c>
      <c r="B447" s="3">
        <v>23941</v>
      </c>
      <c r="C447" s="4" t="s">
        <v>724</v>
      </c>
      <c r="D447" s="62" t="e">
        <v>#N/A</v>
      </c>
      <c r="E447" s="55" t="e">
        <v>#N/A</v>
      </c>
      <c r="F447" s="55" t="e">
        <v>#N/A</v>
      </c>
      <c r="G447" s="55" t="e">
        <v>#N/A</v>
      </c>
      <c r="H447" s="55" t="e">
        <v>#N/A</v>
      </c>
      <c r="I447" s="55" t="e">
        <v>#N/A</v>
      </c>
      <c r="J447" s="55" t="e">
        <v>#N/A</v>
      </c>
      <c r="K447" s="55" t="e">
        <v>#N/A</v>
      </c>
    </row>
    <row r="448" spans="1:11" hidden="1" x14ac:dyDescent="0.25">
      <c r="A448" s="2" t="s">
        <v>450</v>
      </c>
      <c r="B448" s="3">
        <v>23942</v>
      </c>
      <c r="C448" s="4" t="s">
        <v>725</v>
      </c>
      <c r="D448" s="62" t="e">
        <v>#N/A</v>
      </c>
      <c r="E448" s="55" t="e">
        <v>#N/A</v>
      </c>
      <c r="F448" s="55" t="e">
        <v>#N/A</v>
      </c>
      <c r="G448" s="55" t="e">
        <v>#N/A</v>
      </c>
      <c r="H448" s="55" t="e">
        <v>#N/A</v>
      </c>
      <c r="I448" s="55" t="e">
        <v>#N/A</v>
      </c>
      <c r="J448" s="55" t="e">
        <v>#N/A</v>
      </c>
      <c r="K448" s="55" t="e">
        <v>#N/A</v>
      </c>
    </row>
    <row r="449" spans="1:11" hidden="1" x14ac:dyDescent="0.25">
      <c r="A449" s="2" t="s">
        <v>450</v>
      </c>
      <c r="B449" s="3">
        <v>23943</v>
      </c>
      <c r="C449" s="4" t="s">
        <v>726</v>
      </c>
      <c r="D449" s="62" t="e">
        <v>#N/A</v>
      </c>
      <c r="E449" s="55" t="e">
        <v>#N/A</v>
      </c>
      <c r="F449" s="55" t="e">
        <v>#N/A</v>
      </c>
      <c r="G449" s="55" t="e">
        <v>#N/A</v>
      </c>
      <c r="H449" s="55" t="e">
        <v>#N/A</v>
      </c>
      <c r="I449" s="55" t="e">
        <v>#N/A</v>
      </c>
      <c r="J449" s="55" t="e">
        <v>#N/A</v>
      </c>
      <c r="K449" s="55" t="e">
        <v>#N/A</v>
      </c>
    </row>
    <row r="450" spans="1:11" ht="30" hidden="1" x14ac:dyDescent="0.25">
      <c r="A450" s="2" t="s">
        <v>450</v>
      </c>
      <c r="B450" s="3">
        <v>23951</v>
      </c>
      <c r="C450" s="4" t="s">
        <v>727</v>
      </c>
      <c r="D450" s="62" t="e">
        <v>#N/A</v>
      </c>
      <c r="E450" s="55" t="e">
        <v>#N/A</v>
      </c>
      <c r="F450" s="55" t="e">
        <v>#N/A</v>
      </c>
      <c r="G450" s="55" t="e">
        <v>#N/A</v>
      </c>
      <c r="H450" s="55" t="e">
        <v>#N/A</v>
      </c>
      <c r="I450" s="55" t="e">
        <v>#N/A</v>
      </c>
      <c r="J450" s="55" t="e">
        <v>#N/A</v>
      </c>
      <c r="K450" s="55" t="e">
        <v>#N/A</v>
      </c>
    </row>
    <row r="451" spans="1:11" ht="30" hidden="1" x14ac:dyDescent="0.25">
      <c r="A451" s="2" t="s">
        <v>450</v>
      </c>
      <c r="B451" s="3">
        <v>23952</v>
      </c>
      <c r="C451" s="4" t="s">
        <v>728</v>
      </c>
      <c r="D451" s="62" t="e">
        <v>#N/A</v>
      </c>
      <c r="E451" s="55" t="e">
        <v>#N/A</v>
      </c>
      <c r="F451" s="55" t="e">
        <v>#N/A</v>
      </c>
      <c r="G451" s="55" t="e">
        <v>#N/A</v>
      </c>
      <c r="H451" s="55" t="e">
        <v>#N/A</v>
      </c>
      <c r="I451" s="55" t="e">
        <v>#N/A</v>
      </c>
      <c r="J451" s="55" t="e">
        <v>#N/A</v>
      </c>
      <c r="K451" s="55" t="e">
        <v>#N/A</v>
      </c>
    </row>
    <row r="452" spans="1:11" ht="30" hidden="1" x14ac:dyDescent="0.25">
      <c r="A452" s="2" t="s">
        <v>450</v>
      </c>
      <c r="B452" s="3">
        <v>23953</v>
      </c>
      <c r="C452" s="4" t="s">
        <v>729</v>
      </c>
      <c r="D452" s="62" t="e">
        <v>#N/A</v>
      </c>
      <c r="E452" s="55" t="e">
        <v>#N/A</v>
      </c>
      <c r="F452" s="55" t="e">
        <v>#N/A</v>
      </c>
      <c r="G452" s="55" t="e">
        <v>#N/A</v>
      </c>
      <c r="H452" s="55" t="e">
        <v>#N/A</v>
      </c>
      <c r="I452" s="55" t="e">
        <v>#N/A</v>
      </c>
      <c r="J452" s="55" t="e">
        <v>#N/A</v>
      </c>
      <c r="K452" s="55" t="e">
        <v>#N/A</v>
      </c>
    </row>
    <row r="453" spans="1:11" ht="30" hidden="1" x14ac:dyDescent="0.25">
      <c r="A453" s="2" t="s">
        <v>450</v>
      </c>
      <c r="B453" s="3">
        <v>23954</v>
      </c>
      <c r="C453" s="4" t="s">
        <v>730</v>
      </c>
      <c r="D453" s="62" t="e">
        <v>#N/A</v>
      </c>
      <c r="E453" s="55" t="e">
        <v>#N/A</v>
      </c>
      <c r="F453" s="55" t="e">
        <v>#N/A</v>
      </c>
      <c r="G453" s="55" t="e">
        <v>#N/A</v>
      </c>
      <c r="H453" s="55" t="e">
        <v>#N/A</v>
      </c>
      <c r="I453" s="55" t="e">
        <v>#N/A</v>
      </c>
      <c r="J453" s="55" t="e">
        <v>#N/A</v>
      </c>
      <c r="K453" s="55" t="e">
        <v>#N/A</v>
      </c>
    </row>
    <row r="454" spans="1:11" ht="45" hidden="1" x14ac:dyDescent="0.25">
      <c r="A454" s="2" t="s">
        <v>450</v>
      </c>
      <c r="B454" s="3">
        <v>23955</v>
      </c>
      <c r="C454" s="4" t="s">
        <v>731</v>
      </c>
      <c r="D454" s="62" t="e">
        <v>#N/A</v>
      </c>
      <c r="E454" s="55" t="e">
        <v>#N/A</v>
      </c>
      <c r="F454" s="55" t="e">
        <v>#N/A</v>
      </c>
      <c r="G454" s="55" t="e">
        <v>#N/A</v>
      </c>
      <c r="H454" s="55" t="e">
        <v>#N/A</v>
      </c>
      <c r="I454" s="55" t="e">
        <v>#N/A</v>
      </c>
      <c r="J454" s="55" t="e">
        <v>#N/A</v>
      </c>
      <c r="K454" s="55" t="e">
        <v>#N/A</v>
      </c>
    </row>
    <row r="455" spans="1:11" ht="30" hidden="1" x14ac:dyDescent="0.25">
      <c r="A455" s="2" t="s">
        <v>450</v>
      </c>
      <c r="B455" s="3">
        <v>23961</v>
      </c>
      <c r="C455" s="4" t="s">
        <v>732</v>
      </c>
      <c r="D455" s="62" t="e">
        <v>#N/A</v>
      </c>
      <c r="E455" s="55" t="e">
        <v>#N/A</v>
      </c>
      <c r="F455" s="55" t="e">
        <v>#N/A</v>
      </c>
      <c r="G455" s="55" t="e">
        <v>#N/A</v>
      </c>
      <c r="H455" s="55" t="e">
        <v>#N/A</v>
      </c>
      <c r="I455" s="55" t="e">
        <v>#N/A</v>
      </c>
      <c r="J455" s="55" t="e">
        <v>#N/A</v>
      </c>
      <c r="K455" s="55" t="e">
        <v>#N/A</v>
      </c>
    </row>
    <row r="456" spans="1:11" ht="30" hidden="1" x14ac:dyDescent="0.25">
      <c r="A456" s="2" t="s">
        <v>450</v>
      </c>
      <c r="B456" s="3">
        <v>23962</v>
      </c>
      <c r="C456" s="4" t="s">
        <v>733</v>
      </c>
      <c r="D456" s="62" t="e">
        <v>#N/A</v>
      </c>
      <c r="E456" s="55" t="e">
        <v>#N/A</v>
      </c>
      <c r="F456" s="55" t="e">
        <v>#N/A</v>
      </c>
      <c r="G456" s="55" t="e">
        <v>#N/A</v>
      </c>
      <c r="H456" s="55" t="e">
        <v>#N/A</v>
      </c>
      <c r="I456" s="55" t="e">
        <v>#N/A</v>
      </c>
      <c r="J456" s="55" t="e">
        <v>#N/A</v>
      </c>
      <c r="K456" s="55" t="e">
        <v>#N/A</v>
      </c>
    </row>
    <row r="457" spans="1:11" ht="30" hidden="1" x14ac:dyDescent="0.25">
      <c r="A457" s="2" t="s">
        <v>450</v>
      </c>
      <c r="B457" s="3">
        <v>23969</v>
      </c>
      <c r="C457" s="4" t="s">
        <v>734</v>
      </c>
      <c r="D457" s="62" t="e">
        <v>#N/A</v>
      </c>
      <c r="E457" s="55" t="e">
        <v>#N/A</v>
      </c>
      <c r="F457" s="55" t="e">
        <v>#N/A</v>
      </c>
      <c r="G457" s="55" t="e">
        <v>#N/A</v>
      </c>
      <c r="H457" s="55" t="e">
        <v>#N/A</v>
      </c>
      <c r="I457" s="55" t="e">
        <v>#N/A</v>
      </c>
      <c r="J457" s="55" t="e">
        <v>#N/A</v>
      </c>
      <c r="K457" s="55" t="e">
        <v>#N/A</v>
      </c>
    </row>
    <row r="458" spans="1:11" ht="30" hidden="1" x14ac:dyDescent="0.25">
      <c r="A458" s="2" t="s">
        <v>450</v>
      </c>
      <c r="B458" s="3">
        <v>23991</v>
      </c>
      <c r="C458" s="4" t="s">
        <v>735</v>
      </c>
      <c r="D458" s="62" t="e">
        <v>#N/A</v>
      </c>
      <c r="E458" s="55" t="e">
        <v>#N/A</v>
      </c>
      <c r="F458" s="55" t="e">
        <v>#N/A</v>
      </c>
      <c r="G458" s="55" t="e">
        <v>#N/A</v>
      </c>
      <c r="H458" s="55" t="e">
        <v>#N/A</v>
      </c>
      <c r="I458" s="55" t="e">
        <v>#N/A</v>
      </c>
      <c r="J458" s="55" t="e">
        <v>#N/A</v>
      </c>
      <c r="K458" s="55" t="e">
        <v>#N/A</v>
      </c>
    </row>
    <row r="459" spans="1:11" ht="60" hidden="1" x14ac:dyDescent="0.25">
      <c r="A459" s="2" t="s">
        <v>450</v>
      </c>
      <c r="B459" s="3">
        <v>23992</v>
      </c>
      <c r="C459" s="4" t="s">
        <v>736</v>
      </c>
      <c r="D459" s="62" t="e">
        <v>#N/A</v>
      </c>
      <c r="E459" s="55" t="e">
        <v>#N/A</v>
      </c>
      <c r="F459" s="55" t="e">
        <v>#N/A</v>
      </c>
      <c r="G459" s="55" t="e">
        <v>#N/A</v>
      </c>
      <c r="H459" s="55" t="e">
        <v>#N/A</v>
      </c>
      <c r="I459" s="55" t="e">
        <v>#N/A</v>
      </c>
      <c r="J459" s="55" t="e">
        <v>#N/A</v>
      </c>
      <c r="K459" s="55" t="e">
        <v>#N/A</v>
      </c>
    </row>
    <row r="460" spans="1:11" ht="45" hidden="1" x14ac:dyDescent="0.25">
      <c r="A460" s="2" t="s">
        <v>450</v>
      </c>
      <c r="B460" s="3">
        <v>23993</v>
      </c>
      <c r="C460" s="4" t="s">
        <v>737</v>
      </c>
      <c r="D460" s="62" t="e">
        <v>#N/A</v>
      </c>
      <c r="E460" s="55" t="e">
        <v>#N/A</v>
      </c>
      <c r="F460" s="55" t="e">
        <v>#N/A</v>
      </c>
      <c r="G460" s="55" t="e">
        <v>#N/A</v>
      </c>
      <c r="H460" s="55" t="e">
        <v>#N/A</v>
      </c>
      <c r="I460" s="55" t="e">
        <v>#N/A</v>
      </c>
      <c r="J460" s="55" t="e">
        <v>#N/A</v>
      </c>
      <c r="K460" s="55" t="e">
        <v>#N/A</v>
      </c>
    </row>
    <row r="461" spans="1:11" ht="45" hidden="1" x14ac:dyDescent="0.25">
      <c r="A461" s="2" t="s">
        <v>450</v>
      </c>
      <c r="B461" s="3">
        <v>23999</v>
      </c>
      <c r="C461" s="4" t="s">
        <v>738</v>
      </c>
      <c r="D461" s="62" t="e">
        <v>#N/A</v>
      </c>
      <c r="E461" s="55" t="e">
        <v>#N/A</v>
      </c>
      <c r="F461" s="55" t="e">
        <v>#N/A</v>
      </c>
      <c r="G461" s="55" t="e">
        <v>#N/A</v>
      </c>
      <c r="H461" s="55" t="e">
        <v>#N/A</v>
      </c>
      <c r="I461" s="55" t="e">
        <v>#N/A</v>
      </c>
      <c r="J461" s="55" t="e">
        <v>#N/A</v>
      </c>
      <c r="K461" s="55" t="e">
        <v>#N/A</v>
      </c>
    </row>
    <row r="462" spans="1:11" ht="30" hidden="1" x14ac:dyDescent="0.25">
      <c r="A462" s="2" t="s">
        <v>450</v>
      </c>
      <c r="B462" s="3">
        <v>24101</v>
      </c>
      <c r="C462" s="4" t="s">
        <v>739</v>
      </c>
      <c r="D462" s="62" t="e">
        <v>#N/A</v>
      </c>
      <c r="E462" s="55" t="e">
        <v>#N/A</v>
      </c>
      <c r="F462" s="55" t="e">
        <v>#N/A</v>
      </c>
      <c r="G462" s="55" t="e">
        <v>#N/A</v>
      </c>
      <c r="H462" s="55" t="e">
        <v>#N/A</v>
      </c>
      <c r="I462" s="55" t="e">
        <v>#N/A</v>
      </c>
      <c r="J462" s="55" t="e">
        <v>#N/A</v>
      </c>
      <c r="K462" s="55" t="e">
        <v>#N/A</v>
      </c>
    </row>
    <row r="463" spans="1:11" hidden="1" x14ac:dyDescent="0.25">
      <c r="A463" s="2" t="s">
        <v>450</v>
      </c>
      <c r="B463" s="3">
        <v>24102</v>
      </c>
      <c r="C463" s="4" t="s">
        <v>740</v>
      </c>
      <c r="D463" s="62" t="e">
        <v>#N/A</v>
      </c>
      <c r="E463" s="55" t="e">
        <v>#N/A</v>
      </c>
      <c r="F463" s="55" t="e">
        <v>#N/A</v>
      </c>
      <c r="G463" s="55" t="e">
        <v>#N/A</v>
      </c>
      <c r="H463" s="55" t="e">
        <v>#N/A</v>
      </c>
      <c r="I463" s="55" t="e">
        <v>#N/A</v>
      </c>
      <c r="J463" s="55" t="e">
        <v>#N/A</v>
      </c>
      <c r="K463" s="55" t="e">
        <v>#N/A</v>
      </c>
    </row>
    <row r="464" spans="1:11" ht="45" hidden="1" x14ac:dyDescent="0.25">
      <c r="A464" s="2" t="s">
        <v>450</v>
      </c>
      <c r="B464" s="3">
        <v>24103</v>
      </c>
      <c r="C464" s="4" t="s">
        <v>741</v>
      </c>
      <c r="D464" s="62" t="e">
        <v>#N/A</v>
      </c>
      <c r="E464" s="55" t="e">
        <v>#N/A</v>
      </c>
      <c r="F464" s="55" t="e">
        <v>#N/A</v>
      </c>
      <c r="G464" s="55" t="e">
        <v>#N/A</v>
      </c>
      <c r="H464" s="55" t="e">
        <v>#N/A</v>
      </c>
      <c r="I464" s="55" t="e">
        <v>#N/A</v>
      </c>
      <c r="J464" s="55" t="e">
        <v>#N/A</v>
      </c>
      <c r="K464" s="55" t="e">
        <v>#N/A</v>
      </c>
    </row>
    <row r="465" spans="1:11" ht="30" hidden="1" x14ac:dyDescent="0.25">
      <c r="A465" s="2" t="s">
        <v>450</v>
      </c>
      <c r="B465" s="3">
        <v>24201</v>
      </c>
      <c r="C465" s="4" t="s">
        <v>742</v>
      </c>
      <c r="D465" s="62" t="e">
        <v>#N/A</v>
      </c>
      <c r="E465" s="55" t="e">
        <v>#N/A</v>
      </c>
      <c r="F465" s="55" t="e">
        <v>#N/A</v>
      </c>
      <c r="G465" s="55" t="e">
        <v>#N/A</v>
      </c>
      <c r="H465" s="55" t="e">
        <v>#N/A</v>
      </c>
      <c r="I465" s="55" t="e">
        <v>#N/A</v>
      </c>
      <c r="J465" s="55" t="e">
        <v>#N/A</v>
      </c>
      <c r="K465" s="55" t="e">
        <v>#N/A</v>
      </c>
    </row>
    <row r="466" spans="1:11" ht="45" hidden="1" x14ac:dyDescent="0.25">
      <c r="A466" s="2" t="s">
        <v>450</v>
      </c>
      <c r="B466" s="3">
        <v>24202</v>
      </c>
      <c r="C466" s="4" t="s">
        <v>743</v>
      </c>
      <c r="D466" s="62" t="e">
        <v>#N/A</v>
      </c>
      <c r="E466" s="55" t="e">
        <v>#N/A</v>
      </c>
      <c r="F466" s="55" t="e">
        <v>#N/A</v>
      </c>
      <c r="G466" s="55" t="e">
        <v>#N/A</v>
      </c>
      <c r="H466" s="55" t="e">
        <v>#N/A</v>
      </c>
      <c r="I466" s="55" t="e">
        <v>#N/A</v>
      </c>
      <c r="J466" s="55" t="e">
        <v>#N/A</v>
      </c>
      <c r="K466" s="55" t="e">
        <v>#N/A</v>
      </c>
    </row>
    <row r="467" spans="1:11" ht="30" hidden="1" x14ac:dyDescent="0.25">
      <c r="A467" s="2" t="s">
        <v>450</v>
      </c>
      <c r="B467" s="3">
        <v>24203</v>
      </c>
      <c r="C467" s="4" t="s">
        <v>744</v>
      </c>
      <c r="D467" s="62" t="e">
        <v>#N/A</v>
      </c>
      <c r="E467" s="55" t="e">
        <v>#N/A</v>
      </c>
      <c r="F467" s="55" t="e">
        <v>#N/A</v>
      </c>
      <c r="G467" s="55" t="e">
        <v>#N/A</v>
      </c>
      <c r="H467" s="55" t="e">
        <v>#N/A</v>
      </c>
      <c r="I467" s="55" t="e">
        <v>#N/A</v>
      </c>
      <c r="J467" s="55" t="e">
        <v>#N/A</v>
      </c>
      <c r="K467" s="55" t="e">
        <v>#N/A</v>
      </c>
    </row>
    <row r="468" spans="1:11" ht="30" hidden="1" x14ac:dyDescent="0.25">
      <c r="A468" s="2" t="s">
        <v>450</v>
      </c>
      <c r="B468" s="3">
        <v>24204</v>
      </c>
      <c r="C468" s="4" t="s">
        <v>745</v>
      </c>
      <c r="D468" s="62" t="e">
        <v>#N/A</v>
      </c>
      <c r="E468" s="55" t="e">
        <v>#N/A</v>
      </c>
      <c r="F468" s="55" t="e">
        <v>#N/A</v>
      </c>
      <c r="G468" s="55" t="e">
        <v>#N/A</v>
      </c>
      <c r="H468" s="55" t="e">
        <v>#N/A</v>
      </c>
      <c r="I468" s="55" t="e">
        <v>#N/A</v>
      </c>
      <c r="J468" s="55" t="e">
        <v>#N/A</v>
      </c>
      <c r="K468" s="55" t="e">
        <v>#N/A</v>
      </c>
    </row>
    <row r="469" spans="1:11" ht="60" hidden="1" x14ac:dyDescent="0.25">
      <c r="A469" s="2" t="s">
        <v>450</v>
      </c>
      <c r="B469" s="3">
        <v>24205</v>
      </c>
      <c r="C469" s="4" t="s">
        <v>746</v>
      </c>
      <c r="D469" s="62" t="e">
        <v>#N/A</v>
      </c>
      <c r="E469" s="55" t="e">
        <v>#N/A</v>
      </c>
      <c r="F469" s="55" t="e">
        <v>#N/A</v>
      </c>
      <c r="G469" s="55" t="e">
        <v>#N/A</v>
      </c>
      <c r="H469" s="55" t="e">
        <v>#N/A</v>
      </c>
      <c r="I469" s="55" t="e">
        <v>#N/A</v>
      </c>
      <c r="J469" s="55" t="e">
        <v>#N/A</v>
      </c>
      <c r="K469" s="55" t="e">
        <v>#N/A</v>
      </c>
    </row>
    <row r="470" spans="1:11" ht="30" hidden="1" x14ac:dyDescent="0.25">
      <c r="A470" s="2" t="s">
        <v>450</v>
      </c>
      <c r="B470" s="3">
        <v>24206</v>
      </c>
      <c r="C470" s="4" t="s">
        <v>747</v>
      </c>
      <c r="D470" s="62" t="e">
        <v>#N/A</v>
      </c>
      <c r="E470" s="55" t="e">
        <v>#N/A</v>
      </c>
      <c r="F470" s="55" t="s">
        <v>2659</v>
      </c>
      <c r="G470" s="55" t="e">
        <v>#N/A</v>
      </c>
      <c r="H470" s="55" t="e">
        <v>#N/A</v>
      </c>
      <c r="I470" s="55" t="e">
        <v>#N/A</v>
      </c>
      <c r="J470" s="55" t="e">
        <v>#N/A</v>
      </c>
      <c r="K470" s="55" t="e">
        <v>#N/A</v>
      </c>
    </row>
    <row r="471" spans="1:11" ht="30" hidden="1" x14ac:dyDescent="0.25">
      <c r="A471" s="2" t="s">
        <v>450</v>
      </c>
      <c r="B471" s="3">
        <v>24310</v>
      </c>
      <c r="C471" s="4" t="s">
        <v>748</v>
      </c>
      <c r="D471" s="62" t="e">
        <v>#N/A</v>
      </c>
      <c r="E471" s="55" t="e">
        <v>#N/A</v>
      </c>
      <c r="F471" s="55" t="e">
        <v>#N/A</v>
      </c>
      <c r="G471" s="55" t="e">
        <v>#N/A</v>
      </c>
      <c r="H471" s="55" t="e">
        <v>#N/A</v>
      </c>
      <c r="I471" s="55" t="e">
        <v>#N/A</v>
      </c>
      <c r="J471" s="55" t="e">
        <v>#N/A</v>
      </c>
      <c r="K471" s="55" t="e">
        <v>#N/A</v>
      </c>
    </row>
    <row r="472" spans="1:11" ht="30" hidden="1" x14ac:dyDescent="0.25">
      <c r="A472" s="2" t="s">
        <v>450</v>
      </c>
      <c r="B472" s="3">
        <v>24320</v>
      </c>
      <c r="C472" s="4" t="s">
        <v>749</v>
      </c>
      <c r="D472" s="62" t="e">
        <v>#N/A</v>
      </c>
      <c r="E472" s="55" t="e">
        <v>#N/A</v>
      </c>
      <c r="F472" s="55" t="e">
        <v>#N/A</v>
      </c>
      <c r="G472" s="55" t="e">
        <v>#N/A</v>
      </c>
      <c r="H472" s="55" t="e">
        <v>#N/A</v>
      </c>
      <c r="I472" s="55" t="e">
        <v>#N/A</v>
      </c>
      <c r="J472" s="55" t="e">
        <v>#N/A</v>
      </c>
      <c r="K472" s="55" t="e">
        <v>#N/A</v>
      </c>
    </row>
    <row r="473" spans="1:11" ht="60" hidden="1" x14ac:dyDescent="0.25">
      <c r="A473" s="2" t="s">
        <v>450</v>
      </c>
      <c r="B473" s="3">
        <v>25111</v>
      </c>
      <c r="C473" s="4" t="s">
        <v>750</v>
      </c>
      <c r="D473" s="62" t="e">
        <v>#N/A</v>
      </c>
      <c r="E473" s="55" t="e">
        <v>#N/A</v>
      </c>
      <c r="F473" s="55" t="e">
        <v>#N/A</v>
      </c>
      <c r="G473" s="55" t="e">
        <v>#N/A</v>
      </c>
      <c r="H473" s="55" t="e">
        <v>#N/A</v>
      </c>
      <c r="I473" s="55" t="e">
        <v>#N/A</v>
      </c>
      <c r="J473" s="55" t="e">
        <v>#N/A</v>
      </c>
      <c r="K473" s="55" t="e">
        <v>#N/A</v>
      </c>
    </row>
    <row r="474" spans="1:11" ht="45" hidden="1" x14ac:dyDescent="0.25">
      <c r="A474" s="2" t="s">
        <v>450</v>
      </c>
      <c r="B474" s="3">
        <v>25112</v>
      </c>
      <c r="C474" s="4" t="s">
        <v>751</v>
      </c>
      <c r="D474" s="62" t="e">
        <v>#N/A</v>
      </c>
      <c r="E474" s="55" t="e">
        <v>#N/A</v>
      </c>
      <c r="F474" s="55" t="e">
        <v>#N/A</v>
      </c>
      <c r="G474" s="55" t="e">
        <v>#N/A</v>
      </c>
      <c r="H474" s="55" t="e">
        <v>#N/A</v>
      </c>
      <c r="I474" s="55" t="e">
        <v>#N/A</v>
      </c>
      <c r="J474" s="55" t="e">
        <v>#N/A</v>
      </c>
      <c r="K474" s="55" t="e">
        <v>#N/A</v>
      </c>
    </row>
    <row r="475" spans="1:11" ht="60" hidden="1" x14ac:dyDescent="0.25">
      <c r="A475" s="2" t="s">
        <v>450</v>
      </c>
      <c r="B475" s="3">
        <v>25113</v>
      </c>
      <c r="C475" s="4" t="s">
        <v>752</v>
      </c>
      <c r="D475" s="62" t="e">
        <v>#N/A</v>
      </c>
      <c r="E475" s="55" t="e">
        <v>#N/A</v>
      </c>
      <c r="F475" s="55" t="e">
        <v>#N/A</v>
      </c>
      <c r="G475" s="55" t="e">
        <v>#N/A</v>
      </c>
      <c r="H475" s="55" t="e">
        <v>#N/A</v>
      </c>
      <c r="I475" s="55" t="e">
        <v>#N/A</v>
      </c>
      <c r="J475" s="55" t="e">
        <v>#N/A</v>
      </c>
      <c r="K475" s="55" t="e">
        <v>#N/A</v>
      </c>
    </row>
    <row r="476" spans="1:11" ht="45" hidden="1" x14ac:dyDescent="0.25">
      <c r="A476" s="2" t="s">
        <v>450</v>
      </c>
      <c r="B476" s="3">
        <v>25119</v>
      </c>
      <c r="C476" s="4" t="s">
        <v>753</v>
      </c>
      <c r="D476" s="62" t="e">
        <v>#N/A</v>
      </c>
      <c r="E476" s="55" t="e">
        <v>#N/A</v>
      </c>
      <c r="F476" s="55" t="e">
        <v>#N/A</v>
      </c>
      <c r="G476" s="55" t="e">
        <v>#N/A</v>
      </c>
      <c r="H476" s="55" t="e">
        <v>#N/A</v>
      </c>
      <c r="I476" s="55" t="e">
        <v>#N/A</v>
      </c>
      <c r="J476" s="55" t="e">
        <v>#N/A</v>
      </c>
      <c r="K476" s="55" t="e">
        <v>#N/A</v>
      </c>
    </row>
    <row r="477" spans="1:11" ht="60" hidden="1" x14ac:dyDescent="0.25">
      <c r="A477" s="2" t="s">
        <v>450</v>
      </c>
      <c r="B477" s="3">
        <v>25120</v>
      </c>
      <c r="C477" s="4" t="s">
        <v>754</v>
      </c>
      <c r="D477" s="62" t="e">
        <v>#N/A</v>
      </c>
      <c r="E477" s="55" t="e">
        <v>#N/A</v>
      </c>
      <c r="F477" s="55" t="e">
        <v>#N/A</v>
      </c>
      <c r="G477" s="55" t="s">
        <v>2091</v>
      </c>
      <c r="H477" s="55" t="e">
        <v>#N/A</v>
      </c>
      <c r="I477" s="55" t="e">
        <v>#N/A</v>
      </c>
      <c r="J477" s="55" t="e">
        <v>#N/A</v>
      </c>
      <c r="K477" s="55" t="e">
        <v>#N/A</v>
      </c>
    </row>
    <row r="478" spans="1:11" ht="45" hidden="1" x14ac:dyDescent="0.25">
      <c r="A478" s="2" t="s">
        <v>450</v>
      </c>
      <c r="B478" s="3">
        <v>25130</v>
      </c>
      <c r="C478" s="4" t="s">
        <v>755</v>
      </c>
      <c r="D478" s="62" t="e">
        <v>#N/A</v>
      </c>
      <c r="E478" s="55" t="e">
        <v>#N/A</v>
      </c>
      <c r="F478" s="55" t="e">
        <v>#N/A</v>
      </c>
      <c r="G478" s="55" t="e">
        <v>#N/A</v>
      </c>
      <c r="H478" s="55" t="e">
        <v>#N/A</v>
      </c>
      <c r="I478" s="55" t="e">
        <v>#N/A</v>
      </c>
      <c r="J478" s="55" t="e">
        <v>#N/A</v>
      </c>
      <c r="K478" s="55" t="e">
        <v>#N/A</v>
      </c>
    </row>
    <row r="479" spans="1:11" ht="30" hidden="1" x14ac:dyDescent="0.25">
      <c r="A479" s="2" t="s">
        <v>450</v>
      </c>
      <c r="B479" s="3">
        <v>25200</v>
      </c>
      <c r="C479" s="4" t="s">
        <v>756</v>
      </c>
      <c r="D479" s="62" t="e">
        <v>#N/A</v>
      </c>
      <c r="E479" s="55" t="e">
        <v>#N/A</v>
      </c>
      <c r="F479" s="55" t="e">
        <v>#N/A</v>
      </c>
      <c r="G479" s="55" t="e">
        <v>#N/A</v>
      </c>
      <c r="H479" s="55" t="e">
        <v>#N/A</v>
      </c>
      <c r="I479" s="55" t="e">
        <v>#N/A</v>
      </c>
      <c r="J479" s="55" t="e">
        <v>#N/A</v>
      </c>
      <c r="K479" s="55" t="e">
        <v>#N/A</v>
      </c>
    </row>
    <row r="480" spans="1:11" ht="75" hidden="1" x14ac:dyDescent="0.25">
      <c r="A480" s="2" t="s">
        <v>450</v>
      </c>
      <c r="B480" s="3">
        <v>25910</v>
      </c>
      <c r="C480" s="4" t="s">
        <v>757</v>
      </c>
      <c r="D480" s="62" t="e">
        <v>#N/A</v>
      </c>
      <c r="E480" s="55" t="e">
        <v>#N/A</v>
      </c>
      <c r="F480" s="55" t="e">
        <v>#N/A</v>
      </c>
      <c r="G480" s="55" t="e">
        <v>#N/A</v>
      </c>
      <c r="H480" s="55" t="e">
        <v>#N/A</v>
      </c>
      <c r="I480" s="55" t="e">
        <v>#N/A</v>
      </c>
      <c r="J480" s="55" t="e">
        <v>#N/A</v>
      </c>
      <c r="K480" s="55" t="e">
        <v>#N/A</v>
      </c>
    </row>
    <row r="481" spans="1:11" ht="30" hidden="1" x14ac:dyDescent="0.25">
      <c r="A481" s="2" t="s">
        <v>450</v>
      </c>
      <c r="B481" s="3">
        <v>25920</v>
      </c>
      <c r="C481" s="4" t="s">
        <v>758</v>
      </c>
      <c r="D481" s="62" t="e">
        <v>#N/A</v>
      </c>
      <c r="E481" s="55" t="e">
        <v>#N/A</v>
      </c>
      <c r="F481" s="55" t="e">
        <v>#N/A</v>
      </c>
      <c r="G481" s="55" t="e">
        <v>#N/A</v>
      </c>
      <c r="H481" s="55" t="e">
        <v>#N/A</v>
      </c>
      <c r="I481" s="55" t="e">
        <v>#N/A</v>
      </c>
      <c r="J481" s="55" t="e">
        <v>#N/A</v>
      </c>
      <c r="K481" s="55" t="e">
        <v>#N/A</v>
      </c>
    </row>
    <row r="482" spans="1:11" ht="30" hidden="1" x14ac:dyDescent="0.25">
      <c r="A482" s="2" t="s">
        <v>450</v>
      </c>
      <c r="B482" s="3">
        <v>25931</v>
      </c>
      <c r="C482" s="4" t="s">
        <v>759</v>
      </c>
      <c r="D482" s="62" t="e">
        <v>#N/A</v>
      </c>
      <c r="E482" s="55" t="e">
        <v>#N/A</v>
      </c>
      <c r="F482" s="55" t="e">
        <v>#N/A</v>
      </c>
      <c r="G482" s="55" t="e">
        <v>#N/A</v>
      </c>
      <c r="H482" s="55" t="e">
        <v>#N/A</v>
      </c>
      <c r="I482" s="55" t="e">
        <v>#N/A</v>
      </c>
      <c r="J482" s="55" t="e">
        <v>#N/A</v>
      </c>
      <c r="K482" s="55" t="e">
        <v>#N/A</v>
      </c>
    </row>
    <row r="483" spans="1:11" ht="30" hidden="1" x14ac:dyDescent="0.25">
      <c r="A483" s="2" t="s">
        <v>450</v>
      </c>
      <c r="B483" s="3">
        <v>25932</v>
      </c>
      <c r="C483" s="4" t="s">
        <v>760</v>
      </c>
      <c r="D483" s="62" t="e">
        <v>#N/A</v>
      </c>
      <c r="E483" s="55" t="e">
        <v>#N/A</v>
      </c>
      <c r="F483" s="55" t="e">
        <v>#N/A</v>
      </c>
      <c r="G483" s="55" t="e">
        <v>#N/A</v>
      </c>
      <c r="H483" s="55" t="e">
        <v>#N/A</v>
      </c>
      <c r="I483" s="55" t="e">
        <v>#N/A</v>
      </c>
      <c r="J483" s="55" t="e">
        <v>#N/A</v>
      </c>
      <c r="K483" s="55" t="e">
        <v>#N/A</v>
      </c>
    </row>
    <row r="484" spans="1:11" ht="30" hidden="1" x14ac:dyDescent="0.25">
      <c r="A484" s="2" t="s">
        <v>450</v>
      </c>
      <c r="B484" s="3">
        <v>25933</v>
      </c>
      <c r="C484" s="4" t="s">
        <v>761</v>
      </c>
      <c r="D484" s="62" t="e">
        <v>#N/A</v>
      </c>
      <c r="E484" s="55" t="e">
        <v>#N/A</v>
      </c>
      <c r="F484" s="55" t="e">
        <v>#N/A</v>
      </c>
      <c r="G484" s="55" t="e">
        <v>#N/A</v>
      </c>
      <c r="H484" s="55" t="e">
        <v>#N/A</v>
      </c>
      <c r="I484" s="55" t="e">
        <v>#N/A</v>
      </c>
      <c r="J484" s="55" t="e">
        <v>#N/A</v>
      </c>
      <c r="K484" s="55" t="e">
        <v>#N/A</v>
      </c>
    </row>
    <row r="485" spans="1:11" ht="30" hidden="1" x14ac:dyDescent="0.25">
      <c r="A485" s="2" t="s">
        <v>450</v>
      </c>
      <c r="B485" s="3">
        <v>25934</v>
      </c>
      <c r="C485" s="4" t="s">
        <v>762</v>
      </c>
      <c r="D485" s="62" t="e">
        <v>#N/A</v>
      </c>
      <c r="E485" s="55" t="e">
        <v>#N/A</v>
      </c>
      <c r="F485" s="55" t="e">
        <v>#N/A</v>
      </c>
      <c r="G485" s="55" t="e">
        <v>#N/A</v>
      </c>
      <c r="H485" s="55" t="e">
        <v>#N/A</v>
      </c>
      <c r="I485" s="55" t="e">
        <v>#N/A</v>
      </c>
      <c r="J485" s="55" t="e">
        <v>#N/A</v>
      </c>
      <c r="K485" s="55" t="e">
        <v>#N/A</v>
      </c>
    </row>
    <row r="486" spans="1:11" ht="60" hidden="1" x14ac:dyDescent="0.25">
      <c r="A486" s="2" t="s">
        <v>450</v>
      </c>
      <c r="B486" s="3">
        <v>25940</v>
      </c>
      <c r="C486" s="4" t="s">
        <v>763</v>
      </c>
      <c r="D486" s="62" t="e">
        <v>#N/A</v>
      </c>
      <c r="E486" s="55" t="e">
        <v>#N/A</v>
      </c>
      <c r="F486" s="55" t="e">
        <v>#N/A</v>
      </c>
      <c r="G486" s="55" t="e">
        <v>#N/A</v>
      </c>
      <c r="H486" s="55" t="e">
        <v>#N/A</v>
      </c>
      <c r="I486" s="55" t="e">
        <v>#N/A</v>
      </c>
      <c r="J486" s="55" t="e">
        <v>#N/A</v>
      </c>
      <c r="K486" s="55" t="e">
        <v>#N/A</v>
      </c>
    </row>
    <row r="487" spans="1:11" ht="45" hidden="1" x14ac:dyDescent="0.25">
      <c r="A487" s="2" t="s">
        <v>450</v>
      </c>
      <c r="B487" s="3">
        <v>25951</v>
      </c>
      <c r="C487" s="4" t="s">
        <v>764</v>
      </c>
      <c r="D487" s="62" t="e">
        <v>#N/A</v>
      </c>
      <c r="E487" s="55" t="e">
        <v>#N/A</v>
      </c>
      <c r="F487" s="55" t="e">
        <v>#N/A</v>
      </c>
      <c r="G487" s="55" t="e">
        <v>#N/A</v>
      </c>
      <c r="H487" s="55" t="e">
        <v>#N/A</v>
      </c>
      <c r="I487" s="55" t="e">
        <v>#N/A</v>
      </c>
      <c r="J487" s="55" t="e">
        <v>#N/A</v>
      </c>
      <c r="K487" s="55" t="e">
        <v>#N/A</v>
      </c>
    </row>
    <row r="488" spans="1:11" ht="30" hidden="1" x14ac:dyDescent="0.25">
      <c r="A488" s="2" t="s">
        <v>450</v>
      </c>
      <c r="B488" s="3">
        <v>25952</v>
      </c>
      <c r="C488" s="4" t="s">
        <v>765</v>
      </c>
      <c r="D488" s="62" t="e">
        <v>#N/A</v>
      </c>
      <c r="E488" s="55" t="e">
        <v>#N/A</v>
      </c>
      <c r="F488" s="55" t="e">
        <v>#N/A</v>
      </c>
      <c r="G488" s="55" t="e">
        <v>#N/A</v>
      </c>
      <c r="H488" s="55" t="e">
        <v>#N/A</v>
      </c>
      <c r="I488" s="55" t="e">
        <v>#N/A</v>
      </c>
      <c r="J488" s="55" t="e">
        <v>#N/A</v>
      </c>
      <c r="K488" s="55" t="e">
        <v>#N/A</v>
      </c>
    </row>
    <row r="489" spans="1:11" ht="45" hidden="1" x14ac:dyDescent="0.25">
      <c r="A489" s="2" t="s">
        <v>450</v>
      </c>
      <c r="B489" s="3">
        <v>25991</v>
      </c>
      <c r="C489" s="4" t="s">
        <v>766</v>
      </c>
      <c r="D489" s="62" t="e">
        <v>#N/A</v>
      </c>
      <c r="E489" s="55" t="e">
        <v>#N/A</v>
      </c>
      <c r="F489" s="55" t="e">
        <v>#N/A</v>
      </c>
      <c r="G489" s="55" t="e">
        <v>#N/A</v>
      </c>
      <c r="H489" s="55" t="e">
        <v>#N/A</v>
      </c>
      <c r="I489" s="55" t="e">
        <v>#N/A</v>
      </c>
      <c r="J489" s="55" t="e">
        <v>#N/A</v>
      </c>
      <c r="K489" s="55" t="e">
        <v>#N/A</v>
      </c>
    </row>
    <row r="490" spans="1:11" ht="60" hidden="1" x14ac:dyDescent="0.25">
      <c r="A490" s="2" t="s">
        <v>450</v>
      </c>
      <c r="B490" s="3">
        <v>25992</v>
      </c>
      <c r="C490" s="4" t="s">
        <v>767</v>
      </c>
      <c r="D490" s="62" t="e">
        <v>#N/A</v>
      </c>
      <c r="E490" s="55" t="e">
        <v>#N/A</v>
      </c>
      <c r="F490" s="55" t="e">
        <v>#N/A</v>
      </c>
      <c r="G490" s="55" t="e">
        <v>#N/A</v>
      </c>
      <c r="H490" s="55" t="e">
        <v>#N/A</v>
      </c>
      <c r="I490" s="55" t="e">
        <v>#N/A</v>
      </c>
      <c r="J490" s="55" t="e">
        <v>#N/A</v>
      </c>
      <c r="K490" s="55" t="e">
        <v>#N/A</v>
      </c>
    </row>
    <row r="491" spans="1:11" ht="60" hidden="1" x14ac:dyDescent="0.25">
      <c r="A491" s="2" t="s">
        <v>450</v>
      </c>
      <c r="B491" s="3">
        <v>25993</v>
      </c>
      <c r="C491" s="4" t="s">
        <v>768</v>
      </c>
      <c r="D491" s="62" t="e">
        <v>#N/A</v>
      </c>
      <c r="E491" s="55" t="e">
        <v>#N/A</v>
      </c>
      <c r="F491" s="55" t="e">
        <v>#N/A</v>
      </c>
      <c r="G491" s="55" t="e">
        <v>#N/A</v>
      </c>
      <c r="H491" s="55" t="e">
        <v>#N/A</v>
      </c>
      <c r="I491" s="55" t="e">
        <v>#N/A</v>
      </c>
      <c r="J491" s="55" t="e">
        <v>#N/A</v>
      </c>
      <c r="K491" s="55" t="e">
        <v>#N/A</v>
      </c>
    </row>
    <row r="492" spans="1:11" ht="30" hidden="1" x14ac:dyDescent="0.25">
      <c r="A492" s="2" t="s">
        <v>450</v>
      </c>
      <c r="B492" s="3">
        <v>25994</v>
      </c>
      <c r="C492" s="4" t="s">
        <v>769</v>
      </c>
      <c r="D492" s="62" t="e">
        <v>#N/A</v>
      </c>
      <c r="E492" s="55" t="e">
        <v>#N/A</v>
      </c>
      <c r="F492" s="55" t="e">
        <v>#N/A</v>
      </c>
      <c r="G492" s="55" t="e">
        <v>#N/A</v>
      </c>
      <c r="H492" s="55" t="e">
        <v>#N/A</v>
      </c>
      <c r="I492" s="55" t="e">
        <v>#N/A</v>
      </c>
      <c r="J492" s="55" t="e">
        <v>#N/A</v>
      </c>
      <c r="K492" s="55" t="e">
        <v>#N/A</v>
      </c>
    </row>
    <row r="493" spans="1:11" ht="30" hidden="1" x14ac:dyDescent="0.25">
      <c r="A493" s="2" t="s">
        <v>450</v>
      </c>
      <c r="B493" s="3">
        <v>25995</v>
      </c>
      <c r="C493" s="4" t="s">
        <v>770</v>
      </c>
      <c r="D493" s="62" t="e">
        <v>#N/A</v>
      </c>
      <c r="E493" s="55" t="e">
        <v>#N/A</v>
      </c>
      <c r="F493" s="55" t="e">
        <v>#N/A</v>
      </c>
      <c r="G493" s="55" t="e">
        <v>#N/A</v>
      </c>
      <c r="H493" s="55" t="e">
        <v>#N/A</v>
      </c>
      <c r="I493" s="55" t="e">
        <v>#N/A</v>
      </c>
      <c r="J493" s="55" t="e">
        <v>#N/A</v>
      </c>
      <c r="K493" s="55" t="e">
        <v>#N/A</v>
      </c>
    </row>
    <row r="494" spans="1:11" ht="30" hidden="1" x14ac:dyDescent="0.25">
      <c r="A494" s="2" t="s">
        <v>450</v>
      </c>
      <c r="B494" s="3">
        <v>25999</v>
      </c>
      <c r="C494" s="4" t="s">
        <v>771</v>
      </c>
      <c r="D494" s="62" t="e">
        <v>#N/A</v>
      </c>
      <c r="E494" s="55" t="e">
        <v>#N/A</v>
      </c>
      <c r="F494" s="55" t="e">
        <v>#N/A</v>
      </c>
      <c r="G494" s="55" t="e">
        <v>#N/A</v>
      </c>
      <c r="H494" s="55" t="e">
        <v>#N/A</v>
      </c>
      <c r="I494" s="55" t="e">
        <v>#N/A</v>
      </c>
      <c r="J494" s="55" t="e">
        <v>#N/A</v>
      </c>
      <c r="K494" s="55" t="e">
        <v>#N/A</v>
      </c>
    </row>
    <row r="495" spans="1:11" ht="60" hidden="1" x14ac:dyDescent="0.25">
      <c r="A495" s="2" t="s">
        <v>450</v>
      </c>
      <c r="B495" s="3">
        <v>26110</v>
      </c>
      <c r="C495" s="4" t="s">
        <v>772</v>
      </c>
      <c r="D495" s="62" t="e">
        <v>#N/A</v>
      </c>
      <c r="E495" s="55" t="e">
        <v>#N/A</v>
      </c>
      <c r="F495" s="55" t="e">
        <v>#N/A</v>
      </c>
      <c r="G495" s="55" t="s">
        <v>2090</v>
      </c>
      <c r="H495" s="55" t="e">
        <v>#N/A</v>
      </c>
      <c r="I495" s="55" t="e">
        <v>#N/A</v>
      </c>
      <c r="J495" s="55" t="e">
        <v>#N/A</v>
      </c>
      <c r="K495" s="55" t="e">
        <v>#N/A</v>
      </c>
    </row>
    <row r="496" spans="1:11" ht="60" hidden="1" x14ac:dyDescent="0.25">
      <c r="A496" s="2" t="s">
        <v>450</v>
      </c>
      <c r="B496" s="3">
        <v>26191</v>
      </c>
      <c r="C496" s="4" t="s">
        <v>773</v>
      </c>
      <c r="D496" s="62" t="e">
        <v>#N/A</v>
      </c>
      <c r="E496" s="55" t="e">
        <v>#N/A</v>
      </c>
      <c r="F496" s="55" t="e">
        <v>#N/A</v>
      </c>
      <c r="G496" s="55" t="s">
        <v>2090</v>
      </c>
      <c r="H496" s="55" t="e">
        <v>#N/A</v>
      </c>
      <c r="I496" s="55" t="e">
        <v>#N/A</v>
      </c>
      <c r="J496" s="55" t="e">
        <v>#N/A</v>
      </c>
      <c r="K496" s="55" t="e">
        <v>#N/A</v>
      </c>
    </row>
    <row r="497" spans="1:11" ht="60" hidden="1" x14ac:dyDescent="0.25">
      <c r="A497" s="2" t="s">
        <v>450</v>
      </c>
      <c r="B497" s="3">
        <v>26199</v>
      </c>
      <c r="C497" s="4" t="s">
        <v>774</v>
      </c>
      <c r="D497" s="62" t="e">
        <v>#N/A</v>
      </c>
      <c r="E497" s="55" t="e">
        <v>#N/A</v>
      </c>
      <c r="F497" s="55" t="e">
        <v>#N/A</v>
      </c>
      <c r="G497" s="55" t="s">
        <v>2090</v>
      </c>
      <c r="H497" s="55" t="e">
        <v>#N/A</v>
      </c>
      <c r="I497" s="55" t="e">
        <v>#N/A</v>
      </c>
      <c r="J497" s="55" t="e">
        <v>#N/A</v>
      </c>
      <c r="K497" s="55" t="e">
        <v>#N/A</v>
      </c>
    </row>
    <row r="498" spans="1:11" ht="45" hidden="1" x14ac:dyDescent="0.25">
      <c r="A498" s="2" t="s">
        <v>450</v>
      </c>
      <c r="B498" s="3">
        <v>26210</v>
      </c>
      <c r="C498" s="4" t="s">
        <v>775</v>
      </c>
      <c r="D498" s="62" t="e">
        <v>#N/A</v>
      </c>
      <c r="E498" s="55" t="e">
        <v>#N/A</v>
      </c>
      <c r="F498" s="55" t="e">
        <v>#N/A</v>
      </c>
      <c r="G498" s="55" t="s">
        <v>2090</v>
      </c>
      <c r="H498" s="55" t="e">
        <v>#N/A</v>
      </c>
      <c r="I498" s="55" t="e">
        <v>#N/A</v>
      </c>
      <c r="J498" s="55" t="e">
        <v>#N/A</v>
      </c>
      <c r="K498" s="55" t="e">
        <v>#N/A</v>
      </c>
    </row>
    <row r="499" spans="1:11" ht="45" hidden="1" x14ac:dyDescent="0.25">
      <c r="A499" s="2" t="s">
        <v>450</v>
      </c>
      <c r="B499" s="3">
        <v>26220</v>
      </c>
      <c r="C499" s="4" t="s">
        <v>776</v>
      </c>
      <c r="D499" s="62" t="e">
        <v>#N/A</v>
      </c>
      <c r="E499" s="55" t="e">
        <v>#N/A</v>
      </c>
      <c r="F499" s="55" t="e">
        <v>#N/A</v>
      </c>
      <c r="G499" s="55" t="s">
        <v>2090</v>
      </c>
      <c r="H499" s="55" t="e">
        <v>#N/A</v>
      </c>
      <c r="I499" s="55" t="e">
        <v>#N/A</v>
      </c>
      <c r="J499" s="55" t="e">
        <v>#N/A</v>
      </c>
      <c r="K499" s="55" t="e">
        <v>#N/A</v>
      </c>
    </row>
    <row r="500" spans="1:11" ht="45" hidden="1" x14ac:dyDescent="0.25">
      <c r="A500" s="2" t="s">
        <v>450</v>
      </c>
      <c r="B500" s="3">
        <v>26310</v>
      </c>
      <c r="C500" s="4" t="s">
        <v>777</v>
      </c>
      <c r="D500" s="62" t="e">
        <v>#N/A</v>
      </c>
      <c r="E500" s="55" t="e">
        <v>#N/A</v>
      </c>
      <c r="F500" s="55" t="e">
        <v>#N/A</v>
      </c>
      <c r="G500" s="55" t="s">
        <v>2090</v>
      </c>
      <c r="H500" s="55" t="e">
        <v>#N/A</v>
      </c>
      <c r="I500" s="55" t="e">
        <v>#N/A</v>
      </c>
      <c r="J500" s="55" t="e">
        <v>#N/A</v>
      </c>
      <c r="K500" s="55" t="e">
        <v>#N/A</v>
      </c>
    </row>
    <row r="501" spans="1:11" ht="45" hidden="1" x14ac:dyDescent="0.25">
      <c r="A501" s="2" t="s">
        <v>450</v>
      </c>
      <c r="B501" s="3">
        <v>26320</v>
      </c>
      <c r="C501" s="4" t="s">
        <v>778</v>
      </c>
      <c r="D501" s="62" t="e">
        <v>#N/A</v>
      </c>
      <c r="E501" s="55" t="e">
        <v>#N/A</v>
      </c>
      <c r="F501" s="55" t="e">
        <v>#N/A</v>
      </c>
      <c r="G501" s="55" t="s">
        <v>2090</v>
      </c>
      <c r="H501" s="55" t="e">
        <v>#N/A</v>
      </c>
      <c r="I501" s="55" t="e">
        <v>#N/A</v>
      </c>
      <c r="J501" s="55" t="e">
        <v>#N/A</v>
      </c>
      <c r="K501" s="55" t="e">
        <v>#N/A</v>
      </c>
    </row>
    <row r="502" spans="1:11" ht="30" hidden="1" x14ac:dyDescent="0.25">
      <c r="A502" s="2" t="s">
        <v>450</v>
      </c>
      <c r="B502" s="3">
        <v>26391</v>
      </c>
      <c r="C502" s="4" t="s">
        <v>779</v>
      </c>
      <c r="D502" s="62" t="e">
        <v>#N/A</v>
      </c>
      <c r="E502" s="55" t="e">
        <v>#N/A</v>
      </c>
      <c r="F502" s="55" t="e">
        <v>#N/A</v>
      </c>
      <c r="G502" s="55" t="s">
        <v>2090</v>
      </c>
      <c r="H502" s="55" t="e">
        <v>#N/A</v>
      </c>
      <c r="I502" s="55" t="e">
        <v>#N/A</v>
      </c>
      <c r="J502" s="55" t="e">
        <v>#N/A</v>
      </c>
      <c r="K502" s="55" t="e">
        <v>#N/A</v>
      </c>
    </row>
    <row r="503" spans="1:11" ht="30" hidden="1" x14ac:dyDescent="0.25">
      <c r="A503" s="2" t="s">
        <v>450</v>
      </c>
      <c r="B503" s="3">
        <v>26399</v>
      </c>
      <c r="C503" s="4" t="s">
        <v>780</v>
      </c>
      <c r="D503" s="62" t="e">
        <v>#N/A</v>
      </c>
      <c r="E503" s="55" t="e">
        <v>#N/A</v>
      </c>
      <c r="F503" s="55" t="e">
        <v>#N/A</v>
      </c>
      <c r="G503" s="55" t="s">
        <v>2090</v>
      </c>
      <c r="H503" s="55" t="e">
        <v>#N/A</v>
      </c>
      <c r="I503" s="55" t="e">
        <v>#N/A</v>
      </c>
      <c r="J503" s="55" t="e">
        <v>#N/A</v>
      </c>
      <c r="K503" s="55" t="e">
        <v>#N/A</v>
      </c>
    </row>
    <row r="504" spans="1:11" ht="45" hidden="1" x14ac:dyDescent="0.25">
      <c r="A504" s="2" t="s">
        <v>450</v>
      </c>
      <c r="B504" s="3">
        <v>26410</v>
      </c>
      <c r="C504" s="4" t="s">
        <v>781</v>
      </c>
      <c r="D504" s="62" t="e">
        <v>#N/A</v>
      </c>
      <c r="E504" s="55" t="e">
        <v>#N/A</v>
      </c>
      <c r="F504" s="55" t="e">
        <v>#N/A</v>
      </c>
      <c r="G504" s="55" t="s">
        <v>2090</v>
      </c>
      <c r="H504" s="55" t="e">
        <v>#N/A</v>
      </c>
      <c r="I504" s="55" t="e">
        <v>#N/A</v>
      </c>
      <c r="J504" s="55" t="e">
        <v>#N/A</v>
      </c>
      <c r="K504" s="55" t="e">
        <v>#N/A</v>
      </c>
    </row>
    <row r="505" spans="1:11" ht="60" hidden="1" x14ac:dyDescent="0.25">
      <c r="A505" s="2" t="s">
        <v>450</v>
      </c>
      <c r="B505" s="3">
        <v>26420</v>
      </c>
      <c r="C505" s="4" t="s">
        <v>782</v>
      </c>
      <c r="D505" s="62" t="e">
        <v>#N/A</v>
      </c>
      <c r="E505" s="55" t="e">
        <v>#N/A</v>
      </c>
      <c r="F505" s="55" t="e">
        <v>#N/A</v>
      </c>
      <c r="G505" s="55" t="s">
        <v>2090</v>
      </c>
      <c r="H505" s="55" t="e">
        <v>#N/A</v>
      </c>
      <c r="I505" s="55" t="e">
        <v>#N/A</v>
      </c>
      <c r="J505" s="55" t="e">
        <v>#N/A</v>
      </c>
      <c r="K505" s="55" t="e">
        <v>#N/A</v>
      </c>
    </row>
    <row r="506" spans="1:11" ht="45" hidden="1" x14ac:dyDescent="0.25">
      <c r="A506" s="2" t="s">
        <v>450</v>
      </c>
      <c r="B506" s="3">
        <v>26490</v>
      </c>
      <c r="C506" s="4" t="s">
        <v>783</v>
      </c>
      <c r="D506" s="62" t="e">
        <v>#N/A</v>
      </c>
      <c r="E506" s="55" t="e">
        <v>#N/A</v>
      </c>
      <c r="F506" s="55" t="e">
        <v>#N/A</v>
      </c>
      <c r="G506" s="55" t="s">
        <v>2090</v>
      </c>
      <c r="H506" s="55" t="e">
        <v>#N/A</v>
      </c>
      <c r="I506" s="55" t="e">
        <v>#N/A</v>
      </c>
      <c r="J506" s="55" t="e">
        <v>#N/A</v>
      </c>
      <c r="K506" s="55" t="e">
        <v>#N/A</v>
      </c>
    </row>
    <row r="507" spans="1:11" ht="30" hidden="1" x14ac:dyDescent="0.25">
      <c r="A507" s="2" t="s">
        <v>450</v>
      </c>
      <c r="B507" s="3">
        <v>26511</v>
      </c>
      <c r="C507" s="4" t="s">
        <v>784</v>
      </c>
      <c r="D507" s="62" t="e">
        <v>#N/A</v>
      </c>
      <c r="E507" s="55" t="e">
        <v>#N/A</v>
      </c>
      <c r="F507" s="55" t="e">
        <v>#N/A</v>
      </c>
      <c r="G507" s="55" t="s">
        <v>2090</v>
      </c>
      <c r="H507" s="55" t="e">
        <v>#N/A</v>
      </c>
      <c r="I507" s="55" t="e">
        <v>#N/A</v>
      </c>
      <c r="J507" s="55" t="e">
        <v>#N/A</v>
      </c>
      <c r="K507" s="55" t="e">
        <v>#N/A</v>
      </c>
    </row>
    <row r="508" spans="1:11" ht="30" hidden="1" x14ac:dyDescent="0.25">
      <c r="A508" s="2" t="s">
        <v>450</v>
      </c>
      <c r="B508" s="3">
        <v>26512</v>
      </c>
      <c r="C508" s="4" t="s">
        <v>785</v>
      </c>
      <c r="D508" s="62" t="e">
        <v>#N/A</v>
      </c>
      <c r="E508" s="55" t="e">
        <v>#N/A</v>
      </c>
      <c r="F508" s="55" t="e">
        <v>#N/A</v>
      </c>
      <c r="G508" s="55" t="s">
        <v>2090</v>
      </c>
      <c r="H508" s="55" t="e">
        <v>#N/A</v>
      </c>
      <c r="I508" s="55" t="e">
        <v>#N/A</v>
      </c>
      <c r="J508" s="55" t="e">
        <v>#N/A</v>
      </c>
      <c r="K508" s="55" t="e">
        <v>#N/A</v>
      </c>
    </row>
    <row r="509" spans="1:11" ht="45" hidden="1" x14ac:dyDescent="0.25">
      <c r="A509" s="2" t="s">
        <v>450</v>
      </c>
      <c r="B509" s="3">
        <v>26513</v>
      </c>
      <c r="C509" s="4" t="s">
        <v>786</v>
      </c>
      <c r="D509" s="62" t="e">
        <v>#N/A</v>
      </c>
      <c r="E509" s="55" t="e">
        <v>#N/A</v>
      </c>
      <c r="F509" s="55" t="e">
        <v>#N/A</v>
      </c>
      <c r="G509" s="55" t="s">
        <v>2060</v>
      </c>
      <c r="H509" s="55" t="e">
        <v>#N/A</v>
      </c>
      <c r="I509" s="55" t="e">
        <v>#N/A</v>
      </c>
      <c r="J509" s="55" t="e">
        <v>#N/A</v>
      </c>
      <c r="K509" s="55" t="e">
        <v>#N/A</v>
      </c>
    </row>
    <row r="510" spans="1:11" ht="60" hidden="1" x14ac:dyDescent="0.25">
      <c r="A510" s="2" t="s">
        <v>450</v>
      </c>
      <c r="B510" s="3">
        <v>26519</v>
      </c>
      <c r="C510" s="4" t="s">
        <v>787</v>
      </c>
      <c r="D510" s="62" t="e">
        <v>#N/A</v>
      </c>
      <c r="E510" s="55" t="e">
        <v>#N/A</v>
      </c>
      <c r="F510" s="55" t="e">
        <v>#N/A</v>
      </c>
      <c r="G510" s="55" t="s">
        <v>2090</v>
      </c>
      <c r="H510" s="55" t="e">
        <v>#N/A</v>
      </c>
      <c r="I510" s="55" t="e">
        <v>#N/A</v>
      </c>
      <c r="J510" s="55" t="e">
        <v>#N/A</v>
      </c>
      <c r="K510" s="55" t="e">
        <v>#N/A</v>
      </c>
    </row>
    <row r="511" spans="1:11" ht="30" hidden="1" x14ac:dyDescent="0.25">
      <c r="A511" s="2" t="s">
        <v>450</v>
      </c>
      <c r="B511" s="3">
        <v>26520</v>
      </c>
      <c r="C511" s="4" t="s">
        <v>788</v>
      </c>
      <c r="D511" s="62" t="e">
        <v>#N/A</v>
      </c>
      <c r="E511" s="55" t="e">
        <v>#N/A</v>
      </c>
      <c r="F511" s="55" t="e">
        <v>#N/A</v>
      </c>
      <c r="G511" s="55" t="s">
        <v>2090</v>
      </c>
      <c r="H511" s="55" t="e">
        <v>#N/A</v>
      </c>
      <c r="I511" s="55" t="e">
        <v>#N/A</v>
      </c>
      <c r="J511" s="55" t="e">
        <v>#N/A</v>
      </c>
      <c r="K511" s="55" t="e">
        <v>#N/A</v>
      </c>
    </row>
    <row r="512" spans="1:11" ht="60" hidden="1" x14ac:dyDescent="0.25">
      <c r="A512" s="2" t="s">
        <v>450</v>
      </c>
      <c r="B512" s="3">
        <v>26601</v>
      </c>
      <c r="C512" s="4" t="s">
        <v>789</v>
      </c>
      <c r="D512" s="62" t="e">
        <v>#N/A</v>
      </c>
      <c r="E512" s="55" t="e">
        <v>#N/A</v>
      </c>
      <c r="F512" s="55" t="e">
        <v>#N/A</v>
      </c>
      <c r="G512" s="55" t="s">
        <v>2090</v>
      </c>
      <c r="H512" s="55" t="e">
        <v>#N/A</v>
      </c>
      <c r="I512" s="55" t="e">
        <v>#N/A</v>
      </c>
      <c r="J512" s="55" t="e">
        <v>#N/A</v>
      </c>
      <c r="K512" s="55" t="e">
        <v>#N/A</v>
      </c>
    </row>
    <row r="513" spans="1:11" ht="45" hidden="1" x14ac:dyDescent="0.25">
      <c r="A513" s="2" t="s">
        <v>450</v>
      </c>
      <c r="B513" s="3">
        <v>26602</v>
      </c>
      <c r="C513" s="4" t="s">
        <v>790</v>
      </c>
      <c r="D513" s="62" t="e">
        <v>#N/A</v>
      </c>
      <c r="E513" s="55" t="e">
        <v>#N/A</v>
      </c>
      <c r="F513" s="55" t="e">
        <v>#N/A</v>
      </c>
      <c r="G513" s="55" t="s">
        <v>2090</v>
      </c>
      <c r="H513" s="55" t="e">
        <v>#N/A</v>
      </c>
      <c r="I513" s="55" t="e">
        <v>#N/A</v>
      </c>
      <c r="J513" s="55" t="e">
        <v>#N/A</v>
      </c>
      <c r="K513" s="55" t="e">
        <v>#N/A</v>
      </c>
    </row>
    <row r="514" spans="1:11" ht="30" hidden="1" x14ac:dyDescent="0.25">
      <c r="A514" s="2" t="s">
        <v>450</v>
      </c>
      <c r="B514" s="3">
        <v>26701</v>
      </c>
      <c r="C514" s="4" t="s">
        <v>791</v>
      </c>
      <c r="D514" s="62" t="e">
        <v>#N/A</v>
      </c>
      <c r="E514" s="55" t="e">
        <v>#N/A</v>
      </c>
      <c r="F514" s="55" t="e">
        <v>#N/A</v>
      </c>
      <c r="G514" s="55" t="s">
        <v>2090</v>
      </c>
      <c r="H514" s="55" t="e">
        <v>#N/A</v>
      </c>
      <c r="I514" s="55" t="e">
        <v>#N/A</v>
      </c>
      <c r="J514" s="55" t="e">
        <v>#N/A</v>
      </c>
      <c r="K514" s="55" t="e">
        <v>#N/A</v>
      </c>
    </row>
    <row r="515" spans="1:11" ht="30" hidden="1" x14ac:dyDescent="0.25">
      <c r="A515" s="2" t="s">
        <v>450</v>
      </c>
      <c r="B515" s="3">
        <v>26702</v>
      </c>
      <c r="C515" s="4" t="s">
        <v>792</v>
      </c>
      <c r="D515" s="62" t="e">
        <v>#N/A</v>
      </c>
      <c r="E515" s="55" t="e">
        <v>#N/A</v>
      </c>
      <c r="F515" s="55" t="e">
        <v>#N/A</v>
      </c>
      <c r="G515" s="55" t="s">
        <v>2090</v>
      </c>
      <c r="H515" s="55" t="e">
        <v>#N/A</v>
      </c>
      <c r="I515" s="55" t="e">
        <v>#N/A</v>
      </c>
      <c r="J515" s="55" t="e">
        <v>#N/A</v>
      </c>
      <c r="K515" s="55" t="e">
        <v>#N/A</v>
      </c>
    </row>
    <row r="516" spans="1:11" ht="30" hidden="1" x14ac:dyDescent="0.25">
      <c r="A516" s="2" t="s">
        <v>450</v>
      </c>
      <c r="B516" s="3">
        <v>26703</v>
      </c>
      <c r="C516" s="4" t="s">
        <v>793</v>
      </c>
      <c r="D516" s="62" t="e">
        <v>#N/A</v>
      </c>
      <c r="E516" s="55" t="e">
        <v>#N/A</v>
      </c>
      <c r="F516" s="55" t="e">
        <v>#N/A</v>
      </c>
      <c r="G516" s="55" t="s">
        <v>2090</v>
      </c>
      <c r="H516" s="55" t="e">
        <v>#N/A</v>
      </c>
      <c r="I516" s="55" t="e">
        <v>#N/A</v>
      </c>
      <c r="J516" s="55" t="e">
        <v>#N/A</v>
      </c>
      <c r="K516" s="55" t="e">
        <v>#N/A</v>
      </c>
    </row>
    <row r="517" spans="1:11" ht="60" hidden="1" x14ac:dyDescent="0.25">
      <c r="A517" s="2" t="s">
        <v>450</v>
      </c>
      <c r="B517" s="3">
        <v>26709</v>
      </c>
      <c r="C517" s="4" t="s">
        <v>794</v>
      </c>
      <c r="D517" s="62" t="e">
        <v>#N/A</v>
      </c>
      <c r="E517" s="55" t="e">
        <v>#N/A</v>
      </c>
      <c r="F517" s="55" t="e">
        <v>#N/A</v>
      </c>
      <c r="G517" s="55" t="s">
        <v>2090</v>
      </c>
      <c r="H517" s="55" t="e">
        <v>#N/A</v>
      </c>
      <c r="I517" s="55" t="e">
        <v>#N/A</v>
      </c>
      <c r="J517" s="55" t="e">
        <v>#N/A</v>
      </c>
      <c r="K517" s="55" t="e">
        <v>#N/A</v>
      </c>
    </row>
    <row r="518" spans="1:11" ht="45" hidden="1" x14ac:dyDescent="0.25">
      <c r="A518" s="2" t="s">
        <v>450</v>
      </c>
      <c r="B518" s="3">
        <v>26800</v>
      </c>
      <c r="C518" s="4" t="s">
        <v>795</v>
      </c>
      <c r="D518" s="62" t="e">
        <v>#N/A</v>
      </c>
      <c r="E518" s="55" t="e">
        <v>#N/A</v>
      </c>
      <c r="F518" s="55" t="e">
        <v>#N/A</v>
      </c>
      <c r="G518" s="55" t="s">
        <v>2090</v>
      </c>
      <c r="H518" s="55" t="e">
        <v>#N/A</v>
      </c>
      <c r="I518" s="55" t="e">
        <v>#N/A</v>
      </c>
      <c r="J518" s="55" t="e">
        <v>#N/A</v>
      </c>
      <c r="K518" s="55" t="e">
        <v>#N/A</v>
      </c>
    </row>
    <row r="519" spans="1:11" ht="30" hidden="1" x14ac:dyDescent="0.25">
      <c r="A519" s="2" t="s">
        <v>450</v>
      </c>
      <c r="B519" s="3">
        <v>27111</v>
      </c>
      <c r="C519" s="4" t="s">
        <v>796</v>
      </c>
      <c r="D519" s="62" t="e">
        <v>#N/A</v>
      </c>
      <c r="E519" s="55" t="e">
        <v>#N/A</v>
      </c>
      <c r="F519" s="55" t="e">
        <v>#N/A</v>
      </c>
      <c r="G519" s="55" t="s">
        <v>2090</v>
      </c>
      <c r="H519" s="55" t="e">
        <v>#N/A</v>
      </c>
      <c r="I519" s="55" t="e">
        <v>#N/A</v>
      </c>
      <c r="J519" s="55" t="e">
        <v>#N/A</v>
      </c>
      <c r="K519" s="55" t="e">
        <v>#N/A</v>
      </c>
    </row>
    <row r="520" spans="1:11" ht="30" hidden="1" x14ac:dyDescent="0.25">
      <c r="A520" s="2" t="s">
        <v>450</v>
      </c>
      <c r="B520" s="3">
        <v>27112</v>
      </c>
      <c r="C520" s="4" t="s">
        <v>797</v>
      </c>
      <c r="D520" s="62" t="e">
        <v>#N/A</v>
      </c>
      <c r="E520" s="55" t="e">
        <v>#N/A</v>
      </c>
      <c r="F520" s="55" t="e">
        <v>#N/A</v>
      </c>
      <c r="G520" s="55" t="s">
        <v>2090</v>
      </c>
      <c r="H520" s="55" t="e">
        <v>#N/A</v>
      </c>
      <c r="I520" s="55" t="e">
        <v>#N/A</v>
      </c>
      <c r="J520" s="55" t="e">
        <v>#N/A</v>
      </c>
      <c r="K520" s="55" t="e">
        <v>#N/A</v>
      </c>
    </row>
    <row r="521" spans="1:11" ht="60" hidden="1" x14ac:dyDescent="0.25">
      <c r="A521" s="2" t="s">
        <v>450</v>
      </c>
      <c r="B521" s="3">
        <v>27113</v>
      </c>
      <c r="C521" s="4" t="s">
        <v>798</v>
      </c>
      <c r="D521" s="62" t="e">
        <v>#N/A</v>
      </c>
      <c r="E521" s="55" t="e">
        <v>#N/A</v>
      </c>
      <c r="F521" s="55" t="e">
        <v>#N/A</v>
      </c>
      <c r="G521" s="55" t="s">
        <v>2090</v>
      </c>
      <c r="H521" s="55" t="e">
        <v>#N/A</v>
      </c>
      <c r="I521" s="55" t="e">
        <v>#N/A</v>
      </c>
      <c r="J521" s="55" t="e">
        <v>#N/A</v>
      </c>
      <c r="K521" s="55" t="e">
        <v>#N/A</v>
      </c>
    </row>
    <row r="522" spans="1:11" ht="60" hidden="1" x14ac:dyDescent="0.25">
      <c r="A522" s="2" t="s">
        <v>450</v>
      </c>
      <c r="B522" s="3">
        <v>27120</v>
      </c>
      <c r="C522" s="4" t="s">
        <v>799</v>
      </c>
      <c r="D522" s="62" t="e">
        <v>#N/A</v>
      </c>
      <c r="E522" s="55" t="e">
        <v>#N/A</v>
      </c>
      <c r="F522" s="55" t="e">
        <v>#N/A</v>
      </c>
      <c r="G522" s="55" t="s">
        <v>2090</v>
      </c>
      <c r="H522" s="55" t="e">
        <v>#N/A</v>
      </c>
      <c r="I522" s="55" t="e">
        <v>#N/A</v>
      </c>
      <c r="J522" s="55" t="e">
        <v>#N/A</v>
      </c>
      <c r="K522" s="55" t="e">
        <v>#N/A</v>
      </c>
    </row>
    <row r="523" spans="1:11" ht="30" hidden="1" x14ac:dyDescent="0.25">
      <c r="A523" s="2" t="s">
        <v>450</v>
      </c>
      <c r="B523" s="3">
        <v>27201</v>
      </c>
      <c r="C523" s="4" t="s">
        <v>800</v>
      </c>
      <c r="D523" s="62" t="e">
        <v>#N/A</v>
      </c>
      <c r="E523" s="55" t="e">
        <v>#N/A</v>
      </c>
      <c r="F523" s="55" t="e">
        <v>#N/A</v>
      </c>
      <c r="G523" s="55" t="s">
        <v>2090</v>
      </c>
      <c r="H523" s="55" t="e">
        <v>#N/A</v>
      </c>
      <c r="I523" s="55" t="e">
        <v>#N/A</v>
      </c>
      <c r="J523" s="55" t="e">
        <v>#N/A</v>
      </c>
      <c r="K523" s="55" t="e">
        <v>#N/A</v>
      </c>
    </row>
    <row r="524" spans="1:11" ht="30" hidden="1" x14ac:dyDescent="0.25">
      <c r="A524" s="2" t="s">
        <v>450</v>
      </c>
      <c r="B524" s="3">
        <v>27202</v>
      </c>
      <c r="C524" s="4" t="s">
        <v>801</v>
      </c>
      <c r="D524" s="62" t="e">
        <v>#N/A</v>
      </c>
      <c r="E524" s="55" t="e">
        <v>#N/A</v>
      </c>
      <c r="F524" s="55" t="e">
        <v>#N/A</v>
      </c>
      <c r="G524" s="55" t="s">
        <v>2090</v>
      </c>
      <c r="H524" s="55" t="e">
        <v>#N/A</v>
      </c>
      <c r="I524" s="55" t="e">
        <v>#N/A</v>
      </c>
      <c r="J524" s="55" t="e">
        <v>#N/A</v>
      </c>
      <c r="K524" s="55" t="e">
        <v>#N/A</v>
      </c>
    </row>
    <row r="525" spans="1:11" ht="30" hidden="1" x14ac:dyDescent="0.25">
      <c r="A525" s="2" t="s">
        <v>450</v>
      </c>
      <c r="B525" s="3">
        <v>27203</v>
      </c>
      <c r="C525" s="4" t="s">
        <v>802</v>
      </c>
      <c r="D525" s="62" t="e">
        <v>#N/A</v>
      </c>
      <c r="E525" s="55" t="e">
        <v>#N/A</v>
      </c>
      <c r="F525" s="55" t="e">
        <v>#N/A</v>
      </c>
      <c r="G525" s="55" t="s">
        <v>2090</v>
      </c>
      <c r="H525" s="55" t="e">
        <v>#N/A</v>
      </c>
      <c r="I525" s="55" t="e">
        <v>#N/A</v>
      </c>
      <c r="J525" s="55" t="e">
        <v>#N/A</v>
      </c>
      <c r="K525" s="55" t="e">
        <v>#N/A</v>
      </c>
    </row>
    <row r="526" spans="1:11" ht="30" hidden="1" x14ac:dyDescent="0.25">
      <c r="A526" s="2" t="s">
        <v>450</v>
      </c>
      <c r="B526" s="3">
        <v>27310</v>
      </c>
      <c r="C526" s="4" t="s">
        <v>803</v>
      </c>
      <c r="D526" s="62" t="e">
        <v>#N/A</v>
      </c>
      <c r="E526" s="55" t="e">
        <v>#N/A</v>
      </c>
      <c r="F526" s="55" t="e">
        <v>#N/A</v>
      </c>
      <c r="G526" s="55" t="s">
        <v>2090</v>
      </c>
      <c r="H526" s="55" t="e">
        <v>#N/A</v>
      </c>
      <c r="I526" s="55" t="e">
        <v>#N/A</v>
      </c>
      <c r="J526" s="55" t="e">
        <v>#N/A</v>
      </c>
      <c r="K526" s="55" t="e">
        <v>#N/A</v>
      </c>
    </row>
    <row r="527" spans="1:11" ht="45" hidden="1" x14ac:dyDescent="0.25">
      <c r="A527" s="2" t="s">
        <v>450</v>
      </c>
      <c r="B527" s="3">
        <v>27320</v>
      </c>
      <c r="C527" s="4" t="s">
        <v>804</v>
      </c>
      <c r="D527" s="62" t="e">
        <v>#N/A</v>
      </c>
      <c r="E527" s="55" t="e">
        <v>#N/A</v>
      </c>
      <c r="F527" s="55" t="e">
        <v>#N/A</v>
      </c>
      <c r="G527" s="55" t="s">
        <v>2090</v>
      </c>
      <c r="H527" s="55" t="e">
        <v>#N/A</v>
      </c>
      <c r="I527" s="55" t="e">
        <v>#N/A</v>
      </c>
      <c r="J527" s="55" t="e">
        <v>#N/A</v>
      </c>
      <c r="K527" s="55" t="e">
        <v>#N/A</v>
      </c>
    </row>
    <row r="528" spans="1:11" ht="30" hidden="1" x14ac:dyDescent="0.25">
      <c r="A528" s="2" t="s">
        <v>450</v>
      </c>
      <c r="B528" s="3">
        <v>27330</v>
      </c>
      <c r="C528" s="4" t="s">
        <v>805</v>
      </c>
      <c r="D528" s="62" t="e">
        <v>#N/A</v>
      </c>
      <c r="E528" s="55" t="e">
        <v>#N/A</v>
      </c>
      <c r="F528" s="55" t="e">
        <v>#N/A</v>
      </c>
      <c r="G528" s="55" t="s">
        <v>2090</v>
      </c>
      <c r="H528" s="55" t="e">
        <v>#N/A</v>
      </c>
      <c r="I528" s="55" t="e">
        <v>#N/A</v>
      </c>
      <c r="J528" s="55" t="e">
        <v>#N/A</v>
      </c>
      <c r="K528" s="55" t="e">
        <v>#N/A</v>
      </c>
    </row>
    <row r="529" spans="1:11" ht="60" hidden="1" x14ac:dyDescent="0.25">
      <c r="A529" s="2" t="s">
        <v>450</v>
      </c>
      <c r="B529" s="3">
        <v>27401</v>
      </c>
      <c r="C529" s="4" t="s">
        <v>806</v>
      </c>
      <c r="D529" s="62" t="e">
        <v>#N/A</v>
      </c>
      <c r="E529" s="55" t="e">
        <v>#N/A</v>
      </c>
      <c r="F529" s="55" t="e">
        <v>#N/A</v>
      </c>
      <c r="G529" s="55" t="s">
        <v>2090</v>
      </c>
      <c r="H529" s="55" t="e">
        <v>#N/A</v>
      </c>
      <c r="I529" s="55" t="e">
        <v>#N/A</v>
      </c>
      <c r="J529" s="55" t="e">
        <v>#N/A</v>
      </c>
      <c r="K529" s="55" t="e">
        <v>#N/A</v>
      </c>
    </row>
    <row r="530" spans="1:11" ht="30" hidden="1" x14ac:dyDescent="0.25">
      <c r="A530" s="2" t="s">
        <v>450</v>
      </c>
      <c r="B530" s="3">
        <v>27402</v>
      </c>
      <c r="C530" s="4" t="s">
        <v>807</v>
      </c>
      <c r="D530" s="62" t="e">
        <v>#N/A</v>
      </c>
      <c r="E530" s="55" t="e">
        <v>#N/A</v>
      </c>
      <c r="F530" s="55" t="e">
        <v>#N/A</v>
      </c>
      <c r="G530" s="55" t="s">
        <v>2090</v>
      </c>
      <c r="H530" s="55" t="e">
        <v>#N/A</v>
      </c>
      <c r="I530" s="55" t="e">
        <v>#N/A</v>
      </c>
      <c r="J530" s="55" t="e">
        <v>#N/A</v>
      </c>
      <c r="K530" s="55" t="e">
        <v>#N/A</v>
      </c>
    </row>
    <row r="531" spans="1:11" ht="45" hidden="1" x14ac:dyDescent="0.25">
      <c r="A531" s="2" t="s">
        <v>450</v>
      </c>
      <c r="B531" s="3">
        <v>27403</v>
      </c>
      <c r="C531" s="4" t="s">
        <v>808</v>
      </c>
      <c r="D531" s="62" t="e">
        <v>#N/A</v>
      </c>
      <c r="E531" s="55" t="e">
        <v>#N/A</v>
      </c>
      <c r="F531" s="55" t="e">
        <v>#N/A</v>
      </c>
      <c r="G531" s="55" t="s">
        <v>2090</v>
      </c>
      <c r="H531" s="55" t="e">
        <v>#N/A</v>
      </c>
      <c r="I531" s="55" t="e">
        <v>#N/A</v>
      </c>
      <c r="J531" s="55" t="e">
        <v>#N/A</v>
      </c>
      <c r="K531" s="55" t="e">
        <v>#N/A</v>
      </c>
    </row>
    <row r="532" spans="1:11" hidden="1" x14ac:dyDescent="0.25">
      <c r="A532" s="2" t="s">
        <v>450</v>
      </c>
      <c r="B532" s="3">
        <v>27404</v>
      </c>
      <c r="C532" s="4" t="s">
        <v>809</v>
      </c>
      <c r="D532" s="62" t="e">
        <v>#N/A</v>
      </c>
      <c r="E532" s="55" t="e">
        <v>#N/A</v>
      </c>
      <c r="F532" s="55" t="e">
        <v>#N/A</v>
      </c>
      <c r="G532" s="55" t="s">
        <v>2090</v>
      </c>
      <c r="H532" s="55" t="e">
        <v>#N/A</v>
      </c>
      <c r="I532" s="55" t="e">
        <v>#N/A</v>
      </c>
      <c r="J532" s="55" t="e">
        <v>#N/A</v>
      </c>
      <c r="K532" s="55" t="e">
        <v>#N/A</v>
      </c>
    </row>
    <row r="533" spans="1:11" ht="45" hidden="1" x14ac:dyDescent="0.25">
      <c r="A533" s="2" t="s">
        <v>450</v>
      </c>
      <c r="B533" s="3">
        <v>27409</v>
      </c>
      <c r="C533" s="4" t="s">
        <v>810</v>
      </c>
      <c r="D533" s="62" t="e">
        <v>#N/A</v>
      </c>
      <c r="E533" s="55" t="e">
        <v>#N/A</v>
      </c>
      <c r="F533" s="55" t="e">
        <v>#N/A</v>
      </c>
      <c r="G533" s="55" t="s">
        <v>2090</v>
      </c>
      <c r="H533" s="55" t="e">
        <v>#N/A</v>
      </c>
      <c r="I533" s="55" t="e">
        <v>#N/A</v>
      </c>
      <c r="J533" s="55" t="e">
        <v>#N/A</v>
      </c>
      <c r="K533" s="55" t="e">
        <v>#N/A</v>
      </c>
    </row>
    <row r="534" spans="1:11" ht="45" hidden="1" x14ac:dyDescent="0.25">
      <c r="A534" s="2" t="s">
        <v>450</v>
      </c>
      <c r="B534" s="3">
        <v>27510</v>
      </c>
      <c r="C534" s="4" t="s">
        <v>811</v>
      </c>
      <c r="D534" s="62" t="e">
        <v>#N/A</v>
      </c>
      <c r="E534" s="55" t="e">
        <v>#N/A</v>
      </c>
      <c r="F534" s="55" t="e">
        <v>#N/A</v>
      </c>
      <c r="G534" s="55" t="s">
        <v>2060</v>
      </c>
      <c r="H534" s="55" t="e">
        <v>#N/A</v>
      </c>
      <c r="I534" s="55" t="e">
        <v>#N/A</v>
      </c>
      <c r="J534" s="55" t="e">
        <v>#N/A</v>
      </c>
      <c r="K534" s="55" t="e">
        <v>#N/A</v>
      </c>
    </row>
    <row r="535" spans="1:11" ht="45" hidden="1" x14ac:dyDescent="0.25">
      <c r="A535" s="2" t="s">
        <v>450</v>
      </c>
      <c r="B535" s="3">
        <v>27520</v>
      </c>
      <c r="C535" s="4" t="s">
        <v>812</v>
      </c>
      <c r="D535" s="62" t="e">
        <v>#N/A</v>
      </c>
      <c r="E535" s="55" t="e">
        <v>#N/A</v>
      </c>
      <c r="F535" s="55" t="e">
        <v>#N/A</v>
      </c>
      <c r="G535" s="55" t="s">
        <v>2090</v>
      </c>
      <c r="H535" s="55" t="e">
        <v>#N/A</v>
      </c>
      <c r="I535" s="55" t="e">
        <v>#N/A</v>
      </c>
      <c r="J535" s="55" t="e">
        <v>#N/A</v>
      </c>
      <c r="K535" s="55" t="e">
        <v>#N/A</v>
      </c>
    </row>
    <row r="536" spans="1:11" ht="45" hidden="1" x14ac:dyDescent="0.25">
      <c r="A536" s="2" t="s">
        <v>450</v>
      </c>
      <c r="B536" s="3">
        <v>27530</v>
      </c>
      <c r="C536" s="4" t="s">
        <v>813</v>
      </c>
      <c r="D536" s="62" t="e">
        <v>#N/A</v>
      </c>
      <c r="E536" s="55" t="e">
        <v>#N/A</v>
      </c>
      <c r="F536" s="55" t="e">
        <v>#N/A</v>
      </c>
      <c r="G536" s="55" t="s">
        <v>2090</v>
      </c>
      <c r="H536" s="55" t="e">
        <v>#N/A</v>
      </c>
      <c r="I536" s="55" t="e">
        <v>#N/A</v>
      </c>
      <c r="J536" s="55" t="e">
        <v>#N/A</v>
      </c>
      <c r="K536" s="55" t="e">
        <v>#N/A</v>
      </c>
    </row>
    <row r="537" spans="1:11" ht="30" hidden="1" x14ac:dyDescent="0.25">
      <c r="A537" s="2" t="s">
        <v>450</v>
      </c>
      <c r="B537" s="3">
        <v>27900</v>
      </c>
      <c r="C537" s="4" t="s">
        <v>814</v>
      </c>
      <c r="D537" s="62" t="e">
        <v>#N/A</v>
      </c>
      <c r="E537" s="55" t="e">
        <v>#N/A</v>
      </c>
      <c r="F537" s="55" t="e">
        <v>#N/A</v>
      </c>
      <c r="G537" s="55" t="s">
        <v>2090</v>
      </c>
      <c r="H537" s="55" t="e">
        <v>#N/A</v>
      </c>
      <c r="I537" s="55" t="e">
        <v>#N/A</v>
      </c>
      <c r="J537" s="55" t="e">
        <v>#N/A</v>
      </c>
      <c r="K537" s="55" t="e">
        <v>#N/A</v>
      </c>
    </row>
    <row r="538" spans="1:11" ht="30" hidden="1" x14ac:dyDescent="0.25">
      <c r="A538" s="2" t="s">
        <v>450</v>
      </c>
      <c r="B538" s="3">
        <v>28111</v>
      </c>
      <c r="C538" s="4" t="s">
        <v>815</v>
      </c>
      <c r="D538" s="62" t="e">
        <v>#N/A</v>
      </c>
      <c r="E538" s="55" t="e">
        <v>#N/A</v>
      </c>
      <c r="F538" s="55" t="e">
        <v>#N/A</v>
      </c>
      <c r="G538" s="55" t="s">
        <v>2090</v>
      </c>
      <c r="H538" s="55" t="e">
        <v>#N/A</v>
      </c>
      <c r="I538" s="55" t="e">
        <v>#N/A</v>
      </c>
      <c r="J538" s="55" t="e">
        <v>#N/A</v>
      </c>
      <c r="K538" s="55" t="e">
        <v>#N/A</v>
      </c>
    </row>
    <row r="539" spans="1:11" ht="30" hidden="1" x14ac:dyDescent="0.25">
      <c r="A539" s="2" t="s">
        <v>450</v>
      </c>
      <c r="B539" s="3">
        <v>28112</v>
      </c>
      <c r="C539" s="4" t="s">
        <v>816</v>
      </c>
      <c r="D539" s="62" t="e">
        <v>#N/A</v>
      </c>
      <c r="E539" s="55" t="e">
        <v>#N/A</v>
      </c>
      <c r="F539" s="55" t="e">
        <v>#N/A</v>
      </c>
      <c r="G539" s="55" t="s">
        <v>2090</v>
      </c>
      <c r="H539" s="55" t="e">
        <v>#N/A</v>
      </c>
      <c r="I539" s="55" t="e">
        <v>#N/A</v>
      </c>
      <c r="J539" s="55" t="e">
        <v>#N/A</v>
      </c>
      <c r="K539" s="55" t="e">
        <v>#N/A</v>
      </c>
    </row>
    <row r="540" spans="1:11" ht="45" hidden="1" x14ac:dyDescent="0.25">
      <c r="A540" s="2" t="s">
        <v>450</v>
      </c>
      <c r="B540" s="3">
        <v>28113</v>
      </c>
      <c r="C540" s="4" t="s">
        <v>817</v>
      </c>
      <c r="D540" s="62" t="e">
        <v>#N/A</v>
      </c>
      <c r="E540" s="55" t="e">
        <v>#N/A</v>
      </c>
      <c r="F540" s="55" t="e">
        <v>#N/A</v>
      </c>
      <c r="G540" s="55" t="s">
        <v>2090</v>
      </c>
      <c r="H540" s="55" t="e">
        <v>#N/A</v>
      </c>
      <c r="I540" s="55" t="e">
        <v>#N/A</v>
      </c>
      <c r="J540" s="55" t="e">
        <v>#N/A</v>
      </c>
      <c r="K540" s="55" t="e">
        <v>#N/A</v>
      </c>
    </row>
    <row r="541" spans="1:11" ht="45" hidden="1" x14ac:dyDescent="0.25">
      <c r="A541" s="2" t="s">
        <v>450</v>
      </c>
      <c r="B541" s="3">
        <v>28120</v>
      </c>
      <c r="C541" s="4" t="s">
        <v>818</v>
      </c>
      <c r="D541" s="62" t="e">
        <v>#N/A</v>
      </c>
      <c r="E541" s="55" t="e">
        <v>#N/A</v>
      </c>
      <c r="F541" s="55" t="e">
        <v>#N/A</v>
      </c>
      <c r="G541" s="55" t="s">
        <v>2090</v>
      </c>
      <c r="H541" s="55" t="e">
        <v>#N/A</v>
      </c>
      <c r="I541" s="55" t="e">
        <v>#N/A</v>
      </c>
      <c r="J541" s="55" t="e">
        <v>#N/A</v>
      </c>
      <c r="K541" s="55" t="e">
        <v>#N/A</v>
      </c>
    </row>
    <row r="542" spans="1:11" ht="60" hidden="1" x14ac:dyDescent="0.25">
      <c r="A542" s="2" t="s">
        <v>450</v>
      </c>
      <c r="B542" s="3">
        <v>28130</v>
      </c>
      <c r="C542" s="4" t="s">
        <v>819</v>
      </c>
      <c r="D542" s="62" t="e">
        <v>#N/A</v>
      </c>
      <c r="E542" s="55" t="e">
        <v>#N/A</v>
      </c>
      <c r="F542" s="55" t="e">
        <v>#N/A</v>
      </c>
      <c r="G542" s="55" t="s">
        <v>2060</v>
      </c>
      <c r="H542" s="55" t="e">
        <v>#N/A</v>
      </c>
      <c r="I542" s="55" t="e">
        <v>#N/A</v>
      </c>
      <c r="J542" s="55" t="e">
        <v>#N/A</v>
      </c>
      <c r="K542" s="55" t="e">
        <v>#N/A</v>
      </c>
    </row>
    <row r="543" spans="1:11" ht="60" hidden="1" x14ac:dyDescent="0.25">
      <c r="A543" s="2" t="s">
        <v>450</v>
      </c>
      <c r="B543" s="3">
        <v>28140</v>
      </c>
      <c r="C543" s="4" t="s">
        <v>820</v>
      </c>
      <c r="D543" s="62" t="e">
        <v>#N/A</v>
      </c>
      <c r="E543" s="55" t="e">
        <v>#N/A</v>
      </c>
      <c r="F543" s="55" t="e">
        <v>#N/A</v>
      </c>
      <c r="G543" s="55" t="s">
        <v>2090</v>
      </c>
      <c r="H543" s="55" t="e">
        <v>#N/A</v>
      </c>
      <c r="I543" s="55" t="e">
        <v>#N/A</v>
      </c>
      <c r="J543" s="55" t="e">
        <v>#N/A</v>
      </c>
      <c r="K543" s="55" t="e">
        <v>#N/A</v>
      </c>
    </row>
    <row r="544" spans="1:11" ht="60" hidden="1" x14ac:dyDescent="0.25">
      <c r="A544" s="2" t="s">
        <v>450</v>
      </c>
      <c r="B544" s="3">
        <v>28151</v>
      </c>
      <c r="C544" s="4" t="s">
        <v>821</v>
      </c>
      <c r="D544" s="62" t="e">
        <v>#N/A</v>
      </c>
      <c r="E544" s="55" t="e">
        <v>#N/A</v>
      </c>
      <c r="F544" s="55" t="e">
        <v>#N/A</v>
      </c>
      <c r="G544" s="55" t="s">
        <v>2090</v>
      </c>
      <c r="H544" s="55" t="e">
        <v>#N/A</v>
      </c>
      <c r="I544" s="55" t="e">
        <v>#N/A</v>
      </c>
      <c r="J544" s="55" t="e">
        <v>#N/A</v>
      </c>
      <c r="K544" s="55" t="e">
        <v>#N/A</v>
      </c>
    </row>
    <row r="545" spans="1:11" ht="60" hidden="1" x14ac:dyDescent="0.25">
      <c r="A545" s="2" t="s">
        <v>450</v>
      </c>
      <c r="B545" s="3">
        <v>28152</v>
      </c>
      <c r="C545" s="4" t="s">
        <v>821</v>
      </c>
      <c r="D545" s="62" t="e">
        <v>#N/A</v>
      </c>
      <c r="E545" s="55" t="e">
        <v>#N/A</v>
      </c>
      <c r="F545" s="55" t="e">
        <v>#N/A</v>
      </c>
      <c r="G545" s="55" t="s">
        <v>2090</v>
      </c>
      <c r="H545" s="55" t="e">
        <v>#N/A</v>
      </c>
      <c r="I545" s="55" t="e">
        <v>#N/A</v>
      </c>
      <c r="J545" s="55" t="e">
        <v>#N/A</v>
      </c>
      <c r="K545" s="55" t="e">
        <v>#N/A</v>
      </c>
    </row>
    <row r="546" spans="1:11" ht="45" hidden="1" x14ac:dyDescent="0.25">
      <c r="A546" s="2" t="s">
        <v>450</v>
      </c>
      <c r="B546" s="3">
        <v>28160</v>
      </c>
      <c r="C546" s="4" t="s">
        <v>822</v>
      </c>
      <c r="D546" s="62" t="e">
        <v>#N/A</v>
      </c>
      <c r="E546" s="55" t="e">
        <v>#N/A</v>
      </c>
      <c r="F546" s="55" t="e">
        <v>#N/A</v>
      </c>
      <c r="G546" s="55" t="s">
        <v>2090</v>
      </c>
      <c r="H546" s="55" t="e">
        <v>#N/A</v>
      </c>
      <c r="I546" s="55" t="e">
        <v>#N/A</v>
      </c>
      <c r="J546" s="55" t="e">
        <v>#N/A</v>
      </c>
      <c r="K546" s="55" t="e">
        <v>#N/A</v>
      </c>
    </row>
    <row r="547" spans="1:11" ht="45" hidden="1" x14ac:dyDescent="0.25">
      <c r="A547" s="2" t="s">
        <v>450</v>
      </c>
      <c r="B547" s="3">
        <v>28171</v>
      </c>
      <c r="C547" s="4" t="s">
        <v>823</v>
      </c>
      <c r="D547" s="62" t="e">
        <v>#N/A</v>
      </c>
      <c r="E547" s="55" t="e">
        <v>#N/A</v>
      </c>
      <c r="F547" s="55" t="e">
        <v>#N/A</v>
      </c>
      <c r="G547" s="55" t="s">
        <v>2090</v>
      </c>
      <c r="H547" s="55" t="e">
        <v>#N/A</v>
      </c>
      <c r="I547" s="55" t="e">
        <v>#N/A</v>
      </c>
      <c r="J547" s="55" t="e">
        <v>#N/A</v>
      </c>
      <c r="K547" s="55" t="e">
        <v>#N/A</v>
      </c>
    </row>
    <row r="548" spans="1:11" ht="45" hidden="1" x14ac:dyDescent="0.25">
      <c r="A548" s="2" t="s">
        <v>450</v>
      </c>
      <c r="B548" s="3">
        <v>28172</v>
      </c>
      <c r="C548" s="4" t="s">
        <v>824</v>
      </c>
      <c r="D548" s="62" t="e">
        <v>#N/A</v>
      </c>
      <c r="E548" s="55" t="e">
        <v>#N/A</v>
      </c>
      <c r="F548" s="55" t="e">
        <v>#N/A</v>
      </c>
      <c r="G548" s="55" t="s">
        <v>2090</v>
      </c>
      <c r="H548" s="55" t="e">
        <v>#N/A</v>
      </c>
      <c r="I548" s="55" t="e">
        <v>#N/A</v>
      </c>
      <c r="J548" s="55" t="e">
        <v>#N/A</v>
      </c>
      <c r="K548" s="55" t="e">
        <v>#N/A</v>
      </c>
    </row>
    <row r="549" spans="1:11" ht="60" hidden="1" x14ac:dyDescent="0.25">
      <c r="A549" s="2" t="s">
        <v>450</v>
      </c>
      <c r="B549" s="3">
        <v>28173</v>
      </c>
      <c r="C549" s="4" t="s">
        <v>825</v>
      </c>
      <c r="D549" s="62" t="e">
        <v>#N/A</v>
      </c>
      <c r="E549" s="55" t="e">
        <v>#N/A</v>
      </c>
      <c r="F549" s="55" t="e">
        <v>#N/A</v>
      </c>
      <c r="G549" s="55" t="s">
        <v>2090</v>
      </c>
      <c r="H549" s="55" t="e">
        <v>#N/A</v>
      </c>
      <c r="I549" s="55" t="e">
        <v>#N/A</v>
      </c>
      <c r="J549" s="55" t="e">
        <v>#N/A</v>
      </c>
      <c r="K549" s="55" t="e">
        <v>#N/A</v>
      </c>
    </row>
    <row r="550" spans="1:11" ht="30" hidden="1" x14ac:dyDescent="0.25">
      <c r="A550" s="2" t="s">
        <v>450</v>
      </c>
      <c r="B550" s="3">
        <v>28179</v>
      </c>
      <c r="C550" s="4" t="s">
        <v>826</v>
      </c>
      <c r="D550" s="62" t="e">
        <v>#N/A</v>
      </c>
      <c r="E550" s="55" t="e">
        <v>#N/A</v>
      </c>
      <c r="F550" s="55" t="e">
        <v>#N/A</v>
      </c>
      <c r="G550" s="55" t="s">
        <v>2090</v>
      </c>
      <c r="H550" s="55" t="e">
        <v>#N/A</v>
      </c>
      <c r="I550" s="55" t="e">
        <v>#N/A</v>
      </c>
      <c r="J550" s="55" t="e">
        <v>#N/A</v>
      </c>
      <c r="K550" s="55" t="e">
        <v>#N/A</v>
      </c>
    </row>
    <row r="551" spans="1:11" ht="45" hidden="1" x14ac:dyDescent="0.25">
      <c r="A551" s="2" t="s">
        <v>450</v>
      </c>
      <c r="B551" s="3">
        <v>28180</v>
      </c>
      <c r="C551" s="4" t="s">
        <v>827</v>
      </c>
      <c r="D551" s="62" t="e">
        <v>#N/A</v>
      </c>
      <c r="E551" s="55" t="e">
        <v>#N/A</v>
      </c>
      <c r="F551" s="55" t="e">
        <v>#N/A</v>
      </c>
      <c r="G551" s="55" t="s">
        <v>2090</v>
      </c>
      <c r="H551" s="55" t="e">
        <v>#N/A</v>
      </c>
      <c r="I551" s="55" t="e">
        <v>#N/A</v>
      </c>
      <c r="J551" s="55" t="e">
        <v>#N/A</v>
      </c>
      <c r="K551" s="55" t="e">
        <v>#N/A</v>
      </c>
    </row>
    <row r="552" spans="1:11" ht="45" hidden="1" x14ac:dyDescent="0.25">
      <c r="A552" s="2" t="s">
        <v>450</v>
      </c>
      <c r="B552" s="3">
        <v>28191</v>
      </c>
      <c r="C552" s="4" t="s">
        <v>828</v>
      </c>
      <c r="D552" s="62" t="e">
        <v>#N/A</v>
      </c>
      <c r="E552" s="55" t="e">
        <v>#N/A</v>
      </c>
      <c r="F552" s="55" t="e">
        <v>#N/A</v>
      </c>
      <c r="G552" s="55" t="s">
        <v>2090</v>
      </c>
      <c r="H552" s="55" t="e">
        <v>#N/A</v>
      </c>
      <c r="I552" s="55" t="e">
        <v>#N/A</v>
      </c>
      <c r="J552" s="55" t="e">
        <v>#N/A</v>
      </c>
      <c r="K552" s="55" t="e">
        <v>#N/A</v>
      </c>
    </row>
    <row r="553" spans="1:11" ht="30" hidden="1" x14ac:dyDescent="0.25">
      <c r="A553" s="2" t="s">
        <v>450</v>
      </c>
      <c r="B553" s="3">
        <v>28192</v>
      </c>
      <c r="C553" s="4" t="s">
        <v>829</v>
      </c>
      <c r="D553" s="62" t="e">
        <v>#N/A</v>
      </c>
      <c r="E553" s="55" t="e">
        <v>#N/A</v>
      </c>
      <c r="F553" s="55" t="e">
        <v>#N/A</v>
      </c>
      <c r="G553" s="55" t="s">
        <v>2090</v>
      </c>
      <c r="H553" s="55" t="e">
        <v>#N/A</v>
      </c>
      <c r="I553" s="55" t="e">
        <v>#N/A</v>
      </c>
      <c r="J553" s="55" t="e">
        <v>#N/A</v>
      </c>
      <c r="K553" s="55" t="e">
        <v>#N/A</v>
      </c>
    </row>
    <row r="554" spans="1:11" ht="30" hidden="1" x14ac:dyDescent="0.25">
      <c r="A554" s="2" t="s">
        <v>450</v>
      </c>
      <c r="B554" s="3">
        <v>28193</v>
      </c>
      <c r="C554" s="4" t="s">
        <v>830</v>
      </c>
      <c r="D554" s="62" t="e">
        <v>#N/A</v>
      </c>
      <c r="E554" s="55" t="e">
        <v>#N/A</v>
      </c>
      <c r="F554" s="55" t="e">
        <v>#N/A</v>
      </c>
      <c r="G554" s="55" t="s">
        <v>2090</v>
      </c>
      <c r="H554" s="55" t="e">
        <v>#N/A</v>
      </c>
      <c r="I554" s="55" t="e">
        <v>#N/A</v>
      </c>
      <c r="J554" s="55" t="e">
        <v>#N/A</v>
      </c>
      <c r="K554" s="55" t="e">
        <v>#N/A</v>
      </c>
    </row>
    <row r="555" spans="1:11" ht="45" hidden="1" x14ac:dyDescent="0.25">
      <c r="A555" s="2" t="s">
        <v>450</v>
      </c>
      <c r="B555" s="3">
        <v>28199</v>
      </c>
      <c r="C555" s="4" t="s">
        <v>831</v>
      </c>
      <c r="D555" s="62" t="e">
        <v>#N/A</v>
      </c>
      <c r="E555" s="55" t="e">
        <v>#N/A</v>
      </c>
      <c r="F555" s="55" t="e">
        <v>#N/A</v>
      </c>
      <c r="G555" s="55" t="s">
        <v>2060</v>
      </c>
      <c r="H555" s="55" t="e">
        <v>#N/A</v>
      </c>
      <c r="I555" s="55" t="e">
        <v>#N/A</v>
      </c>
      <c r="J555" s="55" t="e">
        <v>#N/A</v>
      </c>
      <c r="K555" s="55" t="e">
        <v>#N/A</v>
      </c>
    </row>
    <row r="556" spans="1:11" ht="45" hidden="1" x14ac:dyDescent="0.25">
      <c r="A556" s="2" t="s">
        <v>450</v>
      </c>
      <c r="B556" s="3">
        <v>28210</v>
      </c>
      <c r="C556" s="4" t="s">
        <v>832</v>
      </c>
      <c r="D556" s="62" t="e">
        <v>#N/A</v>
      </c>
      <c r="E556" s="55" t="e">
        <v>#N/A</v>
      </c>
      <c r="F556" s="55" t="e">
        <v>#N/A</v>
      </c>
      <c r="G556" s="55" t="s">
        <v>2090</v>
      </c>
      <c r="H556" s="55" t="e">
        <v>#N/A</v>
      </c>
      <c r="I556" s="55" t="e">
        <v>#N/A</v>
      </c>
      <c r="J556" s="55" t="e">
        <v>#N/A</v>
      </c>
      <c r="K556" s="55" t="e">
        <v>#N/A</v>
      </c>
    </row>
    <row r="557" spans="1:11" ht="60" hidden="1" x14ac:dyDescent="0.25">
      <c r="A557" s="2" t="s">
        <v>450</v>
      </c>
      <c r="B557" s="3">
        <v>28220</v>
      </c>
      <c r="C557" s="4" t="s">
        <v>833</v>
      </c>
      <c r="D557" s="62" t="e">
        <v>#N/A</v>
      </c>
      <c r="E557" s="55" t="e">
        <v>#N/A</v>
      </c>
      <c r="F557" s="55" t="e">
        <v>#N/A</v>
      </c>
      <c r="G557" s="55" t="s">
        <v>2090</v>
      </c>
      <c r="H557" s="55" t="e">
        <v>#N/A</v>
      </c>
      <c r="I557" s="55" t="e">
        <v>#N/A</v>
      </c>
      <c r="J557" s="55" t="e">
        <v>#N/A</v>
      </c>
      <c r="K557" s="55" t="e">
        <v>#N/A</v>
      </c>
    </row>
    <row r="558" spans="1:11" ht="30" hidden="1" x14ac:dyDescent="0.25">
      <c r="A558" s="2" t="s">
        <v>450</v>
      </c>
      <c r="B558" s="3">
        <v>28230</v>
      </c>
      <c r="C558" s="4" t="s">
        <v>834</v>
      </c>
      <c r="D558" s="62" t="e">
        <v>#N/A</v>
      </c>
      <c r="E558" s="55" t="e">
        <v>#N/A</v>
      </c>
      <c r="F558" s="55" t="e">
        <v>#N/A</v>
      </c>
      <c r="G558" s="55" t="s">
        <v>2090</v>
      </c>
      <c r="H558" s="55" t="e">
        <v>#N/A</v>
      </c>
      <c r="I558" s="55" t="e">
        <v>#N/A</v>
      </c>
      <c r="J558" s="55" t="e">
        <v>#N/A</v>
      </c>
      <c r="K558" s="55" t="e">
        <v>#N/A</v>
      </c>
    </row>
    <row r="559" spans="1:11" ht="60" hidden="1" x14ac:dyDescent="0.25">
      <c r="A559" s="2" t="s">
        <v>450</v>
      </c>
      <c r="B559" s="3">
        <v>28240</v>
      </c>
      <c r="C559" s="4" t="s">
        <v>835</v>
      </c>
      <c r="D559" s="62" t="e">
        <v>#N/A</v>
      </c>
      <c r="E559" s="55" t="e">
        <v>#N/A</v>
      </c>
      <c r="F559" s="55" t="e">
        <v>#N/A</v>
      </c>
      <c r="G559" s="55" t="s">
        <v>2090</v>
      </c>
      <c r="H559" s="55" t="e">
        <v>#N/A</v>
      </c>
      <c r="I559" s="55" t="e">
        <v>#N/A</v>
      </c>
      <c r="J559" s="55" t="e">
        <v>#N/A</v>
      </c>
      <c r="K559" s="55" t="e">
        <v>#N/A</v>
      </c>
    </row>
    <row r="560" spans="1:11" ht="75" hidden="1" x14ac:dyDescent="0.25">
      <c r="A560" s="2" t="s">
        <v>450</v>
      </c>
      <c r="B560" s="3">
        <v>28250</v>
      </c>
      <c r="C560" s="4" t="s">
        <v>836</v>
      </c>
      <c r="D560" s="62" t="e">
        <v>#N/A</v>
      </c>
      <c r="E560" s="55" t="e">
        <v>#N/A</v>
      </c>
      <c r="F560" s="55" t="e">
        <v>#N/A</v>
      </c>
      <c r="G560" s="55" t="s">
        <v>2090</v>
      </c>
      <c r="H560" s="55" t="e">
        <v>#N/A</v>
      </c>
      <c r="I560" s="55" t="e">
        <v>#N/A</v>
      </c>
      <c r="J560" s="55" t="e">
        <v>#N/A</v>
      </c>
      <c r="K560" s="55" t="e">
        <v>#N/A</v>
      </c>
    </row>
    <row r="561" spans="1:11" ht="60" hidden="1" x14ac:dyDescent="0.25">
      <c r="A561" s="2" t="s">
        <v>450</v>
      </c>
      <c r="B561" s="3">
        <v>28261</v>
      </c>
      <c r="C561" s="4" t="s">
        <v>837</v>
      </c>
      <c r="D561" s="62" t="e">
        <v>#N/A</v>
      </c>
      <c r="E561" s="55" t="e">
        <v>#N/A</v>
      </c>
      <c r="F561" s="55" t="e">
        <v>#N/A</v>
      </c>
      <c r="G561" s="55" t="s">
        <v>2090</v>
      </c>
      <c r="H561" s="55" t="e">
        <v>#N/A</v>
      </c>
      <c r="I561" s="55" t="e">
        <v>#N/A</v>
      </c>
      <c r="J561" s="55" t="e">
        <v>#N/A</v>
      </c>
      <c r="K561" s="55" t="e">
        <v>#N/A</v>
      </c>
    </row>
    <row r="562" spans="1:11" ht="30" hidden="1" x14ac:dyDescent="0.25">
      <c r="A562" s="2" t="s">
        <v>450</v>
      </c>
      <c r="B562" s="3">
        <v>28262</v>
      </c>
      <c r="C562" s="4" t="s">
        <v>838</v>
      </c>
      <c r="D562" s="62" t="e">
        <v>#N/A</v>
      </c>
      <c r="E562" s="55" t="e">
        <v>#N/A</v>
      </c>
      <c r="F562" s="55" t="e">
        <v>#N/A</v>
      </c>
      <c r="G562" s="55" t="s">
        <v>2090</v>
      </c>
      <c r="H562" s="55" t="e">
        <v>#N/A</v>
      </c>
      <c r="I562" s="55" t="e">
        <v>#N/A</v>
      </c>
      <c r="J562" s="55" t="e">
        <v>#N/A</v>
      </c>
      <c r="K562" s="55" t="e">
        <v>#N/A</v>
      </c>
    </row>
    <row r="563" spans="1:11" ht="60" hidden="1" x14ac:dyDescent="0.25">
      <c r="A563" s="2" t="s">
        <v>450</v>
      </c>
      <c r="B563" s="3">
        <v>28263</v>
      </c>
      <c r="C563" s="4" t="s">
        <v>839</v>
      </c>
      <c r="D563" s="62" t="e">
        <v>#N/A</v>
      </c>
      <c r="E563" s="55" t="e">
        <v>#N/A</v>
      </c>
      <c r="F563" s="55" t="e">
        <v>#N/A</v>
      </c>
      <c r="G563" s="55" t="s">
        <v>2090</v>
      </c>
      <c r="H563" s="55" t="e">
        <v>#N/A</v>
      </c>
      <c r="I563" s="55" t="e">
        <v>#N/A</v>
      </c>
      <c r="J563" s="55" t="e">
        <v>#N/A</v>
      </c>
      <c r="K563" s="55" t="e">
        <v>#N/A</v>
      </c>
    </row>
    <row r="564" spans="1:11" ht="30" hidden="1" x14ac:dyDescent="0.25">
      <c r="A564" s="2" t="s">
        <v>450</v>
      </c>
      <c r="B564" s="3">
        <v>28291</v>
      </c>
      <c r="C564" s="4" t="s">
        <v>840</v>
      </c>
      <c r="D564" s="62" t="e">
        <v>#N/A</v>
      </c>
      <c r="E564" s="55" t="e">
        <v>#N/A</v>
      </c>
      <c r="F564" s="55" t="e">
        <v>#N/A</v>
      </c>
      <c r="G564" s="55" t="s">
        <v>2090</v>
      </c>
      <c r="H564" s="55" t="e">
        <v>#N/A</v>
      </c>
      <c r="I564" s="55" t="e">
        <v>#N/A</v>
      </c>
      <c r="J564" s="55" t="e">
        <v>#N/A</v>
      </c>
      <c r="K564" s="55" t="e">
        <v>#N/A</v>
      </c>
    </row>
    <row r="565" spans="1:11" ht="30" hidden="1" x14ac:dyDescent="0.25">
      <c r="A565" s="2" t="s">
        <v>450</v>
      </c>
      <c r="B565" s="3">
        <v>28292</v>
      </c>
      <c r="C565" s="4" t="s">
        <v>841</v>
      </c>
      <c r="D565" s="62" t="e">
        <v>#N/A</v>
      </c>
      <c r="E565" s="55" t="e">
        <v>#N/A</v>
      </c>
      <c r="F565" s="55" t="e">
        <v>#N/A</v>
      </c>
      <c r="G565" s="55" t="s">
        <v>2090</v>
      </c>
      <c r="H565" s="55" t="e">
        <v>#N/A</v>
      </c>
      <c r="I565" s="55" t="e">
        <v>#N/A</v>
      </c>
      <c r="J565" s="55" t="e">
        <v>#N/A</v>
      </c>
      <c r="K565" s="55" t="e">
        <v>#N/A</v>
      </c>
    </row>
    <row r="566" spans="1:11" ht="45" hidden="1" x14ac:dyDescent="0.25">
      <c r="A566" s="2" t="s">
        <v>450</v>
      </c>
      <c r="B566" s="3">
        <v>28299</v>
      </c>
      <c r="C566" s="4" t="s">
        <v>842</v>
      </c>
      <c r="D566" s="62" t="e">
        <v>#N/A</v>
      </c>
      <c r="E566" s="55" t="e">
        <v>#N/A</v>
      </c>
      <c r="F566" s="55" t="e">
        <v>#N/A</v>
      </c>
      <c r="G566" s="55" t="s">
        <v>2090</v>
      </c>
      <c r="H566" s="55" t="e">
        <v>#N/A</v>
      </c>
      <c r="I566" s="55" t="e">
        <v>#N/A</v>
      </c>
      <c r="J566" s="55" t="e">
        <v>#N/A</v>
      </c>
      <c r="K566" s="55" t="e">
        <v>#N/A</v>
      </c>
    </row>
    <row r="567" spans="1:11" ht="60" hidden="1" x14ac:dyDescent="0.25">
      <c r="A567" s="2" t="s">
        <v>450</v>
      </c>
      <c r="B567" s="3">
        <v>29100</v>
      </c>
      <c r="C567" s="4" t="s">
        <v>843</v>
      </c>
      <c r="D567" s="62" t="e">
        <v>#N/A</v>
      </c>
      <c r="E567" s="55" t="e">
        <v>#N/A</v>
      </c>
      <c r="F567" s="55" t="e">
        <v>#N/A</v>
      </c>
      <c r="G567" s="55" t="s">
        <v>2060</v>
      </c>
      <c r="H567" s="55" t="e">
        <v>#N/A</v>
      </c>
      <c r="I567" s="55" t="e">
        <v>#N/A</v>
      </c>
      <c r="J567" s="55" t="e">
        <v>#N/A</v>
      </c>
      <c r="K567" s="55" t="e">
        <v>#N/A</v>
      </c>
    </row>
    <row r="568" spans="1:11" ht="60" hidden="1" x14ac:dyDescent="0.25">
      <c r="A568" s="2" t="s">
        <v>450</v>
      </c>
      <c r="B568" s="3">
        <v>29200</v>
      </c>
      <c r="C568" s="4" t="s">
        <v>844</v>
      </c>
      <c r="D568" s="62" t="e">
        <v>#N/A</v>
      </c>
      <c r="E568" s="55" t="e">
        <v>#N/A</v>
      </c>
      <c r="F568" s="55" t="e">
        <v>#N/A</v>
      </c>
      <c r="G568" s="55" t="s">
        <v>2090</v>
      </c>
      <c r="H568" s="55" t="e">
        <v>#N/A</v>
      </c>
      <c r="I568" s="55" t="e">
        <v>#N/A</v>
      </c>
      <c r="J568" s="55" t="e">
        <v>#N/A</v>
      </c>
      <c r="K568" s="55" t="e">
        <v>#N/A</v>
      </c>
    </row>
    <row r="569" spans="1:11" ht="75" hidden="1" x14ac:dyDescent="0.25">
      <c r="A569" s="2" t="s">
        <v>450</v>
      </c>
      <c r="B569" s="3">
        <v>29300</v>
      </c>
      <c r="C569" s="4" t="s">
        <v>845</v>
      </c>
      <c r="D569" s="62" t="e">
        <v>#N/A</v>
      </c>
      <c r="E569" s="55" t="e">
        <v>#N/A</v>
      </c>
      <c r="F569" s="55" t="e">
        <v>#N/A</v>
      </c>
      <c r="G569" s="55" t="s">
        <v>2090</v>
      </c>
      <c r="H569" s="55" t="e">
        <v>#N/A</v>
      </c>
      <c r="I569" s="55" t="e">
        <v>#N/A</v>
      </c>
      <c r="J569" s="55" t="e">
        <v>#N/A</v>
      </c>
      <c r="K569" s="55" t="e">
        <v>#N/A</v>
      </c>
    </row>
    <row r="570" spans="1:11" ht="45" hidden="1" x14ac:dyDescent="0.25">
      <c r="A570" s="2" t="s">
        <v>450</v>
      </c>
      <c r="B570" s="3">
        <v>30111</v>
      </c>
      <c r="C570" s="4" t="s">
        <v>846</v>
      </c>
      <c r="D570" s="62" t="e">
        <v>#N/A</v>
      </c>
      <c r="E570" s="55" t="e">
        <v>#N/A</v>
      </c>
      <c r="F570" s="55" t="e">
        <v>#N/A</v>
      </c>
      <c r="G570" s="55" t="s">
        <v>2090</v>
      </c>
      <c r="H570" s="55" t="e">
        <v>#N/A</v>
      </c>
      <c r="I570" s="55" t="e">
        <v>#N/A</v>
      </c>
      <c r="J570" s="55" t="e">
        <v>#N/A</v>
      </c>
      <c r="K570" s="55" t="e">
        <v>#N/A</v>
      </c>
    </row>
    <row r="571" spans="1:11" ht="60" hidden="1" x14ac:dyDescent="0.25">
      <c r="A571" s="2" t="s">
        <v>450</v>
      </c>
      <c r="B571" s="3">
        <v>30112</v>
      </c>
      <c r="C571" s="4" t="s">
        <v>847</v>
      </c>
      <c r="D571" s="62" t="e">
        <v>#N/A</v>
      </c>
      <c r="E571" s="55" t="e">
        <v>#N/A</v>
      </c>
      <c r="F571" s="55" t="e">
        <v>#N/A</v>
      </c>
      <c r="G571" s="55" t="s">
        <v>2090</v>
      </c>
      <c r="H571" s="55" t="e">
        <v>#N/A</v>
      </c>
      <c r="I571" s="55" t="e">
        <v>#N/A</v>
      </c>
      <c r="J571" s="55" t="e">
        <v>#N/A</v>
      </c>
      <c r="K571" s="55" t="e">
        <v>#N/A</v>
      </c>
    </row>
    <row r="572" spans="1:11" ht="60" hidden="1" x14ac:dyDescent="0.25">
      <c r="A572" s="2" t="s">
        <v>450</v>
      </c>
      <c r="B572" s="3">
        <v>30113</v>
      </c>
      <c r="C572" s="4" t="s">
        <v>848</v>
      </c>
      <c r="D572" s="62" t="e">
        <v>#N/A</v>
      </c>
      <c r="E572" s="55" t="e">
        <v>#N/A</v>
      </c>
      <c r="F572" s="55" t="e">
        <v>#N/A</v>
      </c>
      <c r="G572" s="55" t="s">
        <v>2090</v>
      </c>
      <c r="H572" s="55" t="e">
        <v>#N/A</v>
      </c>
      <c r="I572" s="55" t="e">
        <v>#N/A</v>
      </c>
      <c r="J572" s="55" t="e">
        <v>#N/A</v>
      </c>
      <c r="K572" s="55" t="e">
        <v>#N/A</v>
      </c>
    </row>
    <row r="573" spans="1:11" ht="60" hidden="1" x14ac:dyDescent="0.25">
      <c r="A573" s="2" t="s">
        <v>450</v>
      </c>
      <c r="B573" s="3">
        <v>30120</v>
      </c>
      <c r="C573" s="4" t="s">
        <v>849</v>
      </c>
      <c r="D573" s="62" t="e">
        <v>#N/A</v>
      </c>
      <c r="E573" s="55" t="e">
        <v>#N/A</v>
      </c>
      <c r="F573" s="55" t="e">
        <v>#N/A</v>
      </c>
      <c r="G573" s="55" t="s">
        <v>2090</v>
      </c>
      <c r="H573" s="55" t="e">
        <v>#N/A</v>
      </c>
      <c r="I573" s="55" t="e">
        <v>#N/A</v>
      </c>
      <c r="J573" s="55" t="e">
        <v>#N/A</v>
      </c>
      <c r="K573" s="55" t="e">
        <v>#N/A</v>
      </c>
    </row>
    <row r="574" spans="1:11" ht="30" hidden="1" x14ac:dyDescent="0.25">
      <c r="A574" s="2" t="s">
        <v>450</v>
      </c>
      <c r="B574" s="3">
        <v>30200</v>
      </c>
      <c r="C574" s="4" t="s">
        <v>850</v>
      </c>
      <c r="D574" s="62" t="e">
        <v>#N/A</v>
      </c>
      <c r="E574" s="55" t="e">
        <v>#N/A</v>
      </c>
      <c r="F574" s="55" t="e">
        <v>#N/A</v>
      </c>
      <c r="G574" s="55" t="s">
        <v>2090</v>
      </c>
      <c r="H574" s="55" t="e">
        <v>#N/A</v>
      </c>
      <c r="I574" s="55" t="e">
        <v>#N/A</v>
      </c>
      <c r="J574" s="55" t="e">
        <v>#N/A</v>
      </c>
      <c r="K574" s="55" t="e">
        <v>#N/A</v>
      </c>
    </row>
    <row r="575" spans="1:11" ht="45" hidden="1" x14ac:dyDescent="0.25">
      <c r="A575" s="2" t="s">
        <v>450</v>
      </c>
      <c r="B575" s="3">
        <v>30301</v>
      </c>
      <c r="C575" s="4" t="s">
        <v>851</v>
      </c>
      <c r="D575" s="62" t="e">
        <v>#N/A</v>
      </c>
      <c r="E575" s="55" t="e">
        <v>#N/A</v>
      </c>
      <c r="F575" s="55" t="e">
        <v>#N/A</v>
      </c>
      <c r="G575" s="55" t="s">
        <v>2090</v>
      </c>
      <c r="H575" s="55" t="e">
        <v>#N/A</v>
      </c>
      <c r="I575" s="55" t="e">
        <v>#N/A</v>
      </c>
      <c r="J575" s="55" t="e">
        <v>#N/A</v>
      </c>
      <c r="K575" s="55" t="e">
        <v>#N/A</v>
      </c>
    </row>
    <row r="576" spans="1:11" ht="45" hidden="1" x14ac:dyDescent="0.25">
      <c r="A576" s="2" t="s">
        <v>450</v>
      </c>
      <c r="B576" s="3">
        <v>30302</v>
      </c>
      <c r="C576" s="4" t="s">
        <v>852</v>
      </c>
      <c r="D576" s="62" t="e">
        <v>#N/A</v>
      </c>
      <c r="E576" s="55" t="e">
        <v>#N/A</v>
      </c>
      <c r="F576" s="55" t="e">
        <v>#N/A</v>
      </c>
      <c r="G576" s="55" t="s">
        <v>2090</v>
      </c>
      <c r="H576" s="55" t="e">
        <v>#N/A</v>
      </c>
      <c r="I576" s="55" t="e">
        <v>#N/A</v>
      </c>
      <c r="J576" s="55" t="e">
        <v>#N/A</v>
      </c>
      <c r="K576" s="55" t="e">
        <v>#N/A</v>
      </c>
    </row>
    <row r="577" spans="1:11" ht="45" hidden="1" x14ac:dyDescent="0.25">
      <c r="A577" s="2" t="s">
        <v>450</v>
      </c>
      <c r="B577" s="3">
        <v>30303</v>
      </c>
      <c r="C577" s="4" t="s">
        <v>853</v>
      </c>
      <c r="D577" s="62" t="e">
        <v>#N/A</v>
      </c>
      <c r="E577" s="55" t="e">
        <v>#N/A</v>
      </c>
      <c r="F577" s="55" t="e">
        <v>#N/A</v>
      </c>
      <c r="G577" s="55" t="s">
        <v>2090</v>
      </c>
      <c r="H577" s="55" t="e">
        <v>#N/A</v>
      </c>
      <c r="I577" s="55" t="e">
        <v>#N/A</v>
      </c>
      <c r="J577" s="55" t="e">
        <v>#N/A</v>
      </c>
      <c r="K577" s="55" t="e">
        <v>#N/A</v>
      </c>
    </row>
    <row r="578" spans="1:11" ht="45" hidden="1" x14ac:dyDescent="0.25">
      <c r="A578" s="2" t="s">
        <v>450</v>
      </c>
      <c r="B578" s="3">
        <v>30400</v>
      </c>
      <c r="C578" s="4" t="s">
        <v>854</v>
      </c>
      <c r="D578" s="62" t="e">
        <v>#N/A</v>
      </c>
      <c r="E578" s="55" t="e">
        <v>#N/A</v>
      </c>
      <c r="F578" s="55" t="e">
        <v>#N/A</v>
      </c>
      <c r="G578" s="55" t="s">
        <v>2090</v>
      </c>
      <c r="H578" s="55" t="e">
        <v>#N/A</v>
      </c>
      <c r="I578" s="55" t="e">
        <v>#N/A</v>
      </c>
      <c r="J578" s="55" t="e">
        <v>#N/A</v>
      </c>
      <c r="K578" s="55" t="e">
        <v>#N/A</v>
      </c>
    </row>
    <row r="579" spans="1:11" ht="45" hidden="1" x14ac:dyDescent="0.25">
      <c r="A579" s="2" t="s">
        <v>450</v>
      </c>
      <c r="B579" s="3">
        <v>30911</v>
      </c>
      <c r="C579" s="4" t="s">
        <v>855</v>
      </c>
      <c r="D579" s="62" t="e">
        <v>#N/A</v>
      </c>
      <c r="E579" s="55" t="e">
        <v>#N/A</v>
      </c>
      <c r="F579" s="55" t="e">
        <v>#N/A</v>
      </c>
      <c r="G579" s="55" t="s">
        <v>2090</v>
      </c>
      <c r="H579" s="55" t="e">
        <v>#N/A</v>
      </c>
      <c r="I579" s="55" t="e">
        <v>#N/A</v>
      </c>
      <c r="J579" s="55" t="e">
        <v>#N/A</v>
      </c>
      <c r="K579" s="55" t="e">
        <v>#N/A</v>
      </c>
    </row>
    <row r="580" spans="1:11" ht="60" hidden="1" x14ac:dyDescent="0.25">
      <c r="A580" s="2" t="s">
        <v>450</v>
      </c>
      <c r="B580" s="3">
        <v>30912</v>
      </c>
      <c r="C580" s="4" t="s">
        <v>856</v>
      </c>
      <c r="D580" s="62" t="e">
        <v>#N/A</v>
      </c>
      <c r="E580" s="55" t="e">
        <v>#N/A</v>
      </c>
      <c r="F580" s="55" t="e">
        <v>#N/A</v>
      </c>
      <c r="G580" s="55" t="s">
        <v>2060</v>
      </c>
      <c r="H580" s="55" t="e">
        <v>#N/A</v>
      </c>
      <c r="I580" s="55" t="e">
        <v>#N/A</v>
      </c>
      <c r="J580" s="55" t="e">
        <v>#N/A</v>
      </c>
      <c r="K580" s="55" t="e">
        <v>#N/A</v>
      </c>
    </row>
    <row r="581" spans="1:11" ht="45" hidden="1" x14ac:dyDescent="0.25">
      <c r="A581" s="2" t="s">
        <v>450</v>
      </c>
      <c r="B581" s="3">
        <v>30921</v>
      </c>
      <c r="C581" s="4" t="s">
        <v>857</v>
      </c>
      <c r="D581" s="62" t="e">
        <v>#N/A</v>
      </c>
      <c r="E581" s="55" t="e">
        <v>#N/A</v>
      </c>
      <c r="F581" s="55" t="e">
        <v>#N/A</v>
      </c>
      <c r="G581" s="55" t="s">
        <v>2090</v>
      </c>
      <c r="H581" s="55" t="e">
        <v>#N/A</v>
      </c>
      <c r="I581" s="55" t="e">
        <v>#N/A</v>
      </c>
      <c r="J581" s="55" t="e">
        <v>#N/A</v>
      </c>
      <c r="K581" s="55" t="e">
        <v>#N/A</v>
      </c>
    </row>
    <row r="582" spans="1:11" ht="75" hidden="1" x14ac:dyDescent="0.25">
      <c r="A582" s="2" t="s">
        <v>450</v>
      </c>
      <c r="B582" s="3">
        <v>30922</v>
      </c>
      <c r="C582" s="4" t="s">
        <v>858</v>
      </c>
      <c r="D582" s="62" t="e">
        <v>#N/A</v>
      </c>
      <c r="E582" s="55" t="e">
        <v>#N/A</v>
      </c>
      <c r="F582" s="55" t="e">
        <v>#N/A</v>
      </c>
      <c r="G582" s="55" t="s">
        <v>2090</v>
      </c>
      <c r="H582" s="55" t="e">
        <v>#N/A</v>
      </c>
      <c r="I582" s="55" t="e">
        <v>#N/A</v>
      </c>
      <c r="J582" s="55" t="e">
        <v>#N/A</v>
      </c>
      <c r="K582" s="55" t="e">
        <v>#N/A</v>
      </c>
    </row>
    <row r="583" spans="1:11" ht="45" hidden="1" x14ac:dyDescent="0.25">
      <c r="A583" s="2" t="s">
        <v>450</v>
      </c>
      <c r="B583" s="3">
        <v>30990</v>
      </c>
      <c r="C583" s="4" t="s">
        <v>859</v>
      </c>
      <c r="D583" s="62" t="e">
        <v>#N/A</v>
      </c>
      <c r="E583" s="55" t="e">
        <v>#N/A</v>
      </c>
      <c r="F583" s="55" t="e">
        <v>#N/A</v>
      </c>
      <c r="G583" s="55" t="s">
        <v>2090</v>
      </c>
      <c r="H583" s="55" t="e">
        <v>#N/A</v>
      </c>
      <c r="I583" s="55" t="e">
        <v>#N/A</v>
      </c>
      <c r="J583" s="55" t="e">
        <v>#N/A</v>
      </c>
      <c r="K583" s="55" t="e">
        <v>#N/A</v>
      </c>
    </row>
    <row r="584" spans="1:11" ht="30" hidden="1" x14ac:dyDescent="0.25">
      <c r="A584" s="2" t="s">
        <v>450</v>
      </c>
      <c r="B584" s="3">
        <v>31011</v>
      </c>
      <c r="C584" s="4" t="s">
        <v>860</v>
      </c>
      <c r="D584" s="62" t="e">
        <v>#N/A</v>
      </c>
      <c r="E584" s="55" t="e">
        <v>#N/A</v>
      </c>
      <c r="F584" s="55" t="e">
        <v>#N/A</v>
      </c>
      <c r="G584" s="55" t="s">
        <v>2090</v>
      </c>
      <c r="H584" s="55" t="e">
        <v>#N/A</v>
      </c>
      <c r="I584" s="55" t="e">
        <v>#N/A</v>
      </c>
      <c r="J584" s="55" t="e">
        <v>#N/A</v>
      </c>
      <c r="K584" s="55" t="e">
        <v>#N/A</v>
      </c>
    </row>
    <row r="585" spans="1:11" ht="45" hidden="1" x14ac:dyDescent="0.25">
      <c r="A585" s="2" t="s">
        <v>450</v>
      </c>
      <c r="B585" s="3">
        <v>31012</v>
      </c>
      <c r="C585" s="4" t="s">
        <v>861</v>
      </c>
      <c r="D585" s="62" t="e">
        <v>#N/A</v>
      </c>
      <c r="E585" s="55" t="e">
        <v>#N/A</v>
      </c>
      <c r="F585" s="55" t="e">
        <v>#N/A</v>
      </c>
      <c r="G585" s="55" t="s">
        <v>2090</v>
      </c>
      <c r="H585" s="55" t="e">
        <v>#N/A</v>
      </c>
      <c r="I585" s="55" t="e">
        <v>#N/A</v>
      </c>
      <c r="J585" s="55" t="e">
        <v>#N/A</v>
      </c>
      <c r="K585" s="55" t="e">
        <v>#N/A</v>
      </c>
    </row>
    <row r="586" spans="1:11" ht="30" hidden="1" x14ac:dyDescent="0.25">
      <c r="A586" s="2" t="s">
        <v>450</v>
      </c>
      <c r="B586" s="3">
        <v>31021</v>
      </c>
      <c r="C586" s="4" t="s">
        <v>862</v>
      </c>
      <c r="D586" s="62" t="e">
        <v>#N/A</v>
      </c>
      <c r="E586" s="55" t="e">
        <v>#N/A</v>
      </c>
      <c r="F586" s="55" t="e">
        <v>#N/A</v>
      </c>
      <c r="G586" s="55" t="s">
        <v>2090</v>
      </c>
      <c r="H586" s="55" t="e">
        <v>#N/A</v>
      </c>
      <c r="I586" s="55" t="e">
        <v>#N/A</v>
      </c>
      <c r="J586" s="55" t="e">
        <v>#N/A</v>
      </c>
      <c r="K586" s="55" t="e">
        <v>#N/A</v>
      </c>
    </row>
    <row r="587" spans="1:11" ht="30" hidden="1" x14ac:dyDescent="0.25">
      <c r="A587" s="2" t="s">
        <v>450</v>
      </c>
      <c r="B587" s="3">
        <v>31022</v>
      </c>
      <c r="C587" s="4" t="s">
        <v>863</v>
      </c>
      <c r="D587" s="62" t="e">
        <v>#N/A</v>
      </c>
      <c r="E587" s="55" t="e">
        <v>#N/A</v>
      </c>
      <c r="F587" s="55" t="e">
        <v>#N/A</v>
      </c>
      <c r="G587" s="55" t="s">
        <v>2090</v>
      </c>
      <c r="H587" s="55" t="e">
        <v>#N/A</v>
      </c>
      <c r="I587" s="55" t="e">
        <v>#N/A</v>
      </c>
      <c r="J587" s="55" t="e">
        <v>#N/A</v>
      </c>
      <c r="K587" s="55" t="e">
        <v>#N/A</v>
      </c>
    </row>
    <row r="588" spans="1:11" ht="45" hidden="1" x14ac:dyDescent="0.25">
      <c r="A588" s="2" t="s">
        <v>450</v>
      </c>
      <c r="B588" s="3">
        <v>31029</v>
      </c>
      <c r="C588" s="4" t="s">
        <v>864</v>
      </c>
      <c r="D588" s="62" t="e">
        <v>#N/A</v>
      </c>
      <c r="E588" s="55" t="e">
        <v>#N/A</v>
      </c>
      <c r="F588" s="55" t="e">
        <v>#N/A</v>
      </c>
      <c r="G588" s="55" t="s">
        <v>2090</v>
      </c>
      <c r="H588" s="55" t="e">
        <v>#N/A</v>
      </c>
      <c r="I588" s="55" t="e">
        <v>#N/A</v>
      </c>
      <c r="J588" s="55" t="e">
        <v>#N/A</v>
      </c>
      <c r="K588" s="55" t="e">
        <v>#N/A</v>
      </c>
    </row>
    <row r="589" spans="1:11" hidden="1" x14ac:dyDescent="0.25">
      <c r="A589" s="2" t="s">
        <v>450</v>
      </c>
      <c r="B589" s="3">
        <v>32111</v>
      </c>
      <c r="C589" s="4" t="s">
        <v>865</v>
      </c>
      <c r="D589" s="62" t="e">
        <v>#N/A</v>
      </c>
      <c r="E589" s="55" t="e">
        <v>#N/A</v>
      </c>
      <c r="F589" s="55" t="e">
        <v>#N/A</v>
      </c>
      <c r="G589" s="55" t="s">
        <v>2090</v>
      </c>
      <c r="H589" s="55" t="e">
        <v>#N/A</v>
      </c>
      <c r="I589" s="55" t="e">
        <v>#N/A</v>
      </c>
      <c r="J589" s="55" t="e">
        <v>#N/A</v>
      </c>
      <c r="K589" s="55" t="e">
        <v>#N/A</v>
      </c>
    </row>
    <row r="590" spans="1:11" ht="30" hidden="1" x14ac:dyDescent="0.25">
      <c r="A590" s="2" t="s">
        <v>450</v>
      </c>
      <c r="B590" s="3">
        <v>32112</v>
      </c>
      <c r="C590" s="4" t="s">
        <v>866</v>
      </c>
      <c r="D590" s="62" t="e">
        <v>#N/A</v>
      </c>
      <c r="E590" s="55" t="e">
        <v>#N/A</v>
      </c>
      <c r="F590" s="55" t="e">
        <v>#N/A</v>
      </c>
      <c r="G590" s="55" t="s">
        <v>2090</v>
      </c>
      <c r="H590" s="55" t="e">
        <v>#N/A</v>
      </c>
      <c r="I590" s="55" t="e">
        <v>#N/A</v>
      </c>
      <c r="J590" s="55" t="e">
        <v>#N/A</v>
      </c>
      <c r="K590" s="55" t="e">
        <v>#N/A</v>
      </c>
    </row>
    <row r="591" spans="1:11" ht="60" hidden="1" x14ac:dyDescent="0.25">
      <c r="A591" s="2" t="s">
        <v>450</v>
      </c>
      <c r="B591" s="3">
        <v>32113</v>
      </c>
      <c r="C591" s="4" t="s">
        <v>867</v>
      </c>
      <c r="D591" s="62" t="e">
        <v>#N/A</v>
      </c>
      <c r="E591" s="55" t="e">
        <v>#N/A</v>
      </c>
      <c r="F591" s="55" t="e">
        <v>#N/A</v>
      </c>
      <c r="G591" s="55" t="s">
        <v>2090</v>
      </c>
      <c r="H591" s="55" t="e">
        <v>#N/A</v>
      </c>
      <c r="I591" s="55" t="e">
        <v>#N/A</v>
      </c>
      <c r="J591" s="55" t="e">
        <v>#N/A</v>
      </c>
      <c r="K591" s="55" t="e">
        <v>#N/A</v>
      </c>
    </row>
    <row r="592" spans="1:11" ht="30" hidden="1" x14ac:dyDescent="0.25">
      <c r="A592" s="2" t="s">
        <v>450</v>
      </c>
      <c r="B592" s="3">
        <v>32114</v>
      </c>
      <c r="C592" s="4" t="s">
        <v>868</v>
      </c>
      <c r="D592" s="62" t="e">
        <v>#N/A</v>
      </c>
      <c r="E592" s="55" t="e">
        <v>#N/A</v>
      </c>
      <c r="F592" s="55" t="e">
        <v>#N/A</v>
      </c>
      <c r="G592" s="55" t="s">
        <v>2090</v>
      </c>
      <c r="H592" s="55" t="e">
        <v>#N/A</v>
      </c>
      <c r="I592" s="55" t="e">
        <v>#N/A</v>
      </c>
      <c r="J592" s="55" t="e">
        <v>#N/A</v>
      </c>
      <c r="K592" s="55" t="e">
        <v>#N/A</v>
      </c>
    </row>
    <row r="593" spans="1:11" ht="45" hidden="1" x14ac:dyDescent="0.25">
      <c r="A593" s="2" t="s">
        <v>450</v>
      </c>
      <c r="B593" s="3">
        <v>32119</v>
      </c>
      <c r="C593" s="4" t="s">
        <v>869</v>
      </c>
      <c r="D593" s="62" t="e">
        <v>#N/A</v>
      </c>
      <c r="E593" s="55" t="e">
        <v>#N/A</v>
      </c>
      <c r="F593" s="55" t="e">
        <v>#N/A</v>
      </c>
      <c r="G593" s="55" t="s">
        <v>2090</v>
      </c>
      <c r="H593" s="55" t="e">
        <v>#N/A</v>
      </c>
      <c r="I593" s="55" t="e">
        <v>#N/A</v>
      </c>
      <c r="J593" s="55" t="e">
        <v>#N/A</v>
      </c>
      <c r="K593" s="55" t="e">
        <v>#N/A</v>
      </c>
    </row>
    <row r="594" spans="1:11" ht="45" hidden="1" x14ac:dyDescent="0.25">
      <c r="A594" s="2" t="s">
        <v>450</v>
      </c>
      <c r="B594" s="3">
        <v>32120</v>
      </c>
      <c r="C594" s="4" t="s">
        <v>870</v>
      </c>
      <c r="D594" s="62" t="e">
        <v>#N/A</v>
      </c>
      <c r="E594" s="55" t="e">
        <v>#N/A</v>
      </c>
      <c r="F594" s="55" t="e">
        <v>#N/A</v>
      </c>
      <c r="G594" s="55" t="s">
        <v>2090</v>
      </c>
      <c r="H594" s="55" t="e">
        <v>#N/A</v>
      </c>
      <c r="I594" s="55" t="e">
        <v>#N/A</v>
      </c>
      <c r="J594" s="55" t="e">
        <v>#N/A</v>
      </c>
      <c r="K594" s="55" t="e">
        <v>#N/A</v>
      </c>
    </row>
    <row r="595" spans="1:11" ht="30" hidden="1" x14ac:dyDescent="0.25">
      <c r="A595" s="2" t="s">
        <v>450</v>
      </c>
      <c r="B595" s="3">
        <v>32201</v>
      </c>
      <c r="C595" s="4" t="s">
        <v>871</v>
      </c>
      <c r="D595" s="62" t="e">
        <v>#N/A</v>
      </c>
      <c r="E595" s="55" t="e">
        <v>#N/A</v>
      </c>
      <c r="F595" s="55" t="e">
        <v>#N/A</v>
      </c>
      <c r="G595" s="55" t="s">
        <v>2090</v>
      </c>
      <c r="H595" s="55" t="e">
        <v>#N/A</v>
      </c>
      <c r="I595" s="55" t="e">
        <v>#N/A</v>
      </c>
      <c r="J595" s="55" t="e">
        <v>#N/A</v>
      </c>
      <c r="K595" s="55" t="e">
        <v>#N/A</v>
      </c>
    </row>
    <row r="596" spans="1:11" ht="30" hidden="1" x14ac:dyDescent="0.25">
      <c r="A596" s="2" t="s">
        <v>450</v>
      </c>
      <c r="B596" s="3">
        <v>32202</v>
      </c>
      <c r="C596" s="4" t="s">
        <v>872</v>
      </c>
      <c r="D596" s="62" t="e">
        <v>#N/A</v>
      </c>
      <c r="E596" s="55" t="e">
        <v>#N/A</v>
      </c>
      <c r="F596" s="55" t="e">
        <v>#N/A</v>
      </c>
      <c r="G596" s="55" t="s">
        <v>2090</v>
      </c>
      <c r="H596" s="55" t="e">
        <v>#N/A</v>
      </c>
      <c r="I596" s="55" t="e">
        <v>#N/A</v>
      </c>
      <c r="J596" s="55" t="e">
        <v>#N/A</v>
      </c>
      <c r="K596" s="55" t="e">
        <v>#N/A</v>
      </c>
    </row>
    <row r="597" spans="1:11" ht="45" hidden="1" x14ac:dyDescent="0.25">
      <c r="A597" s="2" t="s">
        <v>450</v>
      </c>
      <c r="B597" s="3">
        <v>32300</v>
      </c>
      <c r="C597" s="4" t="s">
        <v>873</v>
      </c>
      <c r="D597" s="62" t="e">
        <v>#N/A</v>
      </c>
      <c r="E597" s="55" t="e">
        <v>#N/A</v>
      </c>
      <c r="F597" s="55" t="e">
        <v>#N/A</v>
      </c>
      <c r="G597" s="55" t="s">
        <v>2090</v>
      </c>
      <c r="H597" s="55" t="e">
        <v>#N/A</v>
      </c>
      <c r="I597" s="55" t="e">
        <v>#N/A</v>
      </c>
      <c r="J597" s="55" t="e">
        <v>#N/A</v>
      </c>
      <c r="K597" s="55" t="e">
        <v>#N/A</v>
      </c>
    </row>
    <row r="598" spans="1:11" ht="30" hidden="1" x14ac:dyDescent="0.25">
      <c r="A598" s="2" t="s">
        <v>450</v>
      </c>
      <c r="B598" s="3">
        <v>32401</v>
      </c>
      <c r="C598" s="4" t="s">
        <v>874</v>
      </c>
      <c r="D598" s="62" t="e">
        <v>#N/A</v>
      </c>
      <c r="E598" s="55" t="e">
        <v>#N/A</v>
      </c>
      <c r="F598" s="55" t="e">
        <v>#N/A</v>
      </c>
      <c r="G598" s="55" t="s">
        <v>2090</v>
      </c>
      <c r="H598" s="55" t="e">
        <v>#N/A</v>
      </c>
      <c r="I598" s="55" t="e">
        <v>#N/A</v>
      </c>
      <c r="J598" s="55" t="e">
        <v>#N/A</v>
      </c>
      <c r="K598" s="55" t="e">
        <v>#N/A</v>
      </c>
    </row>
    <row r="599" spans="1:11" ht="45" hidden="1" x14ac:dyDescent="0.25">
      <c r="A599" s="2" t="s">
        <v>450</v>
      </c>
      <c r="B599" s="3">
        <v>32402</v>
      </c>
      <c r="C599" s="4" t="s">
        <v>875</v>
      </c>
      <c r="D599" s="62" t="e">
        <v>#N/A</v>
      </c>
      <c r="E599" s="55" t="e">
        <v>#N/A</v>
      </c>
      <c r="F599" s="55" t="e">
        <v>#N/A</v>
      </c>
      <c r="G599" s="55" t="s">
        <v>2090</v>
      </c>
      <c r="H599" s="55" t="e">
        <v>#N/A</v>
      </c>
      <c r="I599" s="55" t="e">
        <v>#N/A</v>
      </c>
      <c r="J599" s="55" t="e">
        <v>#N/A</v>
      </c>
      <c r="K599" s="55" t="e">
        <v>#N/A</v>
      </c>
    </row>
    <row r="600" spans="1:11" ht="60" hidden="1" x14ac:dyDescent="0.25">
      <c r="A600" s="2" t="s">
        <v>450</v>
      </c>
      <c r="B600" s="3">
        <v>32501</v>
      </c>
      <c r="C600" s="4" t="s">
        <v>876</v>
      </c>
      <c r="D600" s="62" t="e">
        <v>#N/A</v>
      </c>
      <c r="E600" s="55" t="e">
        <v>#N/A</v>
      </c>
      <c r="F600" s="55" t="e">
        <v>#N/A</v>
      </c>
      <c r="G600" s="55" t="s">
        <v>2090</v>
      </c>
      <c r="H600" s="55" t="e">
        <v>#N/A</v>
      </c>
      <c r="I600" s="55" t="e">
        <v>#N/A</v>
      </c>
      <c r="J600" s="55" t="e">
        <v>#N/A</v>
      </c>
      <c r="K600" s="55" t="e">
        <v>#N/A</v>
      </c>
    </row>
    <row r="601" spans="1:11" ht="60" hidden="1" x14ac:dyDescent="0.25">
      <c r="A601" s="2" t="s">
        <v>450</v>
      </c>
      <c r="B601" s="3">
        <v>32502</v>
      </c>
      <c r="C601" s="4" t="s">
        <v>877</v>
      </c>
      <c r="D601" s="62" t="e">
        <v>#N/A</v>
      </c>
      <c r="E601" s="55" t="e">
        <v>#N/A</v>
      </c>
      <c r="F601" s="55" t="e">
        <v>#N/A</v>
      </c>
      <c r="G601" s="55" t="s">
        <v>2090</v>
      </c>
      <c r="H601" s="55" t="e">
        <v>#N/A</v>
      </c>
      <c r="I601" s="55" t="e">
        <v>#N/A</v>
      </c>
      <c r="J601" s="55" t="e">
        <v>#N/A</v>
      </c>
      <c r="K601" s="55" t="e">
        <v>#N/A</v>
      </c>
    </row>
    <row r="602" spans="1:11" hidden="1" x14ac:dyDescent="0.25">
      <c r="A602" s="2" t="s">
        <v>450</v>
      </c>
      <c r="B602" s="3">
        <v>32503</v>
      </c>
      <c r="C602" s="4" t="s">
        <v>878</v>
      </c>
      <c r="D602" s="62" t="e">
        <v>#N/A</v>
      </c>
      <c r="E602" s="55" t="e">
        <v>#N/A</v>
      </c>
      <c r="F602" s="55" t="e">
        <v>#N/A</v>
      </c>
      <c r="G602" s="55" t="s">
        <v>2090</v>
      </c>
      <c r="H602" s="55" t="e">
        <v>#N/A</v>
      </c>
      <c r="I602" s="55" t="e">
        <v>#N/A</v>
      </c>
      <c r="J602" s="55" t="e">
        <v>#N/A</v>
      </c>
      <c r="K602" s="55" t="e">
        <v>#N/A</v>
      </c>
    </row>
    <row r="603" spans="1:11" ht="60" hidden="1" x14ac:dyDescent="0.25">
      <c r="A603" s="2" t="s">
        <v>450</v>
      </c>
      <c r="B603" s="3">
        <v>32509</v>
      </c>
      <c r="C603" s="4" t="s">
        <v>877</v>
      </c>
      <c r="D603" s="62" t="e">
        <v>#N/A</v>
      </c>
      <c r="E603" s="55" t="e">
        <v>#N/A</v>
      </c>
      <c r="F603" s="55" t="e">
        <v>#N/A</v>
      </c>
      <c r="G603" s="55" t="e">
        <v>#N/A</v>
      </c>
      <c r="H603" s="55" t="e">
        <v>#N/A</v>
      </c>
      <c r="I603" s="55" t="e">
        <v>#N/A</v>
      </c>
      <c r="J603" s="55" t="e">
        <v>#N/A</v>
      </c>
      <c r="K603" s="55" t="e">
        <v>#N/A</v>
      </c>
    </row>
    <row r="604" spans="1:11" ht="60" hidden="1" x14ac:dyDescent="0.25">
      <c r="A604" s="2" t="s">
        <v>450</v>
      </c>
      <c r="B604" s="3">
        <v>32901</v>
      </c>
      <c r="C604" s="4" t="s">
        <v>879</v>
      </c>
      <c r="D604" s="62" t="e">
        <v>#N/A</v>
      </c>
      <c r="E604" s="55" t="e">
        <v>#N/A</v>
      </c>
      <c r="F604" s="55" t="e">
        <v>#N/A</v>
      </c>
      <c r="G604" s="55" t="e">
        <v>#N/A</v>
      </c>
      <c r="H604" s="55" t="e">
        <v>#N/A</v>
      </c>
      <c r="I604" s="55" t="e">
        <v>#N/A</v>
      </c>
      <c r="J604" s="55" t="e">
        <v>#N/A</v>
      </c>
      <c r="K604" s="55" t="e">
        <v>#N/A</v>
      </c>
    </row>
    <row r="605" spans="1:11" ht="30" hidden="1" x14ac:dyDescent="0.25">
      <c r="A605" s="2" t="s">
        <v>450</v>
      </c>
      <c r="B605" s="3">
        <v>32902</v>
      </c>
      <c r="C605" s="4" t="s">
        <v>880</v>
      </c>
      <c r="D605" s="62" t="e">
        <v>#N/A</v>
      </c>
      <c r="E605" s="55" t="e">
        <v>#N/A</v>
      </c>
      <c r="F605" s="55" t="e">
        <v>#N/A</v>
      </c>
      <c r="G605" s="55" t="e">
        <v>#N/A</v>
      </c>
      <c r="H605" s="55" t="e">
        <v>#N/A</v>
      </c>
      <c r="I605" s="55" t="e">
        <v>#N/A</v>
      </c>
      <c r="J605" s="55" t="e">
        <v>#N/A</v>
      </c>
      <c r="K605" s="55" t="e">
        <v>#N/A</v>
      </c>
    </row>
    <row r="606" spans="1:11" ht="30" hidden="1" x14ac:dyDescent="0.25">
      <c r="A606" s="2" t="s">
        <v>450</v>
      </c>
      <c r="B606" s="3">
        <v>32903</v>
      </c>
      <c r="C606" s="4" t="s">
        <v>881</v>
      </c>
      <c r="D606" s="62" t="e">
        <v>#N/A</v>
      </c>
      <c r="E606" s="55" t="e">
        <v>#N/A</v>
      </c>
      <c r="F606" s="55" t="e">
        <v>#N/A</v>
      </c>
      <c r="G606" s="55" t="e">
        <v>#N/A</v>
      </c>
      <c r="H606" s="55" t="e">
        <v>#N/A</v>
      </c>
      <c r="I606" s="55" t="e">
        <v>#N/A</v>
      </c>
      <c r="J606" s="55" t="e">
        <v>#N/A</v>
      </c>
      <c r="K606" s="55" t="e">
        <v>#N/A</v>
      </c>
    </row>
    <row r="607" spans="1:11" ht="45" hidden="1" x14ac:dyDescent="0.25">
      <c r="A607" s="2" t="s">
        <v>450</v>
      </c>
      <c r="B607" s="3">
        <v>32904</v>
      </c>
      <c r="C607" s="4" t="s">
        <v>882</v>
      </c>
      <c r="D607" s="62" t="e">
        <v>#N/A</v>
      </c>
      <c r="E607" s="55" t="e">
        <v>#N/A</v>
      </c>
      <c r="F607" s="55" t="e">
        <v>#N/A</v>
      </c>
      <c r="G607" s="55" t="e">
        <v>#N/A</v>
      </c>
      <c r="H607" s="55" t="e">
        <v>#N/A</v>
      </c>
      <c r="I607" s="55" t="e">
        <v>#N/A</v>
      </c>
      <c r="J607" s="55" t="e">
        <v>#N/A</v>
      </c>
      <c r="K607" s="55" t="e">
        <v>#N/A</v>
      </c>
    </row>
    <row r="608" spans="1:11" ht="30" hidden="1" x14ac:dyDescent="0.25">
      <c r="A608" s="2" t="s">
        <v>450</v>
      </c>
      <c r="B608" s="3">
        <v>32905</v>
      </c>
      <c r="C608" s="4" t="s">
        <v>883</v>
      </c>
      <c r="D608" s="62" t="e">
        <v>#N/A</v>
      </c>
      <c r="E608" s="55" t="e">
        <v>#N/A</v>
      </c>
      <c r="F608" s="55" t="e">
        <v>#N/A</v>
      </c>
      <c r="G608" s="55" t="e">
        <v>#N/A</v>
      </c>
      <c r="H608" s="55" t="e">
        <v>#N/A</v>
      </c>
      <c r="I608" s="55" t="e">
        <v>#N/A</v>
      </c>
      <c r="J608" s="55" t="e">
        <v>#N/A</v>
      </c>
      <c r="K608" s="55" t="e">
        <v>#N/A</v>
      </c>
    </row>
    <row r="609" spans="1:11" ht="45" hidden="1" x14ac:dyDescent="0.25">
      <c r="A609" s="2" t="s">
        <v>450</v>
      </c>
      <c r="B609" s="3">
        <v>32906</v>
      </c>
      <c r="C609" s="4" t="s">
        <v>884</v>
      </c>
      <c r="D609" s="62" t="e">
        <v>#N/A</v>
      </c>
      <c r="E609" s="55" t="e">
        <v>#N/A</v>
      </c>
      <c r="F609" s="55" t="e">
        <v>#N/A</v>
      </c>
      <c r="G609" s="55" t="e">
        <v>#N/A</v>
      </c>
      <c r="H609" s="55" t="e">
        <v>#N/A</v>
      </c>
      <c r="I609" s="55" t="e">
        <v>#N/A</v>
      </c>
      <c r="J609" s="55" t="e">
        <v>#N/A</v>
      </c>
      <c r="K609" s="55" t="e">
        <v>#N/A</v>
      </c>
    </row>
    <row r="610" spans="1:11" ht="30" hidden="1" x14ac:dyDescent="0.25">
      <c r="A610" s="2" t="s">
        <v>450</v>
      </c>
      <c r="B610" s="3">
        <v>32907</v>
      </c>
      <c r="C610" s="4" t="s">
        <v>885</v>
      </c>
      <c r="D610" s="62" t="e">
        <v>#N/A</v>
      </c>
      <c r="E610" s="55" t="e">
        <v>#N/A</v>
      </c>
      <c r="F610" s="55" t="e">
        <v>#N/A</v>
      </c>
      <c r="G610" s="55" t="e">
        <v>#N/A</v>
      </c>
      <c r="H610" s="55" t="e">
        <v>#N/A</v>
      </c>
      <c r="I610" s="55" t="e">
        <v>#N/A</v>
      </c>
      <c r="J610" s="55" t="e">
        <v>#N/A</v>
      </c>
      <c r="K610" s="55" t="e">
        <v>#N/A</v>
      </c>
    </row>
    <row r="611" spans="1:11" ht="30" hidden="1" x14ac:dyDescent="0.25">
      <c r="A611" s="2" t="s">
        <v>450</v>
      </c>
      <c r="B611" s="3">
        <v>32908</v>
      </c>
      <c r="C611" s="4" t="s">
        <v>886</v>
      </c>
      <c r="D611" s="62" t="e">
        <v>#N/A</v>
      </c>
      <c r="E611" s="55" t="e">
        <v>#N/A</v>
      </c>
      <c r="F611" s="55" t="e">
        <v>#N/A</v>
      </c>
      <c r="G611" s="55" t="e">
        <v>#N/A</v>
      </c>
      <c r="H611" s="55" t="e">
        <v>#N/A</v>
      </c>
      <c r="I611" s="55" t="e">
        <v>#N/A</v>
      </c>
      <c r="J611" s="55" t="e">
        <v>#N/A</v>
      </c>
      <c r="K611" s="55" t="e">
        <v>#N/A</v>
      </c>
    </row>
    <row r="612" spans="1:11" ht="30" hidden="1" x14ac:dyDescent="0.25">
      <c r="A612" s="2" t="s">
        <v>450</v>
      </c>
      <c r="B612" s="3">
        <v>32909</v>
      </c>
      <c r="C612" s="4" t="s">
        <v>887</v>
      </c>
      <c r="D612" s="62" t="e">
        <v>#N/A</v>
      </c>
      <c r="E612" s="55" t="e">
        <v>#N/A</v>
      </c>
      <c r="F612" s="55" t="e">
        <v>#N/A</v>
      </c>
      <c r="G612" s="55" t="e">
        <v>#N/A</v>
      </c>
      <c r="H612" s="55" t="e">
        <v>#N/A</v>
      </c>
      <c r="I612" s="55" t="e">
        <v>#N/A</v>
      </c>
      <c r="J612" s="55" t="e">
        <v>#N/A</v>
      </c>
      <c r="K612" s="55" t="e">
        <v>#N/A</v>
      </c>
    </row>
    <row r="613" spans="1:11" ht="60" hidden="1" x14ac:dyDescent="0.25">
      <c r="A613" s="2" t="s">
        <v>450</v>
      </c>
      <c r="B613" s="3">
        <v>33111</v>
      </c>
      <c r="C613" s="4" t="s">
        <v>888</v>
      </c>
      <c r="D613" s="62" t="e">
        <v>#N/A</v>
      </c>
      <c r="E613" s="55" t="e">
        <v>#N/A</v>
      </c>
      <c r="F613" s="55" t="e">
        <v>#N/A</v>
      </c>
      <c r="G613" s="55" t="e">
        <v>#N/A</v>
      </c>
      <c r="H613" s="55" t="e">
        <v>#N/A</v>
      </c>
      <c r="I613" s="55" t="e">
        <v>#N/A</v>
      </c>
      <c r="J613" s="55" t="e">
        <v>#N/A</v>
      </c>
      <c r="K613" s="55" t="e">
        <v>#N/A</v>
      </c>
    </row>
    <row r="614" spans="1:11" ht="60" hidden="1" x14ac:dyDescent="0.25">
      <c r="A614" s="2" t="s">
        <v>450</v>
      </c>
      <c r="B614" s="3">
        <v>33112</v>
      </c>
      <c r="C614" s="4" t="s">
        <v>889</v>
      </c>
      <c r="D614" s="62" t="e">
        <v>#N/A</v>
      </c>
      <c r="E614" s="55" t="e">
        <v>#N/A</v>
      </c>
      <c r="F614" s="55" t="e">
        <v>#N/A</v>
      </c>
      <c r="G614" s="55" t="e">
        <v>#N/A</v>
      </c>
      <c r="H614" s="55" t="e">
        <v>#N/A</v>
      </c>
      <c r="I614" s="55" t="e">
        <v>#N/A</v>
      </c>
      <c r="J614" s="55" t="e">
        <v>#N/A</v>
      </c>
      <c r="K614" s="55" t="e">
        <v>#N/A</v>
      </c>
    </row>
    <row r="615" spans="1:11" ht="60" hidden="1" x14ac:dyDescent="0.25">
      <c r="A615" s="2" t="s">
        <v>450</v>
      </c>
      <c r="B615" s="3">
        <v>33119</v>
      </c>
      <c r="C615" s="4" t="s">
        <v>890</v>
      </c>
      <c r="D615" s="62" t="e">
        <v>#N/A</v>
      </c>
      <c r="E615" s="55" t="e">
        <v>#N/A</v>
      </c>
      <c r="F615" s="55" t="e">
        <v>#N/A</v>
      </c>
      <c r="G615" s="55" t="e">
        <v>#N/A</v>
      </c>
      <c r="H615" s="55" t="e">
        <v>#N/A</v>
      </c>
      <c r="I615" s="55" t="e">
        <v>#N/A</v>
      </c>
      <c r="J615" s="55" t="e">
        <v>#N/A</v>
      </c>
      <c r="K615" s="55" t="e">
        <v>#N/A</v>
      </c>
    </row>
    <row r="616" spans="1:11" ht="60" hidden="1" x14ac:dyDescent="0.25">
      <c r="A616" s="2" t="s">
        <v>450</v>
      </c>
      <c r="B616" s="3">
        <v>33121</v>
      </c>
      <c r="C616" s="4" t="s">
        <v>891</v>
      </c>
      <c r="D616" s="62" t="e">
        <v>#N/A</v>
      </c>
      <c r="E616" s="55" t="e">
        <v>#N/A</v>
      </c>
      <c r="F616" s="55" t="e">
        <v>#N/A</v>
      </c>
      <c r="G616" s="55" t="e">
        <v>#N/A</v>
      </c>
      <c r="H616" s="55" t="e">
        <v>#N/A</v>
      </c>
      <c r="I616" s="55" t="e">
        <v>#N/A</v>
      </c>
      <c r="J616" s="55" t="e">
        <v>#N/A</v>
      </c>
      <c r="K616" s="55" t="e">
        <v>#N/A</v>
      </c>
    </row>
    <row r="617" spans="1:11" ht="60" hidden="1" x14ac:dyDescent="0.25">
      <c r="A617" s="2" t="s">
        <v>450</v>
      </c>
      <c r="B617" s="3">
        <v>33122</v>
      </c>
      <c r="C617" s="4" t="s">
        <v>892</v>
      </c>
      <c r="D617" s="62" t="e">
        <v>#N/A</v>
      </c>
      <c r="E617" s="55" t="e">
        <v>#N/A</v>
      </c>
      <c r="F617" s="55" t="e">
        <v>#N/A</v>
      </c>
      <c r="G617" s="55" t="e">
        <v>#N/A</v>
      </c>
      <c r="H617" s="55" t="e">
        <v>#N/A</v>
      </c>
      <c r="I617" s="55" t="e">
        <v>#N/A</v>
      </c>
      <c r="J617" s="55" t="e">
        <v>#N/A</v>
      </c>
      <c r="K617" s="55" t="e">
        <v>#N/A</v>
      </c>
    </row>
    <row r="618" spans="1:11" ht="60" hidden="1" x14ac:dyDescent="0.25">
      <c r="A618" s="2" t="s">
        <v>450</v>
      </c>
      <c r="B618" s="3">
        <v>33131</v>
      </c>
      <c r="C618" s="4" t="s">
        <v>893</v>
      </c>
      <c r="D618" s="62" t="e">
        <v>#N/A</v>
      </c>
      <c r="E618" s="55" t="e">
        <v>#N/A</v>
      </c>
      <c r="F618" s="55" t="e">
        <v>#N/A</v>
      </c>
      <c r="G618" s="55" t="e">
        <v>#N/A</v>
      </c>
      <c r="H618" s="55" t="e">
        <v>#N/A</v>
      </c>
      <c r="I618" s="55" t="e">
        <v>#N/A</v>
      </c>
      <c r="J618" s="55" t="e">
        <v>#N/A</v>
      </c>
      <c r="K618" s="55" t="e">
        <v>#N/A</v>
      </c>
    </row>
    <row r="619" spans="1:11" ht="60" hidden="1" x14ac:dyDescent="0.25">
      <c r="A619" s="2" t="s">
        <v>450</v>
      </c>
      <c r="B619" s="3">
        <v>33132</v>
      </c>
      <c r="C619" s="4" t="s">
        <v>894</v>
      </c>
      <c r="D619" s="62" t="e">
        <v>#N/A</v>
      </c>
      <c r="E619" s="55" t="e">
        <v>#N/A</v>
      </c>
      <c r="F619" s="55" t="e">
        <v>#N/A</v>
      </c>
      <c r="G619" s="55" t="e">
        <v>#N/A</v>
      </c>
      <c r="H619" s="55" t="e">
        <v>#N/A</v>
      </c>
      <c r="I619" s="55" t="e">
        <v>#N/A</v>
      </c>
      <c r="J619" s="55" t="e">
        <v>#N/A</v>
      </c>
      <c r="K619" s="55" t="e">
        <v>#N/A</v>
      </c>
    </row>
    <row r="620" spans="1:11" ht="75" hidden="1" x14ac:dyDescent="0.25">
      <c r="A620" s="2" t="s">
        <v>450</v>
      </c>
      <c r="B620" s="3">
        <v>33133</v>
      </c>
      <c r="C620" s="4" t="s">
        <v>895</v>
      </c>
      <c r="D620" s="62" t="e">
        <v>#N/A</v>
      </c>
      <c r="E620" s="55" t="e">
        <v>#N/A</v>
      </c>
      <c r="F620" s="55" t="e">
        <v>#N/A</v>
      </c>
      <c r="G620" s="55" t="e">
        <v>#N/A</v>
      </c>
      <c r="H620" s="55" t="e">
        <v>#N/A</v>
      </c>
      <c r="I620" s="55" t="e">
        <v>#N/A</v>
      </c>
      <c r="J620" s="55" t="e">
        <v>#N/A</v>
      </c>
      <c r="K620" s="55" t="e">
        <v>#N/A</v>
      </c>
    </row>
    <row r="621" spans="1:11" ht="60" hidden="1" x14ac:dyDescent="0.25">
      <c r="A621" s="2" t="s">
        <v>450</v>
      </c>
      <c r="B621" s="3">
        <v>33141</v>
      </c>
      <c r="C621" s="4" t="s">
        <v>896</v>
      </c>
      <c r="D621" s="62" t="e">
        <v>#N/A</v>
      </c>
      <c r="E621" s="55" t="e">
        <v>#N/A</v>
      </c>
      <c r="F621" s="55" t="e">
        <v>#N/A</v>
      </c>
      <c r="G621" s="55" t="e">
        <v>#N/A</v>
      </c>
      <c r="H621" s="55" t="e">
        <v>#N/A</v>
      </c>
      <c r="I621" s="55" t="e">
        <v>#N/A</v>
      </c>
      <c r="J621" s="55" t="e">
        <v>#N/A</v>
      </c>
      <c r="K621" s="55" t="e">
        <v>#N/A</v>
      </c>
    </row>
    <row r="622" spans="1:11" ht="60" hidden="1" x14ac:dyDescent="0.25">
      <c r="A622" s="2" t="s">
        <v>450</v>
      </c>
      <c r="B622" s="3">
        <v>33142</v>
      </c>
      <c r="C622" s="4" t="s">
        <v>897</v>
      </c>
      <c r="D622" s="62" t="e">
        <v>#N/A</v>
      </c>
      <c r="E622" s="55" t="e">
        <v>#N/A</v>
      </c>
      <c r="F622" s="55" t="e">
        <v>#N/A</v>
      </c>
      <c r="G622" s="55" t="e">
        <v>#N/A</v>
      </c>
      <c r="H622" s="55" t="e">
        <v>#N/A</v>
      </c>
      <c r="I622" s="55" t="e">
        <v>#N/A</v>
      </c>
      <c r="J622" s="55" t="e">
        <v>#N/A</v>
      </c>
      <c r="K622" s="55" t="e">
        <v>#N/A</v>
      </c>
    </row>
    <row r="623" spans="1:11" ht="60" hidden="1" x14ac:dyDescent="0.25">
      <c r="A623" s="2" t="s">
        <v>450</v>
      </c>
      <c r="B623" s="3">
        <v>33149</v>
      </c>
      <c r="C623" s="4" t="s">
        <v>898</v>
      </c>
      <c r="D623" s="62" t="e">
        <v>#N/A</v>
      </c>
      <c r="E623" s="55" t="e">
        <v>#N/A</v>
      </c>
      <c r="F623" s="55" t="e">
        <v>#N/A</v>
      </c>
      <c r="G623" s="55" t="e">
        <v>#N/A</v>
      </c>
      <c r="H623" s="55" t="e">
        <v>#N/A</v>
      </c>
      <c r="I623" s="55" t="e">
        <v>#N/A</v>
      </c>
      <c r="J623" s="55" t="e">
        <v>#N/A</v>
      </c>
      <c r="K623" s="55" t="e">
        <v>#N/A</v>
      </c>
    </row>
    <row r="624" spans="1:11" ht="60" hidden="1" x14ac:dyDescent="0.25">
      <c r="A624" s="2" t="s">
        <v>450</v>
      </c>
      <c r="B624" s="3">
        <v>33151</v>
      </c>
      <c r="C624" s="4" t="s">
        <v>899</v>
      </c>
      <c r="D624" s="62" t="e">
        <v>#N/A</v>
      </c>
      <c r="E624" s="55" t="e">
        <v>#N/A</v>
      </c>
      <c r="F624" s="55" t="e">
        <v>#N/A</v>
      </c>
      <c r="G624" s="55" t="e">
        <v>#N/A</v>
      </c>
      <c r="H624" s="55" t="e">
        <v>#N/A</v>
      </c>
      <c r="I624" s="55" t="e">
        <v>#N/A</v>
      </c>
      <c r="J624" s="55" t="e">
        <v>#N/A</v>
      </c>
      <c r="K624" s="55" t="e">
        <v>#N/A</v>
      </c>
    </row>
    <row r="625" spans="1:11" ht="60" hidden="1" x14ac:dyDescent="0.25">
      <c r="A625" s="2" t="s">
        <v>450</v>
      </c>
      <c r="B625" s="3">
        <v>33152</v>
      </c>
      <c r="C625" s="4" t="s">
        <v>900</v>
      </c>
      <c r="D625" s="62" t="e">
        <v>#N/A</v>
      </c>
      <c r="E625" s="55" t="e">
        <v>#N/A</v>
      </c>
      <c r="F625" s="55" t="e">
        <v>#N/A</v>
      </c>
      <c r="G625" s="55" t="e">
        <v>#N/A</v>
      </c>
      <c r="H625" s="55" t="e">
        <v>#N/A</v>
      </c>
      <c r="I625" s="55" t="e">
        <v>#N/A</v>
      </c>
      <c r="J625" s="55" t="e">
        <v>#N/A</v>
      </c>
      <c r="K625" s="55" t="e">
        <v>#N/A</v>
      </c>
    </row>
    <row r="626" spans="1:11" ht="45" hidden="1" x14ac:dyDescent="0.25">
      <c r="A626" s="2" t="s">
        <v>450</v>
      </c>
      <c r="B626" s="3">
        <v>33153</v>
      </c>
      <c r="C626" s="4" t="s">
        <v>901</v>
      </c>
      <c r="D626" s="62" t="e">
        <v>#N/A</v>
      </c>
      <c r="E626" s="55" t="e">
        <v>#N/A</v>
      </c>
      <c r="F626" s="55" t="e">
        <v>#N/A</v>
      </c>
      <c r="G626" s="55" t="e">
        <v>#N/A</v>
      </c>
      <c r="H626" s="55" t="e">
        <v>#N/A</v>
      </c>
      <c r="I626" s="55" t="e">
        <v>#N/A</v>
      </c>
      <c r="J626" s="55" t="e">
        <v>#N/A</v>
      </c>
      <c r="K626" s="55" t="e">
        <v>#N/A</v>
      </c>
    </row>
    <row r="627" spans="1:11" ht="60" hidden="1" x14ac:dyDescent="0.25">
      <c r="A627" s="2" t="s">
        <v>450</v>
      </c>
      <c r="B627" s="3">
        <v>33159</v>
      </c>
      <c r="C627" s="4" t="s">
        <v>902</v>
      </c>
      <c r="D627" s="62" t="e">
        <v>#N/A</v>
      </c>
      <c r="E627" s="55" t="e">
        <v>#N/A</v>
      </c>
      <c r="F627" s="55" t="e">
        <v>#N/A</v>
      </c>
      <c r="G627" s="55" t="e">
        <v>#N/A</v>
      </c>
      <c r="H627" s="55" t="e">
        <v>#N/A</v>
      </c>
      <c r="I627" s="55" t="e">
        <v>#N/A</v>
      </c>
      <c r="J627" s="55" t="e">
        <v>#N/A</v>
      </c>
      <c r="K627" s="55" t="e">
        <v>#N/A</v>
      </c>
    </row>
    <row r="628" spans="1:11" ht="45" hidden="1" x14ac:dyDescent="0.25">
      <c r="A628" s="2" t="s">
        <v>450</v>
      </c>
      <c r="B628" s="3">
        <v>33190</v>
      </c>
      <c r="C628" s="4" t="s">
        <v>903</v>
      </c>
      <c r="D628" s="62" t="e">
        <v>#N/A</v>
      </c>
      <c r="E628" s="55" t="e">
        <v>#N/A</v>
      </c>
      <c r="F628" s="55" t="e">
        <v>#N/A</v>
      </c>
      <c r="G628" s="55" t="e">
        <v>#N/A</v>
      </c>
      <c r="H628" s="55" t="e">
        <v>#N/A</v>
      </c>
      <c r="I628" s="55" t="e">
        <v>#N/A</v>
      </c>
      <c r="J628" s="55" t="e">
        <v>#N/A</v>
      </c>
      <c r="K628" s="55" t="e">
        <v>#N/A</v>
      </c>
    </row>
    <row r="629" spans="1:11" ht="60" hidden="1" x14ac:dyDescent="0.25">
      <c r="A629" s="2" t="s">
        <v>450</v>
      </c>
      <c r="B629" s="3">
        <v>33201</v>
      </c>
      <c r="C629" s="4" t="s">
        <v>904</v>
      </c>
      <c r="D629" s="62" t="e">
        <v>#N/A</v>
      </c>
      <c r="E629" s="55" t="e">
        <v>#N/A</v>
      </c>
      <c r="F629" s="55" t="e">
        <v>#N/A</v>
      </c>
      <c r="G629" s="55" t="e">
        <v>#N/A</v>
      </c>
      <c r="H629" s="55" t="e">
        <v>#N/A</v>
      </c>
      <c r="I629" s="55" t="e">
        <v>#N/A</v>
      </c>
      <c r="J629" s="55" t="e">
        <v>#N/A</v>
      </c>
      <c r="K629" s="55" t="e">
        <v>#N/A</v>
      </c>
    </row>
    <row r="630" spans="1:11" ht="45" hidden="1" x14ac:dyDescent="0.25">
      <c r="A630" s="2" t="s">
        <v>450</v>
      </c>
      <c r="B630" s="3">
        <v>33202</v>
      </c>
      <c r="C630" s="4" t="s">
        <v>905</v>
      </c>
      <c r="D630" s="62" t="e">
        <v>#N/A</v>
      </c>
      <c r="E630" s="55" t="e">
        <v>#N/A</v>
      </c>
      <c r="F630" s="55" t="e">
        <v>#N/A</v>
      </c>
      <c r="G630" s="55" t="e">
        <v>#N/A</v>
      </c>
      <c r="H630" s="55" t="e">
        <v>#N/A</v>
      </c>
      <c r="I630" s="55" t="e">
        <v>#N/A</v>
      </c>
      <c r="J630" s="55" t="e">
        <v>#N/A</v>
      </c>
      <c r="K630" s="55" t="e">
        <v>#N/A</v>
      </c>
    </row>
    <row r="631" spans="1:11" ht="60" hidden="1" x14ac:dyDescent="0.25">
      <c r="A631" s="2" t="s">
        <v>450</v>
      </c>
      <c r="B631" s="3">
        <v>33203</v>
      </c>
      <c r="C631" s="4" t="s">
        <v>906</v>
      </c>
      <c r="D631" s="62" t="e">
        <v>#N/A</v>
      </c>
      <c r="E631" s="55" t="e">
        <v>#N/A</v>
      </c>
      <c r="F631" s="55" t="e">
        <v>#N/A</v>
      </c>
      <c r="G631" s="55" t="e">
        <v>#N/A</v>
      </c>
      <c r="H631" s="55" t="e">
        <v>#N/A</v>
      </c>
      <c r="I631" s="55" t="e">
        <v>#N/A</v>
      </c>
      <c r="J631" s="55" t="e">
        <v>#N/A</v>
      </c>
      <c r="K631" s="55" t="e">
        <v>#N/A</v>
      </c>
    </row>
    <row r="632" spans="1:11" ht="90" hidden="1" x14ac:dyDescent="0.25">
      <c r="A632" s="2" t="s">
        <v>907</v>
      </c>
      <c r="B632" s="3">
        <v>35111</v>
      </c>
      <c r="C632" s="4" t="s">
        <v>908</v>
      </c>
      <c r="D632" s="62" t="s">
        <v>1798</v>
      </c>
      <c r="E632" s="55" t="s">
        <v>2377</v>
      </c>
      <c r="F632" s="55" t="s">
        <v>111</v>
      </c>
      <c r="G632" s="55"/>
      <c r="H632" s="55" t="s">
        <v>2246</v>
      </c>
      <c r="I632" s="55" t="s">
        <v>2435</v>
      </c>
      <c r="J632" s="55" t="s">
        <v>2527</v>
      </c>
      <c r="K632" s="55" t="s">
        <v>2561</v>
      </c>
    </row>
    <row r="633" spans="1:11" ht="45" hidden="1" x14ac:dyDescent="0.25">
      <c r="A633" s="2" t="s">
        <v>907</v>
      </c>
      <c r="B633" s="3">
        <v>35112</v>
      </c>
      <c r="C633" s="4" t="s">
        <v>908</v>
      </c>
      <c r="D633" s="62" t="s">
        <v>2658</v>
      </c>
      <c r="E633" s="18" t="s">
        <v>2378</v>
      </c>
      <c r="F633" s="55" t="s">
        <v>2659</v>
      </c>
      <c r="G633" s="55"/>
      <c r="H633" s="55" t="s">
        <v>2247</v>
      </c>
      <c r="I633" s="55" t="s">
        <v>2435</v>
      </c>
      <c r="J633" s="55" t="s">
        <v>2528</v>
      </c>
      <c r="K633" s="55" t="s">
        <v>2561</v>
      </c>
    </row>
    <row r="634" spans="1:11" ht="60" hidden="1" x14ac:dyDescent="0.25">
      <c r="A634" s="2" t="s">
        <v>907</v>
      </c>
      <c r="B634" s="3">
        <v>35120</v>
      </c>
      <c r="C634" s="4" t="s">
        <v>909</v>
      </c>
      <c r="D634" s="62" t="s">
        <v>1799</v>
      </c>
      <c r="E634" s="55" t="s">
        <v>2379</v>
      </c>
      <c r="F634" s="55" t="s">
        <v>111</v>
      </c>
      <c r="G634" s="55"/>
      <c r="H634" s="55" t="s">
        <v>2248</v>
      </c>
      <c r="I634" s="55" t="s">
        <v>2435</v>
      </c>
      <c r="J634" s="55" t="s">
        <v>2529</v>
      </c>
      <c r="K634" s="55" t="s">
        <v>2530</v>
      </c>
    </row>
    <row r="635" spans="1:11" ht="75" hidden="1" x14ac:dyDescent="0.25">
      <c r="A635" s="2" t="s">
        <v>907</v>
      </c>
      <c r="B635" s="3">
        <v>35131</v>
      </c>
      <c r="C635" s="4" t="s">
        <v>910</v>
      </c>
      <c r="D635" s="62" t="s">
        <v>1800</v>
      </c>
      <c r="E635" s="55" t="s">
        <v>2380</v>
      </c>
      <c r="F635" s="55" t="s">
        <v>111</v>
      </c>
      <c r="G635" s="55"/>
      <c r="H635" s="55" t="s">
        <v>2249</v>
      </c>
      <c r="I635" s="55" t="s">
        <v>2436</v>
      </c>
      <c r="J635" s="55" t="s">
        <v>2530</v>
      </c>
      <c r="K635" s="55" t="s">
        <v>2562</v>
      </c>
    </row>
    <row r="636" spans="1:11" ht="90" x14ac:dyDescent="0.25">
      <c r="A636" s="2" t="s">
        <v>907</v>
      </c>
      <c r="B636" s="3">
        <v>35132</v>
      </c>
      <c r="C636" s="4" t="s">
        <v>911</v>
      </c>
      <c r="D636" s="62" t="s">
        <v>2035</v>
      </c>
      <c r="E636" s="55" t="s">
        <v>2381</v>
      </c>
      <c r="F636" s="55" t="s">
        <v>2056</v>
      </c>
      <c r="G636" s="55"/>
      <c r="H636" s="55" t="s">
        <v>2250</v>
      </c>
      <c r="I636" s="55" t="s">
        <v>2437</v>
      </c>
      <c r="J636" s="55" t="s">
        <v>2531</v>
      </c>
      <c r="K636" s="55" t="s">
        <v>2563</v>
      </c>
    </row>
    <row r="637" spans="1:11" ht="60" x14ac:dyDescent="0.25">
      <c r="A637" s="2" t="s">
        <v>907</v>
      </c>
      <c r="B637" s="3">
        <v>35133</v>
      </c>
      <c r="C637" s="4" t="s">
        <v>912</v>
      </c>
      <c r="D637" s="62" t="s">
        <v>2036</v>
      </c>
      <c r="E637" s="55" t="s">
        <v>2036</v>
      </c>
      <c r="F637" s="55" t="s">
        <v>2056</v>
      </c>
      <c r="G637" s="55"/>
      <c r="H637" s="55" t="s">
        <v>2251</v>
      </c>
      <c r="I637" s="55" t="s">
        <v>2438</v>
      </c>
      <c r="J637" s="55" t="s">
        <v>2530</v>
      </c>
      <c r="K637" s="55" t="s">
        <v>2564</v>
      </c>
    </row>
    <row r="638" spans="1:11" ht="45" x14ac:dyDescent="0.25">
      <c r="A638" s="2" t="s">
        <v>907</v>
      </c>
      <c r="B638" s="3">
        <v>35140</v>
      </c>
      <c r="C638" s="4" t="s">
        <v>913</v>
      </c>
      <c r="D638" s="62" t="s">
        <v>2037</v>
      </c>
      <c r="E638" s="55" t="s">
        <v>2382</v>
      </c>
      <c r="F638" s="55" t="s">
        <v>2056</v>
      </c>
      <c r="G638" s="55"/>
      <c r="H638" s="55" t="s">
        <v>2252</v>
      </c>
      <c r="I638" s="55" t="s">
        <v>2439</v>
      </c>
      <c r="J638" s="55" t="s">
        <v>2530</v>
      </c>
      <c r="K638" s="55" t="s">
        <v>2565</v>
      </c>
    </row>
    <row r="639" spans="1:11" ht="90" x14ac:dyDescent="0.25">
      <c r="A639" s="2" t="s">
        <v>907</v>
      </c>
      <c r="B639" s="3">
        <v>35151</v>
      </c>
      <c r="C639" s="4" t="s">
        <v>914</v>
      </c>
      <c r="D639" s="62" t="s">
        <v>2038</v>
      </c>
      <c r="E639" s="55" t="s">
        <v>2383</v>
      </c>
      <c r="F639" s="55" t="s">
        <v>2056</v>
      </c>
      <c r="G639" s="55"/>
      <c r="H639" s="55" t="s">
        <v>2253</v>
      </c>
      <c r="I639" s="55" t="s">
        <v>2440</v>
      </c>
      <c r="J639" s="55" t="s">
        <v>2532</v>
      </c>
      <c r="K639" s="55" t="s">
        <v>2566</v>
      </c>
    </row>
    <row r="640" spans="1:11" ht="60" hidden="1" x14ac:dyDescent="0.25">
      <c r="A640" s="2" t="s">
        <v>907</v>
      </c>
      <c r="B640" s="3">
        <v>35152</v>
      </c>
      <c r="C640" s="4" t="s">
        <v>915</v>
      </c>
      <c r="D640" s="62" t="s">
        <v>1929</v>
      </c>
      <c r="E640" s="55" t="s">
        <v>2384</v>
      </c>
      <c r="F640" s="55" t="s">
        <v>116</v>
      </c>
      <c r="G640" s="55"/>
      <c r="H640" s="55" t="s">
        <v>2254</v>
      </c>
      <c r="I640" s="55" t="s">
        <v>2440</v>
      </c>
      <c r="J640" s="55" t="s">
        <v>2533</v>
      </c>
      <c r="K640" s="55" t="s">
        <v>2566</v>
      </c>
    </row>
    <row r="641" spans="1:11" ht="75" x14ac:dyDescent="0.25">
      <c r="A641" s="2" t="s">
        <v>907</v>
      </c>
      <c r="B641" s="3">
        <v>35159</v>
      </c>
      <c r="C641" s="4" t="s">
        <v>916</v>
      </c>
      <c r="D641" s="62" t="s">
        <v>2039</v>
      </c>
      <c r="E641" s="55" t="s">
        <v>2385</v>
      </c>
      <c r="F641" s="55" t="s">
        <v>2056</v>
      </c>
      <c r="G641" s="55"/>
      <c r="H641" s="55" t="s">
        <v>2255</v>
      </c>
      <c r="I641" s="55" t="s">
        <v>2441</v>
      </c>
      <c r="J641" s="55" t="s">
        <v>2534</v>
      </c>
      <c r="K641" s="55" t="s">
        <v>2567</v>
      </c>
    </row>
    <row r="642" spans="1:11" ht="105" hidden="1" x14ac:dyDescent="0.25">
      <c r="A642" s="2" t="s">
        <v>907</v>
      </c>
      <c r="B642" s="3">
        <v>35201</v>
      </c>
      <c r="C642" s="4" t="s">
        <v>917</v>
      </c>
      <c r="D642" s="62" t="s">
        <v>1801</v>
      </c>
      <c r="E642" s="55" t="s">
        <v>2386</v>
      </c>
      <c r="F642" s="55" t="s">
        <v>111</v>
      </c>
      <c r="G642" s="55"/>
      <c r="H642" s="55" t="s">
        <v>2256</v>
      </c>
      <c r="I642" s="55" t="s">
        <v>2442</v>
      </c>
      <c r="J642" s="55" t="s">
        <v>2535</v>
      </c>
      <c r="K642" s="55" t="s">
        <v>2568</v>
      </c>
    </row>
    <row r="643" spans="1:11" ht="105" hidden="1" x14ac:dyDescent="0.25">
      <c r="A643" s="2" t="s">
        <v>907</v>
      </c>
      <c r="B643" s="3">
        <v>35202</v>
      </c>
      <c r="C643" s="4" t="s">
        <v>918</v>
      </c>
      <c r="D643" s="62" t="s">
        <v>1802</v>
      </c>
      <c r="E643" s="55" t="s">
        <v>2387</v>
      </c>
      <c r="F643" s="55" t="s">
        <v>111</v>
      </c>
      <c r="G643" s="55"/>
      <c r="H643" s="55" t="s">
        <v>2257</v>
      </c>
      <c r="I643" s="55" t="s">
        <v>2443</v>
      </c>
      <c r="J643" s="55" t="s">
        <v>2536</v>
      </c>
      <c r="K643" s="55" t="s">
        <v>2569</v>
      </c>
    </row>
    <row r="644" spans="1:11" ht="75" x14ac:dyDescent="0.25">
      <c r="A644" s="2" t="s">
        <v>907</v>
      </c>
      <c r="B644" s="3">
        <v>35301</v>
      </c>
      <c r="C644" s="4" t="s">
        <v>919</v>
      </c>
      <c r="D644" s="62" t="s">
        <v>2057</v>
      </c>
      <c r="E644" s="55" t="s">
        <v>2388</v>
      </c>
      <c r="F644" s="55" t="s">
        <v>2056</v>
      </c>
      <c r="G644" s="55"/>
      <c r="H644" s="55" t="s">
        <v>2258</v>
      </c>
      <c r="I644" s="55" t="s">
        <v>2444</v>
      </c>
      <c r="J644" s="55" t="s">
        <v>2537</v>
      </c>
      <c r="K644" s="55" t="s">
        <v>2570</v>
      </c>
    </row>
    <row r="645" spans="1:11" ht="45" hidden="1" x14ac:dyDescent="0.25">
      <c r="A645" s="2" t="s">
        <v>907</v>
      </c>
      <c r="B645" s="3">
        <v>35302</v>
      </c>
      <c r="C645" s="4" t="s">
        <v>920</v>
      </c>
      <c r="D645" s="62" t="s">
        <v>1930</v>
      </c>
      <c r="E645" s="55" t="s">
        <v>2389</v>
      </c>
      <c r="F645" s="55" t="s">
        <v>116</v>
      </c>
      <c r="G645" s="55"/>
      <c r="H645" s="55" t="s">
        <v>2259</v>
      </c>
      <c r="I645" s="55" t="s">
        <v>2444</v>
      </c>
      <c r="J645" s="55" t="s">
        <v>2538</v>
      </c>
      <c r="K645" s="55" t="s">
        <v>2571</v>
      </c>
    </row>
    <row r="646" spans="1:11" ht="90" hidden="1" x14ac:dyDescent="0.25">
      <c r="A646" s="2" t="s">
        <v>907</v>
      </c>
      <c r="B646" s="3">
        <v>35401</v>
      </c>
      <c r="C646" s="4" t="s">
        <v>921</v>
      </c>
      <c r="D646" s="62" t="s">
        <v>1931</v>
      </c>
      <c r="E646" s="55" t="s">
        <v>2390</v>
      </c>
      <c r="F646" s="55" t="s">
        <v>116</v>
      </c>
      <c r="G646" s="55" t="s">
        <v>2090</v>
      </c>
      <c r="H646" s="55" t="s">
        <v>2260</v>
      </c>
      <c r="I646" s="55" t="s">
        <v>2445</v>
      </c>
      <c r="J646" s="55" t="s">
        <v>2539</v>
      </c>
      <c r="K646" s="55" t="s">
        <v>2572</v>
      </c>
    </row>
    <row r="647" spans="1:11" ht="90" hidden="1" x14ac:dyDescent="0.25">
      <c r="A647" s="2" t="s">
        <v>907</v>
      </c>
      <c r="B647" s="3">
        <v>35402</v>
      </c>
      <c r="C647" s="4" t="s">
        <v>922</v>
      </c>
      <c r="D647" s="62" t="s">
        <v>1932</v>
      </c>
      <c r="E647" s="55" t="s">
        <v>2391</v>
      </c>
      <c r="F647" s="55" t="s">
        <v>116</v>
      </c>
      <c r="G647" s="55" t="s">
        <v>2090</v>
      </c>
      <c r="H647" s="55" t="s">
        <v>2261</v>
      </c>
      <c r="I647" s="55" t="s">
        <v>2445</v>
      </c>
      <c r="J647" s="55" t="s">
        <v>2536</v>
      </c>
      <c r="K647" s="55" t="s">
        <v>2573</v>
      </c>
    </row>
    <row r="648" spans="1:11" ht="45" hidden="1" x14ac:dyDescent="0.25">
      <c r="A648" s="2" t="s">
        <v>6</v>
      </c>
      <c r="B648" s="3">
        <v>36001</v>
      </c>
      <c r="C648" s="4" t="s">
        <v>7</v>
      </c>
      <c r="D648" s="62" t="s">
        <v>1803</v>
      </c>
      <c r="E648" s="55" t="s">
        <v>2392</v>
      </c>
      <c r="F648" s="55" t="s">
        <v>111</v>
      </c>
      <c r="G648" s="55" t="s">
        <v>2091</v>
      </c>
      <c r="H648" s="55" t="s">
        <v>2262</v>
      </c>
      <c r="I648" s="55" t="s">
        <v>2446</v>
      </c>
      <c r="J648" s="55" t="s">
        <v>2540</v>
      </c>
      <c r="K648" s="55" t="s">
        <v>2574</v>
      </c>
    </row>
    <row r="649" spans="1:11" ht="60" hidden="1" x14ac:dyDescent="0.25">
      <c r="A649" s="2" t="s">
        <v>6</v>
      </c>
      <c r="B649" s="3">
        <v>36002</v>
      </c>
      <c r="C649" s="4" t="s">
        <v>8</v>
      </c>
      <c r="D649" s="62" t="s">
        <v>1804</v>
      </c>
      <c r="E649" s="55" t="s">
        <v>2393</v>
      </c>
      <c r="F649" s="55" t="s">
        <v>111</v>
      </c>
      <c r="G649" s="55" t="s">
        <v>2091</v>
      </c>
      <c r="H649" s="55" t="s">
        <v>2263</v>
      </c>
      <c r="I649" s="55" t="s">
        <v>2447</v>
      </c>
      <c r="J649" s="55" t="s">
        <v>2541</v>
      </c>
      <c r="K649" s="55" t="s">
        <v>2541</v>
      </c>
    </row>
    <row r="650" spans="1:11" ht="75" hidden="1" x14ac:dyDescent="0.25">
      <c r="A650" s="2" t="s">
        <v>6</v>
      </c>
      <c r="B650" s="3">
        <v>36003</v>
      </c>
      <c r="C650" s="4" t="s">
        <v>9</v>
      </c>
      <c r="D650" s="62" t="s">
        <v>1933</v>
      </c>
      <c r="E650" s="55" t="s">
        <v>2394</v>
      </c>
      <c r="F650" s="55" t="s">
        <v>116</v>
      </c>
      <c r="G650" s="55" t="s">
        <v>2091</v>
      </c>
      <c r="H650" s="55" t="s">
        <v>2264</v>
      </c>
      <c r="I650" s="55" t="s">
        <v>2448</v>
      </c>
      <c r="J650" s="55" t="s">
        <v>2542</v>
      </c>
      <c r="K650" s="55" t="s">
        <v>2575</v>
      </c>
    </row>
    <row r="651" spans="1:11" ht="45" hidden="1" x14ac:dyDescent="0.25">
      <c r="A651" s="2" t="s">
        <v>6</v>
      </c>
      <c r="B651" s="3">
        <v>37001</v>
      </c>
      <c r="C651" s="4" t="s">
        <v>10</v>
      </c>
      <c r="D651" s="62" t="s">
        <v>1934</v>
      </c>
      <c r="E651" s="55" t="s">
        <v>2395</v>
      </c>
      <c r="F651" s="55" t="s">
        <v>116</v>
      </c>
      <c r="G651" s="55" t="s">
        <v>2091</v>
      </c>
      <c r="H651" s="55" t="s">
        <v>2265</v>
      </c>
      <c r="I651" s="55" t="s">
        <v>2449</v>
      </c>
      <c r="J651" s="55" t="s">
        <v>2543</v>
      </c>
      <c r="K651" s="55" t="s">
        <v>2576</v>
      </c>
    </row>
    <row r="652" spans="1:11" ht="75" x14ac:dyDescent="0.25">
      <c r="A652" s="2" t="s">
        <v>6</v>
      </c>
      <c r="B652" s="3">
        <v>37002</v>
      </c>
      <c r="C652" s="4" t="s">
        <v>923</v>
      </c>
      <c r="D652" s="62" t="s">
        <v>2660</v>
      </c>
      <c r="E652" s="55" t="s">
        <v>2396</v>
      </c>
      <c r="F652" s="55" t="s">
        <v>2056</v>
      </c>
      <c r="G652" s="55" t="s">
        <v>2091</v>
      </c>
      <c r="H652" s="55" t="s">
        <v>2266</v>
      </c>
      <c r="I652" s="55" t="s">
        <v>2450</v>
      </c>
      <c r="J652" s="55" t="s">
        <v>2544</v>
      </c>
      <c r="K652" s="55" t="s">
        <v>2577</v>
      </c>
    </row>
    <row r="653" spans="1:11" ht="60" hidden="1" x14ac:dyDescent="0.25">
      <c r="A653" s="2" t="s">
        <v>6</v>
      </c>
      <c r="B653" s="3">
        <v>38110</v>
      </c>
      <c r="C653" s="4" t="s">
        <v>11</v>
      </c>
      <c r="D653" s="62" t="s">
        <v>1935</v>
      </c>
      <c r="E653" s="55" t="s">
        <v>2397</v>
      </c>
      <c r="F653" s="55" t="s">
        <v>116</v>
      </c>
      <c r="G653" s="55" t="s">
        <v>2091</v>
      </c>
      <c r="H653" s="55" t="s">
        <v>2267</v>
      </c>
      <c r="I653" s="55" t="s">
        <v>2451</v>
      </c>
      <c r="J653" s="55" t="s">
        <v>2545</v>
      </c>
      <c r="K653" s="55" t="s">
        <v>2578</v>
      </c>
    </row>
    <row r="654" spans="1:11" ht="75" hidden="1" x14ac:dyDescent="0.25">
      <c r="A654" s="2" t="s">
        <v>6</v>
      </c>
      <c r="B654" s="3">
        <v>38121</v>
      </c>
      <c r="C654" s="4" t="s">
        <v>924</v>
      </c>
      <c r="D654" s="91" t="s">
        <v>2661</v>
      </c>
      <c r="E654" s="55" t="s">
        <v>2398</v>
      </c>
      <c r="F654" s="55" t="s">
        <v>116</v>
      </c>
      <c r="G654" s="55" t="s">
        <v>2091</v>
      </c>
      <c r="H654" s="55" t="s">
        <v>2268</v>
      </c>
      <c r="I654" s="55" t="s">
        <v>2452</v>
      </c>
      <c r="J654" s="55" t="s">
        <v>2546</v>
      </c>
      <c r="K654" s="55" t="s">
        <v>2579</v>
      </c>
    </row>
    <row r="655" spans="1:11" ht="90" hidden="1" x14ac:dyDescent="0.25">
      <c r="A655" s="2" t="s">
        <v>6</v>
      </c>
      <c r="B655" s="3">
        <v>38122</v>
      </c>
      <c r="C655" s="4" t="s">
        <v>925</v>
      </c>
      <c r="D655" s="62" t="s">
        <v>2662</v>
      </c>
      <c r="E655" s="55" t="s">
        <v>2399</v>
      </c>
      <c r="F655" s="55" t="s">
        <v>2659</v>
      </c>
      <c r="G655" s="55" t="s">
        <v>2091</v>
      </c>
      <c r="H655" s="55" t="s">
        <v>2269</v>
      </c>
      <c r="I655" s="55" t="s">
        <v>2453</v>
      </c>
      <c r="J655" s="55" t="s">
        <v>2547</v>
      </c>
      <c r="K655" s="55" t="s">
        <v>2580</v>
      </c>
    </row>
    <row r="656" spans="1:11" ht="75.75" thickBot="1" x14ac:dyDescent="0.3">
      <c r="A656" s="2" t="s">
        <v>6</v>
      </c>
      <c r="B656" s="3">
        <v>38211</v>
      </c>
      <c r="C656" s="4" t="s">
        <v>2122</v>
      </c>
      <c r="D656" s="62" t="s">
        <v>2663</v>
      </c>
      <c r="E656" s="55" t="s">
        <v>2400</v>
      </c>
      <c r="F656" s="55" t="s">
        <v>2056</v>
      </c>
      <c r="G656" s="55" t="s">
        <v>2091</v>
      </c>
      <c r="H656" s="55" t="s">
        <v>2270</v>
      </c>
      <c r="I656" s="55" t="s">
        <v>2454</v>
      </c>
      <c r="J656" s="55" t="s">
        <v>2646</v>
      </c>
      <c r="K656" s="55" t="s">
        <v>2581</v>
      </c>
    </row>
    <row r="657" spans="1:11" ht="90.75" hidden="1" thickBot="1" x14ac:dyDescent="0.3">
      <c r="A657" s="2" t="s">
        <v>6</v>
      </c>
      <c r="B657" s="3">
        <v>38212</v>
      </c>
      <c r="C657" s="4" t="s">
        <v>12</v>
      </c>
      <c r="D657" s="62" t="s">
        <v>1936</v>
      </c>
      <c r="E657" s="55" t="s">
        <v>2401</v>
      </c>
      <c r="F657" s="55" t="s">
        <v>116</v>
      </c>
      <c r="G657" s="55" t="s">
        <v>2091</v>
      </c>
      <c r="H657" s="55" t="s">
        <v>2271</v>
      </c>
      <c r="I657" s="55" t="s">
        <v>2455</v>
      </c>
      <c r="J657" s="55" t="s">
        <v>2548</v>
      </c>
      <c r="K657" s="55" t="s">
        <v>2582</v>
      </c>
    </row>
    <row r="658" spans="1:11" ht="75.75" hidden="1" thickBot="1" x14ac:dyDescent="0.3">
      <c r="A658" s="2" t="s">
        <v>6</v>
      </c>
      <c r="B658" s="3">
        <v>38219</v>
      </c>
      <c r="C658" s="55" t="s">
        <v>2123</v>
      </c>
      <c r="D658" s="62" t="s">
        <v>1805</v>
      </c>
      <c r="E658" s="55" t="s">
        <v>2402</v>
      </c>
      <c r="F658" s="55" t="s">
        <v>111</v>
      </c>
      <c r="G658" s="55" t="s">
        <v>2091</v>
      </c>
      <c r="H658" s="55" t="s">
        <v>2272</v>
      </c>
      <c r="I658" s="55" t="s">
        <v>2456</v>
      </c>
      <c r="J658" s="55" t="s">
        <v>2647</v>
      </c>
      <c r="K658" s="55" t="s">
        <v>2583</v>
      </c>
    </row>
    <row r="659" spans="1:11" ht="90.75" hidden="1" thickBot="1" x14ac:dyDescent="0.3">
      <c r="A659" s="2" t="s">
        <v>6</v>
      </c>
      <c r="B659" s="3">
        <v>38221</v>
      </c>
      <c r="C659" s="62" t="s">
        <v>2124</v>
      </c>
      <c r="D659" s="92" t="s">
        <v>2664</v>
      </c>
      <c r="E659" s="55" t="s">
        <v>2403</v>
      </c>
      <c r="F659" s="55" t="s">
        <v>111</v>
      </c>
      <c r="G659" s="55" t="s">
        <v>2091</v>
      </c>
      <c r="H659" s="55" t="s">
        <v>2273</v>
      </c>
      <c r="I659" s="55" t="s">
        <v>2457</v>
      </c>
      <c r="J659" s="55" t="s">
        <v>2549</v>
      </c>
      <c r="K659" s="55" t="s">
        <v>2584</v>
      </c>
    </row>
    <row r="660" spans="1:11" ht="45.75" hidden="1" thickBot="1" x14ac:dyDescent="0.3">
      <c r="A660" s="2" t="s">
        <v>6</v>
      </c>
      <c r="B660" s="3">
        <v>38222</v>
      </c>
      <c r="C660" s="4" t="s">
        <v>928</v>
      </c>
      <c r="D660" s="92" t="s">
        <v>2665</v>
      </c>
      <c r="E660" s="55" t="s">
        <v>2404</v>
      </c>
      <c r="F660" s="55" t="s">
        <v>2659</v>
      </c>
      <c r="G660" s="55" t="s">
        <v>2091</v>
      </c>
      <c r="H660" s="55" t="s">
        <v>2274</v>
      </c>
      <c r="I660" s="55" t="s">
        <v>2458</v>
      </c>
      <c r="J660" s="55" t="s">
        <v>2547</v>
      </c>
      <c r="K660" s="55" t="s">
        <v>2585</v>
      </c>
    </row>
    <row r="661" spans="1:11" ht="105.75" hidden="1" thickBot="1" x14ac:dyDescent="0.3">
      <c r="A661" s="2" t="s">
        <v>6</v>
      </c>
      <c r="B661" s="3">
        <v>38301</v>
      </c>
      <c r="C661" s="4" t="s">
        <v>14</v>
      </c>
      <c r="D661" s="62" t="s">
        <v>1937</v>
      </c>
      <c r="E661" s="55" t="s">
        <v>2405</v>
      </c>
      <c r="F661" s="55" t="s">
        <v>116</v>
      </c>
      <c r="G661" s="55" t="s">
        <v>2091</v>
      </c>
      <c r="H661" s="55" t="s">
        <v>2275</v>
      </c>
      <c r="I661" s="55" t="s">
        <v>2459</v>
      </c>
      <c r="J661" s="55" t="s">
        <v>2550</v>
      </c>
      <c r="K661" s="55" t="s">
        <v>2586</v>
      </c>
    </row>
    <row r="662" spans="1:11" ht="90.75" hidden="1" thickBot="1" x14ac:dyDescent="0.3">
      <c r="A662" s="2" t="s">
        <v>6</v>
      </c>
      <c r="B662" s="3">
        <v>38302</v>
      </c>
      <c r="C662" s="4" t="s">
        <v>15</v>
      </c>
      <c r="D662" s="62" t="s">
        <v>1938</v>
      </c>
      <c r="E662" s="55" t="s">
        <v>2406</v>
      </c>
      <c r="F662" s="55" t="s">
        <v>116</v>
      </c>
      <c r="G662" s="55" t="s">
        <v>2091</v>
      </c>
      <c r="H662" s="55" t="s">
        <v>2276</v>
      </c>
      <c r="I662" s="55" t="s">
        <v>2459</v>
      </c>
      <c r="J662" s="55" t="s">
        <v>2551</v>
      </c>
      <c r="K662" s="55" t="s">
        <v>2587</v>
      </c>
    </row>
    <row r="663" spans="1:11" ht="64.5" thickBot="1" x14ac:dyDescent="0.3">
      <c r="A663" s="2" t="s">
        <v>6</v>
      </c>
      <c r="B663" s="3">
        <v>38309</v>
      </c>
      <c r="C663" s="4" t="s">
        <v>929</v>
      </c>
      <c r="D663" s="92" t="s">
        <v>2666</v>
      </c>
      <c r="E663" s="55" t="s">
        <v>2407</v>
      </c>
      <c r="F663" s="55" t="s">
        <v>2056</v>
      </c>
      <c r="G663" s="55" t="s">
        <v>2091</v>
      </c>
      <c r="H663" s="55" t="s">
        <v>2277</v>
      </c>
      <c r="I663" s="55" t="s">
        <v>2459</v>
      </c>
      <c r="J663" s="55" t="s">
        <v>2552</v>
      </c>
      <c r="K663" s="55" t="s">
        <v>2588</v>
      </c>
    </row>
    <row r="664" spans="1:11" ht="64.5" thickBot="1" x14ac:dyDescent="0.3">
      <c r="A664" s="2" t="s">
        <v>6</v>
      </c>
      <c r="B664" s="3">
        <v>39001</v>
      </c>
      <c r="C664" s="4" t="s">
        <v>930</v>
      </c>
      <c r="D664" s="92" t="s">
        <v>2667</v>
      </c>
      <c r="E664" s="55" t="s">
        <v>2408</v>
      </c>
      <c r="F664" s="55" t="s">
        <v>2056</v>
      </c>
      <c r="G664" s="55" t="s">
        <v>2091</v>
      </c>
      <c r="H664" s="55" t="s">
        <v>2278</v>
      </c>
      <c r="I664" s="55" t="s">
        <v>2460</v>
      </c>
      <c r="J664" s="55" t="s">
        <v>2553</v>
      </c>
      <c r="K664" s="55" t="s">
        <v>2589</v>
      </c>
    </row>
    <row r="665" spans="1:11" ht="51.75" thickBot="1" x14ac:dyDescent="0.3">
      <c r="A665" s="2" t="s">
        <v>6</v>
      </c>
      <c r="B665" s="3">
        <v>39002</v>
      </c>
      <c r="C665" s="4" t="s">
        <v>931</v>
      </c>
      <c r="D665" s="92" t="s">
        <v>2668</v>
      </c>
      <c r="E665" s="55" t="s">
        <v>2409</v>
      </c>
      <c r="F665" s="55" t="s">
        <v>2056</v>
      </c>
      <c r="G665" s="55" t="s">
        <v>2091</v>
      </c>
      <c r="H665" s="55" t="s">
        <v>2279</v>
      </c>
      <c r="I665" s="55" t="s">
        <v>2461</v>
      </c>
      <c r="J665" s="55" t="s">
        <v>2554</v>
      </c>
      <c r="K665" s="55" t="s">
        <v>2590</v>
      </c>
    </row>
    <row r="666" spans="1:11" ht="60.75" thickBot="1" x14ac:dyDescent="0.3">
      <c r="A666" s="2" t="s">
        <v>6</v>
      </c>
      <c r="B666" s="3">
        <v>39009</v>
      </c>
      <c r="C666" s="4" t="s">
        <v>932</v>
      </c>
      <c r="D666" s="92" t="s">
        <v>2669</v>
      </c>
      <c r="E666" s="55" t="s">
        <v>2410</v>
      </c>
      <c r="F666" s="55" t="s">
        <v>2056</v>
      </c>
      <c r="G666" s="55" t="s">
        <v>2091</v>
      </c>
      <c r="H666" s="55" t="s">
        <v>2280</v>
      </c>
      <c r="I666" s="55" t="s">
        <v>2462</v>
      </c>
      <c r="J666" s="55" t="s">
        <v>2555</v>
      </c>
      <c r="K666" s="55" t="s">
        <v>2591</v>
      </c>
    </row>
    <row r="667" spans="1:11" ht="45" hidden="1" x14ac:dyDescent="0.25">
      <c r="A667" s="2" t="s">
        <v>933</v>
      </c>
      <c r="B667" s="3">
        <v>41011</v>
      </c>
      <c r="C667" s="4" t="s">
        <v>934</v>
      </c>
      <c r="D667" s="62" t="e">
        <v>#N/A</v>
      </c>
      <c r="E667" s="55" t="e">
        <v>#N/A</v>
      </c>
      <c r="F667" s="55" t="e">
        <v>#N/A</v>
      </c>
      <c r="G667" s="55" t="e">
        <v>#N/A</v>
      </c>
      <c r="H667" s="55" t="e">
        <v>#N/A</v>
      </c>
      <c r="I667" s="55" t="e">
        <v>#N/A</v>
      </c>
      <c r="J667" s="55" t="e">
        <v>#N/A</v>
      </c>
      <c r="K667" s="55" t="e">
        <v>#N/A</v>
      </c>
    </row>
    <row r="668" spans="1:11" ht="60" hidden="1" x14ac:dyDescent="0.25">
      <c r="A668" s="2" t="s">
        <v>933</v>
      </c>
      <c r="B668" s="3">
        <v>41012</v>
      </c>
      <c r="C668" s="4" t="s">
        <v>935</v>
      </c>
      <c r="D668" s="62" t="e">
        <v>#N/A</v>
      </c>
      <c r="E668" s="55" t="e">
        <v>#N/A</v>
      </c>
      <c r="F668" s="55" t="e">
        <v>#N/A</v>
      </c>
      <c r="G668" s="55" t="e">
        <v>#N/A</v>
      </c>
      <c r="H668" s="55" t="e">
        <v>#N/A</v>
      </c>
      <c r="I668" s="55" t="e">
        <v>#N/A</v>
      </c>
      <c r="J668" s="55" t="e">
        <v>#N/A</v>
      </c>
      <c r="K668" s="55" t="e">
        <v>#N/A</v>
      </c>
    </row>
    <row r="669" spans="1:11" ht="45" hidden="1" x14ac:dyDescent="0.25">
      <c r="A669" s="2" t="s">
        <v>933</v>
      </c>
      <c r="B669" s="3">
        <v>41013</v>
      </c>
      <c r="C669" s="4" t="s">
        <v>936</v>
      </c>
      <c r="D669" s="62" t="e">
        <v>#N/A</v>
      </c>
      <c r="E669" s="55" t="e">
        <v>#N/A</v>
      </c>
      <c r="F669" s="55" t="e">
        <v>#N/A</v>
      </c>
      <c r="G669" s="55" t="e">
        <v>#N/A</v>
      </c>
      <c r="H669" s="55" t="e">
        <v>#N/A</v>
      </c>
      <c r="I669" s="55" t="e">
        <v>#N/A</v>
      </c>
      <c r="J669" s="55" t="e">
        <v>#N/A</v>
      </c>
      <c r="K669" s="55" t="e">
        <v>#N/A</v>
      </c>
    </row>
    <row r="670" spans="1:11" ht="60" hidden="1" x14ac:dyDescent="0.25">
      <c r="A670" s="2" t="s">
        <v>933</v>
      </c>
      <c r="B670" s="3">
        <v>41014</v>
      </c>
      <c r="C670" s="4" t="s">
        <v>937</v>
      </c>
      <c r="D670" s="62" t="e">
        <v>#N/A</v>
      </c>
      <c r="E670" s="55" t="e">
        <v>#N/A</v>
      </c>
      <c r="F670" s="55" t="e">
        <v>#N/A</v>
      </c>
      <c r="G670" s="55" t="e">
        <v>#N/A</v>
      </c>
      <c r="H670" s="55" t="e">
        <v>#N/A</v>
      </c>
      <c r="I670" s="55" t="e">
        <v>#N/A</v>
      </c>
      <c r="J670" s="55" t="e">
        <v>#N/A</v>
      </c>
      <c r="K670" s="55" t="e">
        <v>#N/A</v>
      </c>
    </row>
    <row r="671" spans="1:11" ht="45" hidden="1" x14ac:dyDescent="0.25">
      <c r="A671" s="2" t="s">
        <v>933</v>
      </c>
      <c r="B671" s="3">
        <v>41015</v>
      </c>
      <c r="C671" s="4" t="s">
        <v>938</v>
      </c>
      <c r="D671" s="62" t="e">
        <v>#N/A</v>
      </c>
      <c r="E671" s="55" t="e">
        <v>#N/A</v>
      </c>
      <c r="F671" s="55" t="e">
        <v>#N/A</v>
      </c>
      <c r="G671" s="55" t="e">
        <v>#N/A</v>
      </c>
      <c r="H671" s="55" t="e">
        <v>#N/A</v>
      </c>
      <c r="I671" s="55" t="e">
        <v>#N/A</v>
      </c>
      <c r="J671" s="55" t="e">
        <v>#N/A</v>
      </c>
      <c r="K671" s="55" t="e">
        <v>#N/A</v>
      </c>
    </row>
    <row r="672" spans="1:11" ht="45" hidden="1" x14ac:dyDescent="0.25">
      <c r="A672" s="2" t="s">
        <v>933</v>
      </c>
      <c r="B672" s="3">
        <v>41016</v>
      </c>
      <c r="C672" s="4" t="s">
        <v>939</v>
      </c>
      <c r="D672" s="62" t="e">
        <v>#N/A</v>
      </c>
      <c r="E672" s="55" t="e">
        <v>#N/A</v>
      </c>
      <c r="F672" s="55" t="e">
        <v>#N/A</v>
      </c>
      <c r="G672" s="55" t="e">
        <v>#N/A</v>
      </c>
      <c r="H672" s="55" t="e">
        <v>#N/A</v>
      </c>
      <c r="I672" s="55" t="e">
        <v>#N/A</v>
      </c>
      <c r="J672" s="55" t="e">
        <v>#N/A</v>
      </c>
      <c r="K672" s="55" t="e">
        <v>#N/A</v>
      </c>
    </row>
    <row r="673" spans="1:11" ht="45" hidden="1" x14ac:dyDescent="0.25">
      <c r="A673" s="2" t="s">
        <v>933</v>
      </c>
      <c r="B673" s="3">
        <v>41017</v>
      </c>
      <c r="C673" s="4" t="s">
        <v>940</v>
      </c>
      <c r="D673" s="62" t="e">
        <v>#N/A</v>
      </c>
      <c r="E673" s="55" t="e">
        <v>#N/A</v>
      </c>
      <c r="F673" s="55" t="e">
        <v>#N/A</v>
      </c>
      <c r="G673" s="55" t="e">
        <v>#N/A</v>
      </c>
      <c r="H673" s="55" t="e">
        <v>#N/A</v>
      </c>
      <c r="I673" s="55" t="e">
        <v>#N/A</v>
      </c>
      <c r="J673" s="55" t="e">
        <v>#N/A</v>
      </c>
      <c r="K673" s="55" t="e">
        <v>#N/A</v>
      </c>
    </row>
    <row r="674" spans="1:11" ht="60" hidden="1" x14ac:dyDescent="0.25">
      <c r="A674" s="2" t="s">
        <v>933</v>
      </c>
      <c r="B674" s="3">
        <v>41018</v>
      </c>
      <c r="C674" s="4" t="s">
        <v>941</v>
      </c>
      <c r="D674" s="62" t="e">
        <v>#N/A</v>
      </c>
      <c r="E674" s="55" t="e">
        <v>#N/A</v>
      </c>
      <c r="F674" s="55" t="e">
        <v>#N/A</v>
      </c>
      <c r="G674" s="55" t="e">
        <v>#N/A</v>
      </c>
      <c r="H674" s="55" t="e">
        <v>#N/A</v>
      </c>
      <c r="I674" s="55" t="e">
        <v>#N/A</v>
      </c>
      <c r="J674" s="55" t="e">
        <v>#N/A</v>
      </c>
      <c r="K674" s="55" t="e">
        <v>#N/A</v>
      </c>
    </row>
    <row r="675" spans="1:11" ht="45" hidden="1" x14ac:dyDescent="0.25">
      <c r="A675" s="2" t="s">
        <v>933</v>
      </c>
      <c r="B675" s="3">
        <v>41019</v>
      </c>
      <c r="C675" s="4" t="s">
        <v>942</v>
      </c>
      <c r="D675" s="62" t="e">
        <v>#N/A</v>
      </c>
      <c r="E675" s="55" t="e">
        <v>#N/A</v>
      </c>
      <c r="F675" s="55" t="e">
        <v>#N/A</v>
      </c>
      <c r="G675" s="55" t="e">
        <v>#N/A</v>
      </c>
      <c r="H675" s="55" t="e">
        <v>#N/A</v>
      </c>
      <c r="I675" s="55" t="e">
        <v>#N/A</v>
      </c>
      <c r="J675" s="55" t="e">
        <v>#N/A</v>
      </c>
      <c r="K675" s="55" t="e">
        <v>#N/A</v>
      </c>
    </row>
    <row r="676" spans="1:11" ht="45" hidden="1" x14ac:dyDescent="0.25">
      <c r="A676" s="2" t="s">
        <v>933</v>
      </c>
      <c r="B676" s="3">
        <v>41020</v>
      </c>
      <c r="C676" s="4" t="s">
        <v>943</v>
      </c>
      <c r="D676" s="62" t="e">
        <v>#N/A</v>
      </c>
      <c r="E676" s="55" t="e">
        <v>#N/A</v>
      </c>
      <c r="F676" s="55" t="e">
        <v>#N/A</v>
      </c>
      <c r="G676" s="55" t="e">
        <v>#N/A</v>
      </c>
      <c r="H676" s="55" t="e">
        <v>#N/A</v>
      </c>
      <c r="I676" s="55" t="e">
        <v>#N/A</v>
      </c>
      <c r="J676" s="55" t="e">
        <v>#N/A</v>
      </c>
      <c r="K676" s="55" t="e">
        <v>#N/A</v>
      </c>
    </row>
    <row r="677" spans="1:11" ht="45" hidden="1" x14ac:dyDescent="0.25">
      <c r="A677" s="2" t="s">
        <v>933</v>
      </c>
      <c r="B677" s="3">
        <v>42101</v>
      </c>
      <c r="C677" s="4" t="s">
        <v>944</v>
      </c>
      <c r="D677" s="62" t="e">
        <v>#N/A</v>
      </c>
      <c r="E677" s="55" t="e">
        <v>#N/A</v>
      </c>
      <c r="F677" s="55" t="e">
        <v>#N/A</v>
      </c>
      <c r="G677" s="55" t="e">
        <v>#N/A</v>
      </c>
      <c r="H677" s="55" t="e">
        <v>#N/A</v>
      </c>
      <c r="I677" s="55" t="e">
        <v>#N/A</v>
      </c>
      <c r="J677" s="55" t="e">
        <v>#N/A</v>
      </c>
      <c r="K677" s="55" t="e">
        <v>#N/A</v>
      </c>
    </row>
    <row r="678" spans="1:11" ht="60" hidden="1" x14ac:dyDescent="0.25">
      <c r="A678" s="2" t="s">
        <v>933</v>
      </c>
      <c r="B678" s="3">
        <v>42102</v>
      </c>
      <c r="C678" s="4" t="s">
        <v>945</v>
      </c>
      <c r="D678" s="62" t="e">
        <v>#N/A</v>
      </c>
      <c r="E678" s="55" t="e">
        <v>#N/A</v>
      </c>
      <c r="F678" s="55" t="e">
        <v>#N/A</v>
      </c>
      <c r="G678" s="55" t="e">
        <v>#N/A</v>
      </c>
      <c r="H678" s="55" t="e">
        <v>#N/A</v>
      </c>
      <c r="I678" s="55" t="e">
        <v>#N/A</v>
      </c>
      <c r="J678" s="55" t="e">
        <v>#N/A</v>
      </c>
      <c r="K678" s="55" t="e">
        <v>#N/A</v>
      </c>
    </row>
    <row r="679" spans="1:11" ht="30" hidden="1" x14ac:dyDescent="0.25">
      <c r="A679" s="2" t="s">
        <v>933</v>
      </c>
      <c r="B679" s="3">
        <v>42103</v>
      </c>
      <c r="C679" s="4" t="s">
        <v>946</v>
      </c>
      <c r="D679" s="62" t="e">
        <v>#N/A</v>
      </c>
      <c r="E679" s="55" t="e">
        <v>#N/A</v>
      </c>
      <c r="F679" s="55" t="e">
        <v>#N/A</v>
      </c>
      <c r="G679" s="55" t="e">
        <v>#N/A</v>
      </c>
      <c r="H679" s="55" t="e">
        <v>#N/A</v>
      </c>
      <c r="I679" s="55" t="e">
        <v>#N/A</v>
      </c>
      <c r="J679" s="55" t="e">
        <v>#N/A</v>
      </c>
      <c r="K679" s="55" t="e">
        <v>#N/A</v>
      </c>
    </row>
    <row r="680" spans="1:11" ht="30" hidden="1" x14ac:dyDescent="0.25">
      <c r="A680" s="2" t="s">
        <v>933</v>
      </c>
      <c r="B680" s="3">
        <v>42104</v>
      </c>
      <c r="C680" s="4" t="s">
        <v>947</v>
      </c>
      <c r="D680" s="62" t="e">
        <v>#N/A</v>
      </c>
      <c r="E680" s="55" t="e">
        <v>#N/A</v>
      </c>
      <c r="F680" s="55" t="e">
        <v>#N/A</v>
      </c>
      <c r="G680" s="55" t="e">
        <v>#N/A</v>
      </c>
      <c r="H680" s="55" t="e">
        <v>#N/A</v>
      </c>
      <c r="I680" s="55" t="e">
        <v>#N/A</v>
      </c>
      <c r="J680" s="55" t="e">
        <v>#N/A</v>
      </c>
      <c r="K680" s="55" t="e">
        <v>#N/A</v>
      </c>
    </row>
    <row r="681" spans="1:11" ht="45" hidden="1" x14ac:dyDescent="0.25">
      <c r="A681" s="2" t="s">
        <v>933</v>
      </c>
      <c r="B681" s="3">
        <v>42201</v>
      </c>
      <c r="C681" s="4" t="s">
        <v>948</v>
      </c>
      <c r="D681" s="62" t="e">
        <v>#N/A</v>
      </c>
      <c r="E681" s="55" t="e">
        <v>#N/A</v>
      </c>
      <c r="F681" s="55" t="e">
        <v>#N/A</v>
      </c>
      <c r="G681" s="55" t="e">
        <v>#N/A</v>
      </c>
      <c r="H681" s="55" t="e">
        <v>#N/A</v>
      </c>
      <c r="I681" s="55" t="e">
        <v>#N/A</v>
      </c>
      <c r="J681" s="55" t="e">
        <v>#N/A</v>
      </c>
      <c r="K681" s="55" t="e">
        <v>#N/A</v>
      </c>
    </row>
    <row r="682" spans="1:11" ht="60" hidden="1" x14ac:dyDescent="0.25">
      <c r="A682" s="2" t="s">
        <v>933</v>
      </c>
      <c r="B682" s="3">
        <v>42202</v>
      </c>
      <c r="C682" s="4" t="s">
        <v>949</v>
      </c>
      <c r="D682" s="62" t="e">
        <v>#N/A</v>
      </c>
      <c r="E682" s="55" t="e">
        <v>#N/A</v>
      </c>
      <c r="F682" s="55" t="e">
        <v>#N/A</v>
      </c>
      <c r="G682" s="55" t="e">
        <v>#N/A</v>
      </c>
      <c r="H682" s="55" t="e">
        <v>#N/A</v>
      </c>
      <c r="I682" s="55" t="e">
        <v>#N/A</v>
      </c>
      <c r="J682" s="55" t="e">
        <v>#N/A</v>
      </c>
      <c r="K682" s="55" t="e">
        <v>#N/A</v>
      </c>
    </row>
    <row r="683" spans="1:11" ht="60" hidden="1" x14ac:dyDescent="0.25">
      <c r="A683" s="2" t="s">
        <v>933</v>
      </c>
      <c r="B683" s="3">
        <v>42203</v>
      </c>
      <c r="C683" s="4" t="s">
        <v>950</v>
      </c>
      <c r="D683" s="62" t="e">
        <v>#N/A</v>
      </c>
      <c r="E683" s="55" t="e">
        <v>#N/A</v>
      </c>
      <c r="F683" s="55" t="e">
        <v>#N/A</v>
      </c>
      <c r="G683" s="55" t="e">
        <v>#N/A</v>
      </c>
      <c r="H683" s="55" t="e">
        <v>#N/A</v>
      </c>
      <c r="I683" s="55" t="e">
        <v>#N/A</v>
      </c>
      <c r="J683" s="55" t="e">
        <v>#N/A</v>
      </c>
      <c r="K683" s="55" t="e">
        <v>#N/A</v>
      </c>
    </row>
    <row r="684" spans="1:11" ht="45" hidden="1" x14ac:dyDescent="0.25">
      <c r="A684" s="2" t="s">
        <v>933</v>
      </c>
      <c r="B684" s="3">
        <v>42204</v>
      </c>
      <c r="C684" s="4" t="s">
        <v>951</v>
      </c>
      <c r="D684" s="62" t="e">
        <v>#N/A</v>
      </c>
      <c r="E684" s="55" t="e">
        <v>#N/A</v>
      </c>
      <c r="F684" s="55" t="e">
        <v>#N/A</v>
      </c>
      <c r="G684" s="55" t="e">
        <v>#N/A</v>
      </c>
      <c r="H684" s="55" t="e">
        <v>#N/A</v>
      </c>
      <c r="I684" s="55" t="e">
        <v>#N/A</v>
      </c>
      <c r="J684" s="55" t="e">
        <v>#N/A</v>
      </c>
      <c r="K684" s="55" t="e">
        <v>#N/A</v>
      </c>
    </row>
    <row r="685" spans="1:11" ht="60" hidden="1" x14ac:dyDescent="0.25">
      <c r="A685" s="2" t="s">
        <v>933</v>
      </c>
      <c r="B685" s="3">
        <v>42205</v>
      </c>
      <c r="C685" s="4" t="s">
        <v>952</v>
      </c>
      <c r="D685" s="62" t="e">
        <v>#N/A</v>
      </c>
      <c r="E685" s="55" t="e">
        <v>#N/A</v>
      </c>
      <c r="F685" s="55" t="e">
        <v>#N/A</v>
      </c>
      <c r="G685" s="55" t="e">
        <v>#N/A</v>
      </c>
      <c r="H685" s="55" t="e">
        <v>#N/A</v>
      </c>
      <c r="I685" s="55" t="e">
        <v>#N/A</v>
      </c>
      <c r="J685" s="55" t="e">
        <v>#N/A</v>
      </c>
      <c r="K685" s="55" t="e">
        <v>#N/A</v>
      </c>
    </row>
    <row r="686" spans="1:11" ht="30" hidden="1" x14ac:dyDescent="0.25">
      <c r="A686" s="2" t="s">
        <v>933</v>
      </c>
      <c r="B686" s="3">
        <v>42206</v>
      </c>
      <c r="C686" s="4" t="s">
        <v>953</v>
      </c>
      <c r="D686" s="62" t="e">
        <v>#N/A</v>
      </c>
      <c r="E686" s="55" t="e">
        <v>#N/A</v>
      </c>
      <c r="F686" s="55" t="e">
        <v>#N/A</v>
      </c>
      <c r="G686" s="55" t="e">
        <v>#N/A</v>
      </c>
      <c r="H686" s="55" t="e">
        <v>#N/A</v>
      </c>
      <c r="I686" s="55" t="e">
        <v>#N/A</v>
      </c>
      <c r="J686" s="55" t="e">
        <v>#N/A</v>
      </c>
      <c r="K686" s="55" t="e">
        <v>#N/A</v>
      </c>
    </row>
    <row r="687" spans="1:11" ht="45" hidden="1" x14ac:dyDescent="0.25">
      <c r="A687" s="2" t="s">
        <v>933</v>
      </c>
      <c r="B687" s="3">
        <v>42207</v>
      </c>
      <c r="C687" s="4" t="s">
        <v>954</v>
      </c>
      <c r="D687" s="62" t="e">
        <v>#N/A</v>
      </c>
      <c r="E687" s="55" t="e">
        <v>#N/A</v>
      </c>
      <c r="F687" s="55" t="e">
        <v>#N/A</v>
      </c>
      <c r="G687" s="55" t="e">
        <v>#N/A</v>
      </c>
      <c r="H687" s="55" t="e">
        <v>#N/A</v>
      </c>
      <c r="I687" s="55" t="e">
        <v>#N/A</v>
      </c>
      <c r="J687" s="55" t="e">
        <v>#N/A</v>
      </c>
      <c r="K687" s="55" t="e">
        <v>#N/A</v>
      </c>
    </row>
    <row r="688" spans="1:11" ht="30" hidden="1" x14ac:dyDescent="0.25">
      <c r="A688" s="2" t="s">
        <v>933</v>
      </c>
      <c r="B688" s="3">
        <v>42209</v>
      </c>
      <c r="C688" s="4" t="s">
        <v>955</v>
      </c>
      <c r="D688" s="62" t="e">
        <v>#N/A</v>
      </c>
      <c r="E688" s="55" t="e">
        <v>#N/A</v>
      </c>
      <c r="F688" s="55" t="e">
        <v>#N/A</v>
      </c>
      <c r="G688" s="55" t="e">
        <v>#N/A</v>
      </c>
      <c r="H688" s="55" t="e">
        <v>#N/A</v>
      </c>
      <c r="I688" s="55" t="e">
        <v>#N/A</v>
      </c>
      <c r="J688" s="55" t="e">
        <v>#N/A</v>
      </c>
      <c r="K688" s="55" t="e">
        <v>#N/A</v>
      </c>
    </row>
    <row r="689" spans="1:11" ht="60" hidden="1" x14ac:dyDescent="0.25">
      <c r="A689" s="2" t="s">
        <v>933</v>
      </c>
      <c r="B689" s="3">
        <v>42911</v>
      </c>
      <c r="C689" s="4" t="s">
        <v>956</v>
      </c>
      <c r="D689" s="62" t="e">
        <v>#N/A</v>
      </c>
      <c r="E689" s="55" t="e">
        <v>#N/A</v>
      </c>
      <c r="F689" s="55" t="e">
        <v>#N/A</v>
      </c>
      <c r="G689" s="55" t="e">
        <v>#N/A</v>
      </c>
      <c r="H689" s="55" t="e">
        <v>#N/A</v>
      </c>
      <c r="I689" s="55" t="e">
        <v>#N/A</v>
      </c>
      <c r="J689" s="55" t="e">
        <v>#N/A</v>
      </c>
      <c r="K689" s="55" t="e">
        <v>#N/A</v>
      </c>
    </row>
    <row r="690" spans="1:11" ht="60" hidden="1" x14ac:dyDescent="0.25">
      <c r="A690" s="2" t="s">
        <v>933</v>
      </c>
      <c r="B690" s="3">
        <v>42912</v>
      </c>
      <c r="C690" s="4" t="s">
        <v>957</v>
      </c>
      <c r="D690" s="62" t="e">
        <v>#N/A</v>
      </c>
      <c r="E690" s="55" t="e">
        <v>#N/A</v>
      </c>
      <c r="F690" s="55" t="e">
        <v>#N/A</v>
      </c>
      <c r="G690" s="55" t="e">
        <v>#N/A</v>
      </c>
      <c r="H690" s="55" t="e">
        <v>#N/A</v>
      </c>
      <c r="I690" s="55" t="e">
        <v>#N/A</v>
      </c>
      <c r="J690" s="55" t="e">
        <v>#N/A</v>
      </c>
      <c r="K690" s="55" t="e">
        <v>#N/A</v>
      </c>
    </row>
    <row r="691" spans="1:11" ht="60" hidden="1" x14ac:dyDescent="0.25">
      <c r="A691" s="2" t="s">
        <v>933</v>
      </c>
      <c r="B691" s="3">
        <v>42913</v>
      </c>
      <c r="C691" s="4" t="s">
        <v>958</v>
      </c>
      <c r="D691" s="62" t="e">
        <v>#N/A</v>
      </c>
      <c r="E691" s="55" t="e">
        <v>#N/A</v>
      </c>
      <c r="F691" s="55" t="e">
        <v>#N/A</v>
      </c>
      <c r="G691" s="55" t="e">
        <v>#N/A</v>
      </c>
      <c r="H691" s="55" t="e">
        <v>#N/A</v>
      </c>
      <c r="I691" s="55" t="e">
        <v>#N/A</v>
      </c>
      <c r="J691" s="55" t="e">
        <v>#N/A</v>
      </c>
      <c r="K691" s="55" t="e">
        <v>#N/A</v>
      </c>
    </row>
    <row r="692" spans="1:11" ht="60" hidden="1" x14ac:dyDescent="0.25">
      <c r="A692" s="2" t="s">
        <v>933</v>
      </c>
      <c r="B692" s="3">
        <v>42914</v>
      </c>
      <c r="C692" s="4" t="s">
        <v>959</v>
      </c>
      <c r="D692" s="62" t="e">
        <v>#N/A</v>
      </c>
      <c r="E692" s="55" t="e">
        <v>#N/A</v>
      </c>
      <c r="F692" s="55" t="e">
        <v>#N/A</v>
      </c>
      <c r="G692" s="55" t="e">
        <v>#N/A</v>
      </c>
      <c r="H692" s="55" t="e">
        <v>#N/A</v>
      </c>
      <c r="I692" s="55" t="e">
        <v>#N/A</v>
      </c>
      <c r="J692" s="55" t="e">
        <v>#N/A</v>
      </c>
      <c r="K692" s="55" t="e">
        <v>#N/A</v>
      </c>
    </row>
    <row r="693" spans="1:11" ht="45" hidden="1" x14ac:dyDescent="0.25">
      <c r="A693" s="2" t="s">
        <v>933</v>
      </c>
      <c r="B693" s="3">
        <v>42915</v>
      </c>
      <c r="C693" s="4" t="s">
        <v>960</v>
      </c>
      <c r="D693" s="62" t="e">
        <v>#N/A</v>
      </c>
      <c r="E693" s="55" t="e">
        <v>#N/A</v>
      </c>
      <c r="F693" s="55" t="e">
        <v>#N/A</v>
      </c>
      <c r="G693" s="55" t="e">
        <v>#N/A</v>
      </c>
      <c r="H693" s="55" t="e">
        <v>#N/A</v>
      </c>
      <c r="I693" s="55" t="e">
        <v>#N/A</v>
      </c>
      <c r="J693" s="55" t="e">
        <v>#N/A</v>
      </c>
      <c r="K693" s="55" t="e">
        <v>#N/A</v>
      </c>
    </row>
    <row r="694" spans="1:11" ht="75" hidden="1" x14ac:dyDescent="0.25">
      <c r="A694" s="2" t="s">
        <v>933</v>
      </c>
      <c r="B694" s="3">
        <v>42919</v>
      </c>
      <c r="C694" s="4" t="s">
        <v>961</v>
      </c>
      <c r="D694" s="62" t="e">
        <v>#N/A</v>
      </c>
      <c r="E694" s="55" t="e">
        <v>#N/A</v>
      </c>
      <c r="F694" s="55" t="e">
        <v>#N/A</v>
      </c>
      <c r="G694" s="55" t="e">
        <v>#N/A</v>
      </c>
      <c r="H694" s="55" t="e">
        <v>#N/A</v>
      </c>
      <c r="I694" s="55" t="e">
        <v>#N/A</v>
      </c>
      <c r="J694" s="55" t="e">
        <v>#N/A</v>
      </c>
      <c r="K694" s="55" t="e">
        <v>#N/A</v>
      </c>
    </row>
    <row r="695" spans="1:11" ht="60" hidden="1" x14ac:dyDescent="0.25">
      <c r="A695" s="2" t="s">
        <v>933</v>
      </c>
      <c r="B695" s="3">
        <v>42991</v>
      </c>
      <c r="C695" s="4" t="s">
        <v>962</v>
      </c>
      <c r="D695" s="62" t="e">
        <v>#N/A</v>
      </c>
      <c r="E695" s="55" t="e">
        <v>#N/A</v>
      </c>
      <c r="F695" s="55" t="e">
        <v>#N/A</v>
      </c>
      <c r="G695" s="55" t="e">
        <v>#N/A</v>
      </c>
      <c r="H695" s="55" t="e">
        <v>#N/A</v>
      </c>
      <c r="I695" s="55" t="e">
        <v>#N/A</v>
      </c>
      <c r="J695" s="55" t="e">
        <v>#N/A</v>
      </c>
      <c r="K695" s="55" t="e">
        <v>#N/A</v>
      </c>
    </row>
    <row r="696" spans="1:11" ht="45" hidden="1" x14ac:dyDescent="0.25">
      <c r="A696" s="2" t="s">
        <v>933</v>
      </c>
      <c r="B696" s="3">
        <v>42992</v>
      </c>
      <c r="C696" s="4" t="s">
        <v>963</v>
      </c>
      <c r="D696" s="62" t="e">
        <v>#N/A</v>
      </c>
      <c r="E696" s="55" t="e">
        <v>#N/A</v>
      </c>
      <c r="F696" s="55" t="e">
        <v>#N/A</v>
      </c>
      <c r="G696" s="55" t="e">
        <v>#N/A</v>
      </c>
      <c r="H696" s="55" t="e">
        <v>#N/A</v>
      </c>
      <c r="I696" s="55" t="e">
        <v>#N/A</v>
      </c>
      <c r="J696" s="55" t="e">
        <v>#N/A</v>
      </c>
      <c r="K696" s="55" t="e">
        <v>#N/A</v>
      </c>
    </row>
    <row r="697" spans="1:11" ht="45" hidden="1" x14ac:dyDescent="0.25">
      <c r="A697" s="2" t="s">
        <v>933</v>
      </c>
      <c r="B697" s="3">
        <v>42993</v>
      </c>
      <c r="C697" s="4" t="s">
        <v>964</v>
      </c>
      <c r="D697" s="62" t="e">
        <v>#N/A</v>
      </c>
      <c r="E697" s="55" t="e">
        <v>#N/A</v>
      </c>
      <c r="F697" s="55" t="e">
        <v>#N/A</v>
      </c>
      <c r="G697" s="55" t="e">
        <v>#N/A</v>
      </c>
      <c r="H697" s="55" t="e">
        <v>#N/A</v>
      </c>
      <c r="I697" s="55" t="e">
        <v>#N/A</v>
      </c>
      <c r="J697" s="55" t="e">
        <v>#N/A</v>
      </c>
      <c r="K697" s="55" t="e">
        <v>#N/A</v>
      </c>
    </row>
    <row r="698" spans="1:11" ht="45" hidden="1" x14ac:dyDescent="0.25">
      <c r="A698" s="2" t="s">
        <v>933</v>
      </c>
      <c r="B698" s="3">
        <v>42994</v>
      </c>
      <c r="C698" s="4" t="s">
        <v>965</v>
      </c>
      <c r="D698" s="62" t="e">
        <v>#N/A</v>
      </c>
      <c r="E698" s="55" t="e">
        <v>#N/A</v>
      </c>
      <c r="F698" s="55" t="e">
        <v>#N/A</v>
      </c>
      <c r="G698" s="55" t="e">
        <v>#N/A</v>
      </c>
      <c r="H698" s="55" t="e">
        <v>#N/A</v>
      </c>
      <c r="I698" s="55" t="e">
        <v>#N/A</v>
      </c>
      <c r="J698" s="55" t="e">
        <v>#N/A</v>
      </c>
      <c r="K698" s="55" t="e">
        <v>#N/A</v>
      </c>
    </row>
    <row r="699" spans="1:11" ht="60" hidden="1" x14ac:dyDescent="0.25">
      <c r="A699" s="2" t="s">
        <v>933</v>
      </c>
      <c r="B699" s="3">
        <v>42995</v>
      </c>
      <c r="C699" s="4" t="s">
        <v>966</v>
      </c>
      <c r="D699" s="62" t="e">
        <v>#N/A</v>
      </c>
      <c r="E699" s="55" t="e">
        <v>#N/A</v>
      </c>
      <c r="F699" s="55" t="e">
        <v>#N/A</v>
      </c>
      <c r="G699" s="55" t="e">
        <v>#N/A</v>
      </c>
      <c r="H699" s="55" t="e">
        <v>#N/A</v>
      </c>
      <c r="I699" s="55" t="e">
        <v>#N/A</v>
      </c>
      <c r="J699" s="55" t="e">
        <v>#N/A</v>
      </c>
      <c r="K699" s="55" t="e">
        <v>#N/A</v>
      </c>
    </row>
    <row r="700" spans="1:11" ht="60" hidden="1" x14ac:dyDescent="0.25">
      <c r="A700" s="2" t="s">
        <v>933</v>
      </c>
      <c r="B700" s="3">
        <v>42996</v>
      </c>
      <c r="C700" s="4" t="s">
        <v>967</v>
      </c>
      <c r="D700" s="62" t="e">
        <v>#N/A</v>
      </c>
      <c r="E700" s="55" t="e">
        <v>#N/A</v>
      </c>
      <c r="F700" s="55" t="e">
        <v>#N/A</v>
      </c>
      <c r="G700" s="55" t="e">
        <v>#N/A</v>
      </c>
      <c r="H700" s="55" t="e">
        <v>#N/A</v>
      </c>
      <c r="I700" s="55" t="e">
        <v>#N/A</v>
      </c>
      <c r="J700" s="55" t="e">
        <v>#N/A</v>
      </c>
      <c r="K700" s="55" t="e">
        <v>#N/A</v>
      </c>
    </row>
    <row r="701" spans="1:11" ht="60" hidden="1" x14ac:dyDescent="0.25">
      <c r="A701" s="2" t="s">
        <v>933</v>
      </c>
      <c r="B701" s="3">
        <v>42997</v>
      </c>
      <c r="C701" s="4" t="s">
        <v>968</v>
      </c>
      <c r="D701" s="62" t="e">
        <v>#N/A</v>
      </c>
      <c r="E701" s="55" t="e">
        <v>#N/A</v>
      </c>
      <c r="F701" s="55" t="e">
        <v>#N/A</v>
      </c>
      <c r="G701" s="55" t="e">
        <v>#N/A</v>
      </c>
      <c r="H701" s="55" t="e">
        <v>#N/A</v>
      </c>
      <c r="I701" s="55" t="e">
        <v>#N/A</v>
      </c>
      <c r="J701" s="55" t="e">
        <v>#N/A</v>
      </c>
      <c r="K701" s="55" t="e">
        <v>#N/A</v>
      </c>
    </row>
    <row r="702" spans="1:11" ht="45" hidden="1" x14ac:dyDescent="0.25">
      <c r="A702" s="2" t="s">
        <v>933</v>
      </c>
      <c r="B702" s="3">
        <v>42998</v>
      </c>
      <c r="C702" s="4" t="s">
        <v>969</v>
      </c>
      <c r="D702" s="62" t="e">
        <v>#N/A</v>
      </c>
      <c r="E702" s="55" t="e">
        <v>#N/A</v>
      </c>
      <c r="F702" s="55" t="s">
        <v>2659</v>
      </c>
      <c r="G702" s="55" t="e">
        <v>#N/A</v>
      </c>
      <c r="H702" s="55" t="e">
        <v>#N/A</v>
      </c>
      <c r="I702" s="55" t="e">
        <v>#N/A</v>
      </c>
      <c r="J702" s="55" t="e">
        <v>#N/A</v>
      </c>
      <c r="K702" s="55" t="e">
        <v>#N/A</v>
      </c>
    </row>
    <row r="703" spans="1:11" ht="45" hidden="1" x14ac:dyDescent="0.25">
      <c r="A703" s="2" t="s">
        <v>933</v>
      </c>
      <c r="B703" s="3">
        <v>42999</v>
      </c>
      <c r="C703" s="4" t="s">
        <v>970</v>
      </c>
      <c r="D703" s="62" t="e">
        <v>#N/A</v>
      </c>
      <c r="E703" s="55" t="e">
        <v>#N/A</v>
      </c>
      <c r="F703" s="55" t="e">
        <v>#N/A</v>
      </c>
      <c r="G703" s="55" t="e">
        <v>#N/A</v>
      </c>
      <c r="H703" s="55" t="e">
        <v>#N/A</v>
      </c>
      <c r="I703" s="55" t="e">
        <v>#N/A</v>
      </c>
      <c r="J703" s="55" t="e">
        <v>#N/A</v>
      </c>
      <c r="K703" s="55" t="e">
        <v>#N/A</v>
      </c>
    </row>
    <row r="704" spans="1:11" hidden="1" x14ac:dyDescent="0.25">
      <c r="A704" s="2" t="s">
        <v>933</v>
      </c>
      <c r="B704" s="3">
        <v>43110</v>
      </c>
      <c r="C704" s="4" t="s">
        <v>971</v>
      </c>
      <c r="D704" s="62" t="e">
        <v>#N/A</v>
      </c>
      <c r="E704" s="55" t="e">
        <v>#N/A</v>
      </c>
      <c r="F704" s="55" t="e">
        <v>#N/A</v>
      </c>
      <c r="G704" s="55" t="e">
        <v>#N/A</v>
      </c>
      <c r="H704" s="55" t="e">
        <v>#N/A</v>
      </c>
      <c r="I704" s="55" t="e">
        <v>#N/A</v>
      </c>
      <c r="J704" s="55" t="e">
        <v>#N/A</v>
      </c>
      <c r="K704" s="55" t="e">
        <v>#N/A</v>
      </c>
    </row>
    <row r="705" spans="1:11" hidden="1" x14ac:dyDescent="0.25">
      <c r="A705" s="2" t="s">
        <v>933</v>
      </c>
      <c r="B705" s="3">
        <v>43120</v>
      </c>
      <c r="C705" s="4" t="s">
        <v>972</v>
      </c>
      <c r="D705" s="62" t="e">
        <v>#N/A</v>
      </c>
      <c r="E705" s="55" t="e">
        <v>#N/A</v>
      </c>
      <c r="F705" s="55" t="e">
        <v>#N/A</v>
      </c>
      <c r="G705" s="55" t="e">
        <v>#N/A</v>
      </c>
      <c r="H705" s="55" t="e">
        <v>#N/A</v>
      </c>
      <c r="I705" s="55" t="e">
        <v>#N/A</v>
      </c>
      <c r="J705" s="55" t="e">
        <v>#N/A</v>
      </c>
      <c r="K705" s="55" t="e">
        <v>#N/A</v>
      </c>
    </row>
    <row r="706" spans="1:11" ht="30" hidden="1" x14ac:dyDescent="0.25">
      <c r="A706" s="2" t="s">
        <v>933</v>
      </c>
      <c r="B706" s="3">
        <v>43211</v>
      </c>
      <c r="C706" s="4" t="s">
        <v>973</v>
      </c>
      <c r="D706" s="62" t="e">
        <v>#N/A</v>
      </c>
      <c r="E706" s="55" t="e">
        <v>#N/A</v>
      </c>
      <c r="F706" s="55" t="e">
        <v>#N/A</v>
      </c>
      <c r="G706" s="55" t="e">
        <v>#N/A</v>
      </c>
      <c r="H706" s="55" t="e">
        <v>#N/A</v>
      </c>
      <c r="I706" s="55" t="e">
        <v>#N/A</v>
      </c>
      <c r="J706" s="55" t="e">
        <v>#N/A</v>
      </c>
      <c r="K706" s="55" t="e">
        <v>#N/A</v>
      </c>
    </row>
    <row r="707" spans="1:11" ht="45" hidden="1" x14ac:dyDescent="0.25">
      <c r="A707" s="2" t="s">
        <v>933</v>
      </c>
      <c r="B707" s="3">
        <v>43212</v>
      </c>
      <c r="C707" s="4" t="s">
        <v>974</v>
      </c>
      <c r="D707" s="62" t="e">
        <v>#N/A</v>
      </c>
      <c r="E707" s="55" t="e">
        <v>#N/A</v>
      </c>
      <c r="F707" s="55" t="e">
        <v>#N/A</v>
      </c>
      <c r="G707" s="55" t="e">
        <v>#N/A</v>
      </c>
      <c r="H707" s="55" t="e">
        <v>#N/A</v>
      </c>
      <c r="I707" s="55" t="e">
        <v>#N/A</v>
      </c>
      <c r="J707" s="55" t="e">
        <v>#N/A</v>
      </c>
      <c r="K707" s="55" t="e">
        <v>#N/A</v>
      </c>
    </row>
    <row r="708" spans="1:11" ht="30" hidden="1" x14ac:dyDescent="0.25">
      <c r="A708" s="2" t="s">
        <v>933</v>
      </c>
      <c r="B708" s="3">
        <v>43213</v>
      </c>
      <c r="C708" s="4" t="s">
        <v>975</v>
      </c>
      <c r="D708" s="62" t="e">
        <v>#N/A</v>
      </c>
      <c r="E708" s="55" t="e">
        <v>#N/A</v>
      </c>
      <c r="F708" s="55" t="e">
        <v>#N/A</v>
      </c>
      <c r="G708" s="55" t="e">
        <v>#N/A</v>
      </c>
      <c r="H708" s="55" t="e">
        <v>#N/A</v>
      </c>
      <c r="I708" s="55" t="e">
        <v>#N/A</v>
      </c>
      <c r="J708" s="55" t="e">
        <v>#N/A</v>
      </c>
      <c r="K708" s="55" t="e">
        <v>#N/A</v>
      </c>
    </row>
    <row r="709" spans="1:11" ht="45" hidden="1" x14ac:dyDescent="0.25">
      <c r="A709" s="2" t="s">
        <v>933</v>
      </c>
      <c r="B709" s="3">
        <v>43214</v>
      </c>
      <c r="C709" s="4" t="s">
        <v>976</v>
      </c>
      <c r="D709" s="62" t="e">
        <v>#N/A</v>
      </c>
      <c r="E709" s="55" t="e">
        <v>#N/A</v>
      </c>
      <c r="F709" s="55" t="e">
        <v>#N/A</v>
      </c>
      <c r="G709" s="55" t="e">
        <v>#N/A</v>
      </c>
      <c r="H709" s="55" t="e">
        <v>#N/A</v>
      </c>
      <c r="I709" s="55" t="e">
        <v>#N/A</v>
      </c>
      <c r="J709" s="55" t="e">
        <v>#N/A</v>
      </c>
      <c r="K709" s="55" t="e">
        <v>#N/A</v>
      </c>
    </row>
    <row r="710" spans="1:11" ht="60" hidden="1" x14ac:dyDescent="0.25">
      <c r="A710" s="2" t="s">
        <v>933</v>
      </c>
      <c r="B710" s="3">
        <v>43215</v>
      </c>
      <c r="C710" s="4" t="s">
        <v>977</v>
      </c>
      <c r="D710" s="62" t="e">
        <v>#N/A</v>
      </c>
      <c r="E710" s="55" t="e">
        <v>#N/A</v>
      </c>
      <c r="F710" s="55" t="e">
        <v>#N/A</v>
      </c>
      <c r="G710" s="55" t="e">
        <v>#N/A</v>
      </c>
      <c r="H710" s="55" t="e">
        <v>#N/A</v>
      </c>
      <c r="I710" s="55" t="e">
        <v>#N/A</v>
      </c>
      <c r="J710" s="55" t="e">
        <v>#N/A</v>
      </c>
      <c r="K710" s="55" t="e">
        <v>#N/A</v>
      </c>
    </row>
    <row r="711" spans="1:11" ht="60" hidden="1" x14ac:dyDescent="0.25">
      <c r="A711" s="2" t="s">
        <v>933</v>
      </c>
      <c r="B711" s="3">
        <v>43216</v>
      </c>
      <c r="C711" s="4" t="s">
        <v>978</v>
      </c>
      <c r="D711" s="62" t="e">
        <v>#N/A</v>
      </c>
      <c r="E711" s="55" t="e">
        <v>#N/A</v>
      </c>
      <c r="F711" s="55" t="e">
        <v>#N/A</v>
      </c>
      <c r="G711" s="55" t="e">
        <v>#N/A</v>
      </c>
      <c r="H711" s="55" t="e">
        <v>#N/A</v>
      </c>
      <c r="I711" s="55" t="e">
        <v>#N/A</v>
      </c>
      <c r="J711" s="55" t="e">
        <v>#N/A</v>
      </c>
      <c r="K711" s="55" t="e">
        <v>#N/A</v>
      </c>
    </row>
    <row r="712" spans="1:11" ht="45" hidden="1" x14ac:dyDescent="0.25">
      <c r="A712" s="2" t="s">
        <v>933</v>
      </c>
      <c r="B712" s="3">
        <v>43221</v>
      </c>
      <c r="C712" s="4" t="s">
        <v>979</v>
      </c>
      <c r="D712" s="62" t="e">
        <v>#N/A</v>
      </c>
      <c r="E712" s="55" t="e">
        <v>#N/A</v>
      </c>
      <c r="F712" s="55" t="e">
        <v>#N/A</v>
      </c>
      <c r="G712" s="55" t="e">
        <v>#N/A</v>
      </c>
      <c r="H712" s="55" t="e">
        <v>#N/A</v>
      </c>
      <c r="I712" s="55" t="e">
        <v>#N/A</v>
      </c>
      <c r="J712" s="55" t="e">
        <v>#N/A</v>
      </c>
      <c r="K712" s="55" t="e">
        <v>#N/A</v>
      </c>
    </row>
    <row r="713" spans="1:11" ht="45" hidden="1" x14ac:dyDescent="0.25">
      <c r="A713" s="2" t="s">
        <v>933</v>
      </c>
      <c r="B713" s="3">
        <v>43222</v>
      </c>
      <c r="C713" s="4" t="s">
        <v>980</v>
      </c>
      <c r="D713" s="62" t="e">
        <v>#N/A</v>
      </c>
      <c r="E713" s="55" t="e">
        <v>#N/A</v>
      </c>
      <c r="F713" s="55" t="e">
        <v>#N/A</v>
      </c>
      <c r="G713" s="55" t="e">
        <v>#N/A</v>
      </c>
      <c r="H713" s="55" t="e">
        <v>#N/A</v>
      </c>
      <c r="I713" s="55" t="e">
        <v>#N/A</v>
      </c>
      <c r="J713" s="55" t="e">
        <v>#N/A</v>
      </c>
      <c r="K713" s="55" t="e">
        <v>#N/A</v>
      </c>
    </row>
    <row r="714" spans="1:11" ht="45" hidden="1" x14ac:dyDescent="0.25">
      <c r="A714" s="2" t="s">
        <v>933</v>
      </c>
      <c r="B714" s="3">
        <v>43223</v>
      </c>
      <c r="C714" s="4" t="s">
        <v>981</v>
      </c>
      <c r="D714" s="62" t="e">
        <v>#N/A</v>
      </c>
      <c r="E714" s="55" t="e">
        <v>#N/A</v>
      </c>
      <c r="F714" s="55" t="e">
        <v>#N/A</v>
      </c>
      <c r="G714" s="55" t="e">
        <v>#N/A</v>
      </c>
      <c r="H714" s="55" t="e">
        <v>#N/A</v>
      </c>
      <c r="I714" s="55" t="e">
        <v>#N/A</v>
      </c>
      <c r="J714" s="55" t="e">
        <v>#N/A</v>
      </c>
      <c r="K714" s="55" t="e">
        <v>#N/A</v>
      </c>
    </row>
    <row r="715" spans="1:11" ht="45" hidden="1" x14ac:dyDescent="0.25">
      <c r="A715" s="2" t="s">
        <v>933</v>
      </c>
      <c r="B715" s="3">
        <v>43224</v>
      </c>
      <c r="C715" s="4" t="s">
        <v>982</v>
      </c>
      <c r="D715" s="62" t="e">
        <v>#N/A</v>
      </c>
      <c r="E715" s="55" t="e">
        <v>#N/A</v>
      </c>
      <c r="F715" s="55" t="e">
        <v>#N/A</v>
      </c>
      <c r="G715" s="55" t="e">
        <v>#N/A</v>
      </c>
      <c r="H715" s="55" t="e">
        <v>#N/A</v>
      </c>
      <c r="I715" s="55" t="e">
        <v>#N/A</v>
      </c>
      <c r="J715" s="55" t="e">
        <v>#N/A</v>
      </c>
      <c r="K715" s="55" t="e">
        <v>#N/A</v>
      </c>
    </row>
    <row r="716" spans="1:11" ht="60" hidden="1" x14ac:dyDescent="0.25">
      <c r="A716" s="2" t="s">
        <v>933</v>
      </c>
      <c r="B716" s="3">
        <v>43291</v>
      </c>
      <c r="C716" s="4" t="s">
        <v>983</v>
      </c>
      <c r="D716" s="62" t="e">
        <v>#N/A</v>
      </c>
      <c r="E716" s="55" t="e">
        <v>#N/A</v>
      </c>
      <c r="F716" s="55" t="e">
        <v>#N/A</v>
      </c>
      <c r="G716" s="55" t="e">
        <v>#N/A</v>
      </c>
      <c r="H716" s="55" t="e">
        <v>#N/A</v>
      </c>
      <c r="I716" s="55" t="e">
        <v>#N/A</v>
      </c>
      <c r="J716" s="55" t="e">
        <v>#N/A</v>
      </c>
      <c r="K716" s="55" t="e">
        <v>#N/A</v>
      </c>
    </row>
    <row r="717" spans="1:11" ht="45" hidden="1" x14ac:dyDescent="0.25">
      <c r="A717" s="2" t="s">
        <v>933</v>
      </c>
      <c r="B717" s="3">
        <v>43299</v>
      </c>
      <c r="C717" s="4" t="s">
        <v>984</v>
      </c>
      <c r="D717" s="62" t="e">
        <v>#N/A</v>
      </c>
      <c r="E717" s="55" t="e">
        <v>#N/A</v>
      </c>
      <c r="F717" s="55" t="e">
        <v>#N/A</v>
      </c>
      <c r="G717" s="55" t="e">
        <v>#N/A</v>
      </c>
      <c r="H717" s="55" t="e">
        <v>#N/A</v>
      </c>
      <c r="I717" s="55" t="e">
        <v>#N/A</v>
      </c>
      <c r="J717" s="55" t="e">
        <v>#N/A</v>
      </c>
      <c r="K717" s="55" t="e">
        <v>#N/A</v>
      </c>
    </row>
    <row r="718" spans="1:11" ht="60" hidden="1" x14ac:dyDescent="0.25">
      <c r="A718" s="2" t="s">
        <v>933</v>
      </c>
      <c r="B718" s="3">
        <v>43301</v>
      </c>
      <c r="C718" s="4" t="s">
        <v>985</v>
      </c>
      <c r="D718" s="62" t="e">
        <v>#N/A</v>
      </c>
      <c r="E718" s="55" t="e">
        <v>#N/A</v>
      </c>
      <c r="F718" s="55" t="e">
        <v>#N/A</v>
      </c>
      <c r="G718" s="55" t="e">
        <v>#N/A</v>
      </c>
      <c r="H718" s="55" t="e">
        <v>#N/A</v>
      </c>
      <c r="I718" s="55" t="e">
        <v>#N/A</v>
      </c>
      <c r="J718" s="55" t="e">
        <v>#N/A</v>
      </c>
      <c r="K718" s="55" t="e">
        <v>#N/A</v>
      </c>
    </row>
    <row r="719" spans="1:11" ht="45" hidden="1" x14ac:dyDescent="0.25">
      <c r="A719" s="2" t="s">
        <v>933</v>
      </c>
      <c r="B719" s="3">
        <v>43302</v>
      </c>
      <c r="C719" s="4" t="s">
        <v>986</v>
      </c>
      <c r="D719" s="62" t="e">
        <v>#N/A</v>
      </c>
      <c r="E719" s="55" t="e">
        <v>#N/A</v>
      </c>
      <c r="F719" s="55" t="e">
        <v>#N/A</v>
      </c>
      <c r="G719" s="55" t="e">
        <v>#N/A</v>
      </c>
      <c r="H719" s="55" t="e">
        <v>#N/A</v>
      </c>
      <c r="I719" s="55" t="e">
        <v>#N/A</v>
      </c>
      <c r="J719" s="55" t="e">
        <v>#N/A</v>
      </c>
      <c r="K719" s="55" t="e">
        <v>#N/A</v>
      </c>
    </row>
    <row r="720" spans="1:11" hidden="1" x14ac:dyDescent="0.25">
      <c r="A720" s="2" t="s">
        <v>933</v>
      </c>
      <c r="B720" s="3">
        <v>43303</v>
      </c>
      <c r="C720" s="4" t="s">
        <v>987</v>
      </c>
      <c r="D720" s="62" t="e">
        <v>#N/A</v>
      </c>
      <c r="E720" s="55" t="e">
        <v>#N/A</v>
      </c>
      <c r="F720" s="55" t="e">
        <v>#N/A</v>
      </c>
      <c r="G720" s="55" t="e">
        <v>#N/A</v>
      </c>
      <c r="H720" s="55" t="e">
        <v>#N/A</v>
      </c>
      <c r="I720" s="55" t="e">
        <v>#N/A</v>
      </c>
      <c r="J720" s="55" t="e">
        <v>#N/A</v>
      </c>
      <c r="K720" s="55" t="e">
        <v>#N/A</v>
      </c>
    </row>
    <row r="721" spans="1:11" ht="45" hidden="1" x14ac:dyDescent="0.25">
      <c r="A721" s="2" t="s">
        <v>933</v>
      </c>
      <c r="B721" s="3">
        <v>43309</v>
      </c>
      <c r="C721" s="4" t="s">
        <v>988</v>
      </c>
      <c r="D721" s="62" t="e">
        <v>#N/A</v>
      </c>
      <c r="E721" s="55" t="e">
        <v>#N/A</v>
      </c>
      <c r="F721" s="55" t="e">
        <v>#N/A</v>
      </c>
      <c r="G721" s="55" t="e">
        <v>#N/A</v>
      </c>
      <c r="H721" s="55" t="e">
        <v>#N/A</v>
      </c>
      <c r="I721" s="55" t="e">
        <v>#N/A</v>
      </c>
      <c r="J721" s="55" t="e">
        <v>#N/A</v>
      </c>
      <c r="K721" s="55" t="e">
        <v>#N/A</v>
      </c>
    </row>
    <row r="722" spans="1:11" ht="30" hidden="1" x14ac:dyDescent="0.25">
      <c r="A722" s="2" t="s">
        <v>933</v>
      </c>
      <c r="B722" s="3">
        <v>43400</v>
      </c>
      <c r="C722" s="4" t="s">
        <v>989</v>
      </c>
      <c r="D722" s="62" t="e">
        <v>#N/A</v>
      </c>
      <c r="E722" s="55" t="e">
        <v>#N/A</v>
      </c>
      <c r="F722" s="55" t="e">
        <v>#N/A</v>
      </c>
      <c r="G722" s="55" t="s">
        <v>2090</v>
      </c>
      <c r="H722" s="55" t="e">
        <v>#N/A</v>
      </c>
      <c r="I722" s="55" t="e">
        <v>#N/A</v>
      </c>
      <c r="J722" s="55" t="e">
        <v>#N/A</v>
      </c>
      <c r="K722" s="55" t="e">
        <v>#N/A</v>
      </c>
    </row>
    <row r="723" spans="1:11" ht="45" hidden="1" x14ac:dyDescent="0.25">
      <c r="A723" s="2" t="s">
        <v>933</v>
      </c>
      <c r="B723" s="3">
        <v>43901</v>
      </c>
      <c r="C723" s="4" t="s">
        <v>990</v>
      </c>
      <c r="D723" s="62" t="e">
        <v>#N/A</v>
      </c>
      <c r="E723" s="55" t="e">
        <v>#N/A</v>
      </c>
      <c r="F723" s="55" t="e">
        <v>#N/A</v>
      </c>
      <c r="G723" s="55" t="e">
        <v>#N/A</v>
      </c>
      <c r="H723" s="55" t="e">
        <v>#N/A</v>
      </c>
      <c r="I723" s="55" t="e">
        <v>#N/A</v>
      </c>
      <c r="J723" s="55" t="e">
        <v>#N/A</v>
      </c>
      <c r="K723" s="55" t="e">
        <v>#N/A</v>
      </c>
    </row>
    <row r="724" spans="1:11" ht="30" hidden="1" x14ac:dyDescent="0.25">
      <c r="A724" s="2" t="s">
        <v>933</v>
      </c>
      <c r="B724" s="3">
        <v>43902</v>
      </c>
      <c r="C724" s="4" t="s">
        <v>991</v>
      </c>
      <c r="D724" s="62" t="e">
        <v>#N/A</v>
      </c>
      <c r="E724" s="55" t="e">
        <v>#N/A</v>
      </c>
      <c r="F724" s="55" t="e">
        <v>#N/A</v>
      </c>
      <c r="G724" s="55" t="e">
        <v>#N/A</v>
      </c>
      <c r="H724" s="55" t="e">
        <v>#N/A</v>
      </c>
      <c r="I724" s="55" t="e">
        <v>#N/A</v>
      </c>
      <c r="J724" s="55" t="e">
        <v>#N/A</v>
      </c>
      <c r="K724" s="55" t="e">
        <v>#N/A</v>
      </c>
    </row>
    <row r="725" spans="1:11" ht="60" hidden="1" x14ac:dyDescent="0.25">
      <c r="A725" s="2" t="s">
        <v>933</v>
      </c>
      <c r="B725" s="3">
        <v>43903</v>
      </c>
      <c r="C725" s="4" t="s">
        <v>992</v>
      </c>
      <c r="D725" s="62" t="e">
        <v>#N/A</v>
      </c>
      <c r="E725" s="55" t="e">
        <v>#N/A</v>
      </c>
      <c r="F725" s="55" t="e">
        <v>#N/A</v>
      </c>
      <c r="G725" s="55" t="e">
        <v>#N/A</v>
      </c>
      <c r="H725" s="55" t="e">
        <v>#N/A</v>
      </c>
      <c r="I725" s="55" t="e">
        <v>#N/A</v>
      </c>
      <c r="J725" s="55" t="e">
        <v>#N/A</v>
      </c>
      <c r="K725" s="55" t="e">
        <v>#N/A</v>
      </c>
    </row>
    <row r="726" spans="1:11" ht="30" hidden="1" x14ac:dyDescent="0.25">
      <c r="A726" s="2" t="s">
        <v>933</v>
      </c>
      <c r="B726" s="3">
        <v>43904</v>
      </c>
      <c r="C726" s="4" t="s">
        <v>993</v>
      </c>
      <c r="D726" s="62" t="e">
        <v>#N/A</v>
      </c>
      <c r="E726" s="55" t="e">
        <v>#N/A</v>
      </c>
      <c r="F726" s="55" t="e">
        <v>#N/A</v>
      </c>
      <c r="G726" s="55" t="e">
        <v>#N/A</v>
      </c>
      <c r="H726" s="55" t="e">
        <v>#N/A</v>
      </c>
      <c r="I726" s="55" t="e">
        <v>#N/A</v>
      </c>
      <c r="J726" s="55" t="e">
        <v>#N/A</v>
      </c>
      <c r="K726" s="55" t="e">
        <v>#N/A</v>
      </c>
    </row>
    <row r="727" spans="1:11" ht="45" hidden="1" x14ac:dyDescent="0.25">
      <c r="A727" s="2" t="s">
        <v>933</v>
      </c>
      <c r="B727" s="3">
        <v>43905</v>
      </c>
      <c r="C727" s="4" t="s">
        <v>994</v>
      </c>
      <c r="D727" s="62" t="e">
        <v>#N/A</v>
      </c>
      <c r="E727" s="55" t="e">
        <v>#N/A</v>
      </c>
      <c r="F727" s="55" t="e">
        <v>#N/A</v>
      </c>
      <c r="G727" s="55" t="e">
        <v>#N/A</v>
      </c>
      <c r="H727" s="55" t="e">
        <v>#N/A</v>
      </c>
      <c r="I727" s="55" t="e">
        <v>#N/A</v>
      </c>
      <c r="J727" s="55" t="e">
        <v>#N/A</v>
      </c>
      <c r="K727" s="55" t="e">
        <v>#N/A</v>
      </c>
    </row>
    <row r="728" spans="1:11" ht="30" hidden="1" x14ac:dyDescent="0.25">
      <c r="A728" s="2" t="s">
        <v>933</v>
      </c>
      <c r="B728" s="3">
        <v>43909</v>
      </c>
      <c r="C728" s="4" t="s">
        <v>995</v>
      </c>
      <c r="D728" s="62" t="e">
        <v>#N/A</v>
      </c>
      <c r="E728" s="55" t="e">
        <v>#N/A</v>
      </c>
      <c r="F728" s="55" t="e">
        <v>#N/A</v>
      </c>
      <c r="G728" s="55" t="e">
        <v>#N/A</v>
      </c>
      <c r="H728" s="55" t="e">
        <v>#N/A</v>
      </c>
      <c r="I728" s="55" t="e">
        <v>#N/A</v>
      </c>
      <c r="J728" s="55" t="e">
        <v>#N/A</v>
      </c>
      <c r="K728" s="55" t="e">
        <v>#N/A</v>
      </c>
    </row>
    <row r="729" spans="1:11" ht="60" hidden="1" x14ac:dyDescent="0.25">
      <c r="A729" s="2" t="s">
        <v>996</v>
      </c>
      <c r="B729" s="3">
        <v>46100</v>
      </c>
      <c r="C729" s="4" t="s">
        <v>997</v>
      </c>
      <c r="D729" s="62" t="e">
        <v>#N/A</v>
      </c>
      <c r="E729" s="55" t="e">
        <v>#N/A</v>
      </c>
      <c r="F729" s="55" t="e">
        <v>#N/A</v>
      </c>
      <c r="G729" s="55" t="s">
        <v>2090</v>
      </c>
      <c r="H729" s="55" t="e">
        <v>#N/A</v>
      </c>
      <c r="I729" s="55" t="e">
        <v>#N/A</v>
      </c>
      <c r="J729" s="55" t="e">
        <v>#N/A</v>
      </c>
      <c r="K729" s="55" t="e">
        <v>#N/A</v>
      </c>
    </row>
    <row r="730" spans="1:11" ht="45" hidden="1" x14ac:dyDescent="0.25">
      <c r="A730" s="2" t="s">
        <v>996</v>
      </c>
      <c r="B730" s="3">
        <v>46201</v>
      </c>
      <c r="C730" s="4" t="s">
        <v>998</v>
      </c>
      <c r="D730" s="62" t="e">
        <v>#N/A</v>
      </c>
      <c r="E730" s="55" t="e">
        <v>#N/A</v>
      </c>
      <c r="F730" s="55" t="e">
        <v>#N/A</v>
      </c>
      <c r="G730" s="55" t="e">
        <v>#N/A</v>
      </c>
      <c r="H730" s="55" t="e">
        <v>#N/A</v>
      </c>
      <c r="I730" s="55" t="e">
        <v>#N/A</v>
      </c>
      <c r="J730" s="55" t="e">
        <v>#N/A</v>
      </c>
      <c r="K730" s="55" t="e">
        <v>#N/A</v>
      </c>
    </row>
    <row r="731" spans="1:11" ht="60" hidden="1" x14ac:dyDescent="0.25">
      <c r="A731" s="2" t="s">
        <v>996</v>
      </c>
      <c r="B731" s="3">
        <v>46202</v>
      </c>
      <c r="C731" s="4" t="s">
        <v>999</v>
      </c>
      <c r="D731" s="62" t="e">
        <v>#N/A</v>
      </c>
      <c r="E731" s="55" t="e">
        <v>#N/A</v>
      </c>
      <c r="F731" s="55" t="e">
        <v>#N/A</v>
      </c>
      <c r="G731" s="55" t="e">
        <v>#N/A</v>
      </c>
      <c r="H731" s="55" t="e">
        <v>#N/A</v>
      </c>
      <c r="I731" s="55" t="e">
        <v>#N/A</v>
      </c>
      <c r="J731" s="55" t="e">
        <v>#N/A</v>
      </c>
      <c r="K731" s="55" t="e">
        <v>#N/A</v>
      </c>
    </row>
    <row r="732" spans="1:11" ht="45" hidden="1" x14ac:dyDescent="0.25">
      <c r="A732" s="2" t="s">
        <v>996</v>
      </c>
      <c r="B732" s="3">
        <v>46203</v>
      </c>
      <c r="C732" s="4" t="s">
        <v>1000</v>
      </c>
      <c r="D732" s="62" t="e">
        <v>#N/A</v>
      </c>
      <c r="E732" s="55" t="e">
        <v>#N/A</v>
      </c>
      <c r="F732" s="55" t="e">
        <v>#N/A</v>
      </c>
      <c r="G732" s="55" t="e">
        <v>#N/A</v>
      </c>
      <c r="H732" s="55" t="e">
        <v>#N/A</v>
      </c>
      <c r="I732" s="55" t="e">
        <v>#N/A</v>
      </c>
      <c r="J732" s="55" t="e">
        <v>#N/A</v>
      </c>
      <c r="K732" s="55" t="e">
        <v>#N/A</v>
      </c>
    </row>
    <row r="733" spans="1:11" ht="45" hidden="1" x14ac:dyDescent="0.25">
      <c r="A733" s="2" t="s">
        <v>996</v>
      </c>
      <c r="B733" s="3">
        <v>46204</v>
      </c>
      <c r="C733" s="4" t="s">
        <v>1001</v>
      </c>
      <c r="D733" s="62" t="e">
        <v>#N/A</v>
      </c>
      <c r="E733" s="55" t="e">
        <v>#N/A</v>
      </c>
      <c r="F733" s="55" t="e">
        <v>#N/A</v>
      </c>
      <c r="G733" s="55" t="e">
        <v>#N/A</v>
      </c>
      <c r="H733" s="55" t="e">
        <v>#N/A</v>
      </c>
      <c r="I733" s="55" t="e">
        <v>#N/A</v>
      </c>
      <c r="J733" s="55" t="e">
        <v>#N/A</v>
      </c>
      <c r="K733" s="55" t="e">
        <v>#N/A</v>
      </c>
    </row>
    <row r="734" spans="1:11" ht="45" hidden="1" x14ac:dyDescent="0.25">
      <c r="A734" s="2" t="s">
        <v>996</v>
      </c>
      <c r="B734" s="3">
        <v>46205</v>
      </c>
      <c r="C734" s="4" t="s">
        <v>1002</v>
      </c>
      <c r="D734" s="62" t="e">
        <v>#N/A</v>
      </c>
      <c r="E734" s="55" t="e">
        <v>#N/A</v>
      </c>
      <c r="F734" s="55" t="e">
        <v>#N/A</v>
      </c>
      <c r="G734" s="55" t="e">
        <v>#N/A</v>
      </c>
      <c r="H734" s="55" t="e">
        <v>#N/A</v>
      </c>
      <c r="I734" s="55" t="e">
        <v>#N/A</v>
      </c>
      <c r="J734" s="55" t="e">
        <v>#N/A</v>
      </c>
      <c r="K734" s="55" t="e">
        <v>#N/A</v>
      </c>
    </row>
    <row r="735" spans="1:11" ht="60" hidden="1" x14ac:dyDescent="0.25">
      <c r="A735" s="2" t="s">
        <v>996</v>
      </c>
      <c r="B735" s="3">
        <v>46206</v>
      </c>
      <c r="C735" s="4" t="s">
        <v>1003</v>
      </c>
      <c r="D735" s="62" t="e">
        <v>#N/A</v>
      </c>
      <c r="E735" s="55" t="e">
        <v>#N/A</v>
      </c>
      <c r="F735" s="55" t="e">
        <v>#N/A</v>
      </c>
      <c r="G735" s="55" t="e">
        <v>#N/A</v>
      </c>
      <c r="H735" s="55" t="e">
        <v>#N/A</v>
      </c>
      <c r="I735" s="55" t="e">
        <v>#N/A</v>
      </c>
      <c r="J735" s="55" t="e">
        <v>#N/A</v>
      </c>
      <c r="K735" s="55" t="e">
        <v>#N/A</v>
      </c>
    </row>
    <row r="736" spans="1:11" ht="60" hidden="1" x14ac:dyDescent="0.25">
      <c r="A736" s="2" t="s">
        <v>996</v>
      </c>
      <c r="B736" s="3">
        <v>46207</v>
      </c>
      <c r="C736" s="4" t="s">
        <v>1004</v>
      </c>
      <c r="D736" s="62" t="e">
        <v>#N/A</v>
      </c>
      <c r="E736" s="55" t="e">
        <v>#N/A</v>
      </c>
      <c r="F736" s="55" t="e">
        <v>#N/A</v>
      </c>
      <c r="G736" s="55" t="e">
        <v>#N/A</v>
      </c>
      <c r="H736" s="55" t="e">
        <v>#N/A</v>
      </c>
      <c r="I736" s="55" t="e">
        <v>#N/A</v>
      </c>
      <c r="J736" s="55" t="e">
        <v>#N/A</v>
      </c>
      <c r="K736" s="55" t="e">
        <v>#N/A</v>
      </c>
    </row>
    <row r="737" spans="1:11" ht="30" hidden="1" x14ac:dyDescent="0.25">
      <c r="A737" s="2" t="s">
        <v>996</v>
      </c>
      <c r="B737" s="3">
        <v>46208</v>
      </c>
      <c r="C737" s="4" t="s">
        <v>1005</v>
      </c>
      <c r="D737" s="62" t="e">
        <v>#N/A</v>
      </c>
      <c r="E737" s="55" t="e">
        <v>#N/A</v>
      </c>
      <c r="F737" s="55" t="e">
        <v>#N/A</v>
      </c>
      <c r="G737" s="55" t="e">
        <v>#N/A</v>
      </c>
      <c r="H737" s="55" t="e">
        <v>#N/A</v>
      </c>
      <c r="I737" s="55" t="e">
        <v>#N/A</v>
      </c>
      <c r="J737" s="55" t="e">
        <v>#N/A</v>
      </c>
      <c r="K737" s="55" t="e">
        <v>#N/A</v>
      </c>
    </row>
    <row r="738" spans="1:11" ht="75" hidden="1" x14ac:dyDescent="0.25">
      <c r="A738" s="2" t="s">
        <v>996</v>
      </c>
      <c r="B738" s="3">
        <v>46209</v>
      </c>
      <c r="C738" s="4" t="s">
        <v>1006</v>
      </c>
      <c r="D738" s="62" t="e">
        <v>#N/A</v>
      </c>
      <c r="E738" s="55" t="e">
        <v>#N/A</v>
      </c>
      <c r="F738" s="55" t="e">
        <v>#N/A</v>
      </c>
      <c r="G738" s="55" t="e">
        <v>#N/A</v>
      </c>
      <c r="H738" s="55" t="e">
        <v>#N/A</v>
      </c>
      <c r="I738" s="55" t="e">
        <v>#N/A</v>
      </c>
      <c r="J738" s="55" t="e">
        <v>#N/A</v>
      </c>
      <c r="K738" s="55" t="e">
        <v>#N/A</v>
      </c>
    </row>
    <row r="739" spans="1:11" ht="30" hidden="1" x14ac:dyDescent="0.25">
      <c r="A739" s="2" t="s">
        <v>996</v>
      </c>
      <c r="B739" s="3">
        <v>46311</v>
      </c>
      <c r="C739" s="4" t="s">
        <v>1007</v>
      </c>
      <c r="D739" s="62" t="e">
        <v>#N/A</v>
      </c>
      <c r="E739" s="55" t="e">
        <v>#N/A</v>
      </c>
      <c r="F739" s="55" t="e">
        <v>#N/A</v>
      </c>
      <c r="G739" s="55" t="e">
        <v>#N/A</v>
      </c>
      <c r="H739" s="55" t="e">
        <v>#N/A</v>
      </c>
      <c r="I739" s="55" t="e">
        <v>#N/A</v>
      </c>
      <c r="J739" s="55" t="e">
        <v>#N/A</v>
      </c>
      <c r="K739" s="55" t="e">
        <v>#N/A</v>
      </c>
    </row>
    <row r="740" spans="1:11" ht="30" hidden="1" x14ac:dyDescent="0.25">
      <c r="A740" s="2" t="s">
        <v>996</v>
      </c>
      <c r="B740" s="3">
        <v>46312</v>
      </c>
      <c r="C740" s="4" t="s">
        <v>1008</v>
      </c>
      <c r="D740" s="62" t="e">
        <v>#N/A</v>
      </c>
      <c r="E740" s="55" t="e">
        <v>#N/A</v>
      </c>
      <c r="F740" s="55" t="e">
        <v>#N/A</v>
      </c>
      <c r="G740" s="55" t="e">
        <v>#N/A</v>
      </c>
      <c r="H740" s="55" t="e">
        <v>#N/A</v>
      </c>
      <c r="I740" s="55" t="e">
        <v>#N/A</v>
      </c>
      <c r="J740" s="55" t="e">
        <v>#N/A</v>
      </c>
      <c r="K740" s="55" t="e">
        <v>#N/A</v>
      </c>
    </row>
    <row r="741" spans="1:11" ht="30" hidden="1" x14ac:dyDescent="0.25">
      <c r="A741" s="2" t="s">
        <v>996</v>
      </c>
      <c r="B741" s="3">
        <v>46313</v>
      </c>
      <c r="C741" s="4" t="s">
        <v>1009</v>
      </c>
      <c r="D741" s="62" t="e">
        <v>#N/A</v>
      </c>
      <c r="E741" s="55" t="e">
        <v>#N/A</v>
      </c>
      <c r="F741" s="55" t="e">
        <v>#N/A</v>
      </c>
      <c r="G741" s="55" t="e">
        <v>#N/A</v>
      </c>
      <c r="H741" s="55" t="e">
        <v>#N/A</v>
      </c>
      <c r="I741" s="55" t="e">
        <v>#N/A</v>
      </c>
      <c r="J741" s="55" t="e">
        <v>#N/A</v>
      </c>
      <c r="K741" s="55" t="e">
        <v>#N/A</v>
      </c>
    </row>
    <row r="742" spans="1:11" ht="45" hidden="1" x14ac:dyDescent="0.25">
      <c r="A742" s="2" t="s">
        <v>996</v>
      </c>
      <c r="B742" s="3">
        <v>46314</v>
      </c>
      <c r="C742" s="4" t="s">
        <v>1010</v>
      </c>
      <c r="D742" s="62" t="e">
        <v>#N/A</v>
      </c>
      <c r="E742" s="55" t="e">
        <v>#N/A</v>
      </c>
      <c r="F742" s="55" t="e">
        <v>#N/A</v>
      </c>
      <c r="G742" s="55" t="e">
        <v>#N/A</v>
      </c>
      <c r="H742" s="55" t="e">
        <v>#N/A</v>
      </c>
      <c r="I742" s="55" t="e">
        <v>#N/A</v>
      </c>
      <c r="J742" s="55" t="e">
        <v>#N/A</v>
      </c>
      <c r="K742" s="55" t="e">
        <v>#N/A</v>
      </c>
    </row>
    <row r="743" spans="1:11" ht="45" hidden="1" x14ac:dyDescent="0.25">
      <c r="A743" s="2" t="s">
        <v>996</v>
      </c>
      <c r="B743" s="3">
        <v>46315</v>
      </c>
      <c r="C743" s="4" t="s">
        <v>1011</v>
      </c>
      <c r="D743" s="62" t="e">
        <v>#N/A</v>
      </c>
      <c r="E743" s="55" t="e">
        <v>#N/A</v>
      </c>
      <c r="F743" s="55" t="e">
        <v>#N/A</v>
      </c>
      <c r="G743" s="55" t="e">
        <v>#N/A</v>
      </c>
      <c r="H743" s="55" t="e">
        <v>#N/A</v>
      </c>
      <c r="I743" s="55" t="e">
        <v>#N/A</v>
      </c>
      <c r="J743" s="55" t="e">
        <v>#N/A</v>
      </c>
      <c r="K743" s="55" t="e">
        <v>#N/A</v>
      </c>
    </row>
    <row r="744" spans="1:11" ht="60" hidden="1" x14ac:dyDescent="0.25">
      <c r="A744" s="2" t="s">
        <v>996</v>
      </c>
      <c r="B744" s="3">
        <v>46319</v>
      </c>
      <c r="C744" s="4" t="s">
        <v>1012</v>
      </c>
      <c r="D744" s="62" t="e">
        <v>#N/A</v>
      </c>
      <c r="E744" s="55" t="e">
        <v>#N/A</v>
      </c>
      <c r="F744" s="55" t="e">
        <v>#N/A</v>
      </c>
      <c r="G744" s="55" t="e">
        <v>#N/A</v>
      </c>
      <c r="H744" s="55" t="e">
        <v>#N/A</v>
      </c>
      <c r="I744" s="55" t="e">
        <v>#N/A</v>
      </c>
      <c r="J744" s="55" t="e">
        <v>#N/A</v>
      </c>
      <c r="K744" s="55" t="e">
        <v>#N/A</v>
      </c>
    </row>
    <row r="745" spans="1:11" ht="60" hidden="1" x14ac:dyDescent="0.25">
      <c r="A745" s="2" t="s">
        <v>996</v>
      </c>
      <c r="B745" s="3">
        <v>46321</v>
      </c>
      <c r="C745" s="4" t="s">
        <v>1013</v>
      </c>
      <c r="D745" s="62" t="e">
        <v>#N/A</v>
      </c>
      <c r="E745" s="55" t="e">
        <v>#N/A</v>
      </c>
      <c r="F745" s="55" t="e">
        <v>#N/A</v>
      </c>
      <c r="G745" s="55" t="e">
        <v>#N/A</v>
      </c>
      <c r="H745" s="55" t="e">
        <v>#N/A</v>
      </c>
      <c r="I745" s="55" t="e">
        <v>#N/A</v>
      </c>
      <c r="J745" s="55" t="e">
        <v>#N/A</v>
      </c>
      <c r="K745" s="55" t="e">
        <v>#N/A</v>
      </c>
    </row>
    <row r="746" spans="1:11" ht="60" hidden="1" x14ac:dyDescent="0.25">
      <c r="A746" s="2" t="s">
        <v>996</v>
      </c>
      <c r="B746" s="3">
        <v>46322</v>
      </c>
      <c r="C746" s="4" t="s">
        <v>1014</v>
      </c>
      <c r="D746" s="62" t="e">
        <v>#N/A</v>
      </c>
      <c r="E746" s="55" t="e">
        <v>#N/A</v>
      </c>
      <c r="F746" s="55" t="e">
        <v>#N/A</v>
      </c>
      <c r="G746" s="55" t="e">
        <v>#N/A</v>
      </c>
      <c r="H746" s="55" t="e">
        <v>#N/A</v>
      </c>
      <c r="I746" s="55" t="e">
        <v>#N/A</v>
      </c>
      <c r="J746" s="55" t="e">
        <v>#N/A</v>
      </c>
      <c r="K746" s="55" t="e">
        <v>#N/A</v>
      </c>
    </row>
    <row r="747" spans="1:11" ht="60" hidden="1" x14ac:dyDescent="0.25">
      <c r="A747" s="2" t="s">
        <v>996</v>
      </c>
      <c r="B747" s="3">
        <v>46323</v>
      </c>
      <c r="C747" s="4" t="s">
        <v>1015</v>
      </c>
      <c r="D747" s="62" t="e">
        <v>#N/A</v>
      </c>
      <c r="E747" s="55" t="e">
        <v>#N/A</v>
      </c>
      <c r="F747" s="55" t="e">
        <v>#N/A</v>
      </c>
      <c r="G747" s="55" t="e">
        <v>#N/A</v>
      </c>
      <c r="H747" s="55" t="e">
        <v>#N/A</v>
      </c>
      <c r="I747" s="55" t="e">
        <v>#N/A</v>
      </c>
      <c r="J747" s="55" t="e">
        <v>#N/A</v>
      </c>
      <c r="K747" s="55" t="e">
        <v>#N/A</v>
      </c>
    </row>
    <row r="748" spans="1:11" ht="60" hidden="1" x14ac:dyDescent="0.25">
      <c r="A748" s="2" t="s">
        <v>996</v>
      </c>
      <c r="B748" s="3">
        <v>46324</v>
      </c>
      <c r="C748" s="4" t="s">
        <v>1016</v>
      </c>
      <c r="D748" s="62" t="e">
        <v>#N/A</v>
      </c>
      <c r="E748" s="55" t="e">
        <v>#N/A</v>
      </c>
      <c r="F748" s="55" t="e">
        <v>#N/A</v>
      </c>
      <c r="G748" s="55" t="e">
        <v>#N/A</v>
      </c>
      <c r="H748" s="55" t="e">
        <v>#N/A</v>
      </c>
      <c r="I748" s="55" t="e">
        <v>#N/A</v>
      </c>
      <c r="J748" s="55" t="e">
        <v>#N/A</v>
      </c>
      <c r="K748" s="55" t="e">
        <v>#N/A</v>
      </c>
    </row>
    <row r="749" spans="1:11" ht="45" hidden="1" x14ac:dyDescent="0.25">
      <c r="A749" s="2" t="s">
        <v>996</v>
      </c>
      <c r="B749" s="3">
        <v>46325</v>
      </c>
      <c r="C749" s="4" t="s">
        <v>1017</v>
      </c>
      <c r="D749" s="62" t="e">
        <v>#N/A</v>
      </c>
      <c r="E749" s="55" t="e">
        <v>#N/A</v>
      </c>
      <c r="F749" s="55" t="e">
        <v>#N/A</v>
      </c>
      <c r="G749" s="55" t="e">
        <v>#N/A</v>
      </c>
      <c r="H749" s="55" t="e">
        <v>#N/A</v>
      </c>
      <c r="I749" s="55" t="e">
        <v>#N/A</v>
      </c>
      <c r="J749" s="55" t="e">
        <v>#N/A</v>
      </c>
      <c r="K749" s="55" t="e">
        <v>#N/A</v>
      </c>
    </row>
    <row r="750" spans="1:11" ht="45" hidden="1" x14ac:dyDescent="0.25">
      <c r="A750" s="2" t="s">
        <v>996</v>
      </c>
      <c r="B750" s="3">
        <v>46326</v>
      </c>
      <c r="C750" s="4" t="s">
        <v>1018</v>
      </c>
      <c r="D750" s="62" t="e">
        <v>#N/A</v>
      </c>
      <c r="E750" s="55" t="e">
        <v>#N/A</v>
      </c>
      <c r="F750" s="55" t="e">
        <v>#N/A</v>
      </c>
      <c r="G750" s="55" t="e">
        <v>#N/A</v>
      </c>
      <c r="H750" s="55" t="e">
        <v>#N/A</v>
      </c>
      <c r="I750" s="55" t="e">
        <v>#N/A</v>
      </c>
      <c r="J750" s="55" t="e">
        <v>#N/A</v>
      </c>
      <c r="K750" s="55" t="e">
        <v>#N/A</v>
      </c>
    </row>
    <row r="751" spans="1:11" ht="45" hidden="1" x14ac:dyDescent="0.25">
      <c r="A751" s="2" t="s">
        <v>996</v>
      </c>
      <c r="B751" s="3">
        <v>46327</v>
      </c>
      <c r="C751" s="4" t="s">
        <v>1019</v>
      </c>
      <c r="D751" s="62" t="e">
        <v>#N/A</v>
      </c>
      <c r="E751" s="55" t="e">
        <v>#N/A</v>
      </c>
      <c r="F751" s="55" t="e">
        <v>#N/A</v>
      </c>
      <c r="G751" s="55" t="e">
        <v>#N/A</v>
      </c>
      <c r="H751" s="55" t="e">
        <v>#N/A</v>
      </c>
      <c r="I751" s="55" t="e">
        <v>#N/A</v>
      </c>
      <c r="J751" s="55" t="e">
        <v>#N/A</v>
      </c>
      <c r="K751" s="55" t="e">
        <v>#N/A</v>
      </c>
    </row>
    <row r="752" spans="1:11" ht="60" hidden="1" x14ac:dyDescent="0.25">
      <c r="A752" s="2" t="s">
        <v>996</v>
      </c>
      <c r="B752" s="3">
        <v>46329</v>
      </c>
      <c r="C752" s="4" t="s">
        <v>1012</v>
      </c>
      <c r="D752" s="62" t="e">
        <v>#N/A</v>
      </c>
      <c r="E752" s="55" t="e">
        <v>#N/A</v>
      </c>
      <c r="F752" s="55" t="e">
        <v>#N/A</v>
      </c>
      <c r="G752" s="55" t="e">
        <v>#N/A</v>
      </c>
      <c r="H752" s="55" t="e">
        <v>#N/A</v>
      </c>
      <c r="I752" s="55" t="e">
        <v>#N/A</v>
      </c>
      <c r="J752" s="55" t="e">
        <v>#N/A</v>
      </c>
      <c r="K752" s="55" t="e">
        <v>#N/A</v>
      </c>
    </row>
    <row r="753" spans="1:11" ht="60" hidden="1" x14ac:dyDescent="0.25">
      <c r="A753" s="2" t="s">
        <v>996</v>
      </c>
      <c r="B753" s="3">
        <v>46331</v>
      </c>
      <c r="C753" s="4" t="s">
        <v>1020</v>
      </c>
      <c r="D753" s="62" t="e">
        <v>#N/A</v>
      </c>
      <c r="E753" s="55" t="e">
        <v>#N/A</v>
      </c>
      <c r="F753" s="55" t="e">
        <v>#N/A</v>
      </c>
      <c r="G753" s="55" t="e">
        <v>#N/A</v>
      </c>
      <c r="H753" s="55" t="e">
        <v>#N/A</v>
      </c>
      <c r="I753" s="55" t="e">
        <v>#N/A</v>
      </c>
      <c r="J753" s="55" t="e">
        <v>#N/A</v>
      </c>
      <c r="K753" s="55" t="e">
        <v>#N/A</v>
      </c>
    </row>
    <row r="754" spans="1:11" ht="30" hidden="1" x14ac:dyDescent="0.25">
      <c r="A754" s="2" t="s">
        <v>996</v>
      </c>
      <c r="B754" s="3">
        <v>46332</v>
      </c>
      <c r="C754" s="4" t="s">
        <v>1021</v>
      </c>
      <c r="D754" s="62" t="e">
        <v>#N/A</v>
      </c>
      <c r="E754" s="55" t="e">
        <v>#N/A</v>
      </c>
      <c r="F754" s="55" t="e">
        <v>#N/A</v>
      </c>
      <c r="G754" s="55" t="e">
        <v>#N/A</v>
      </c>
      <c r="H754" s="55" t="e">
        <v>#N/A</v>
      </c>
      <c r="I754" s="55" t="e">
        <v>#N/A</v>
      </c>
      <c r="J754" s="55" t="e">
        <v>#N/A</v>
      </c>
      <c r="K754" s="55" t="e">
        <v>#N/A</v>
      </c>
    </row>
    <row r="755" spans="1:11" ht="45" hidden="1" x14ac:dyDescent="0.25">
      <c r="A755" s="2" t="s">
        <v>996</v>
      </c>
      <c r="B755" s="3">
        <v>46333</v>
      </c>
      <c r="C755" s="4" t="s">
        <v>1022</v>
      </c>
      <c r="D755" s="62" t="e">
        <v>#N/A</v>
      </c>
      <c r="E755" s="55" t="e">
        <v>#N/A</v>
      </c>
      <c r="F755" s="55" t="e">
        <v>#N/A</v>
      </c>
      <c r="G755" s="55" t="e">
        <v>#N/A</v>
      </c>
      <c r="H755" s="55" t="e">
        <v>#N/A</v>
      </c>
      <c r="I755" s="55" t="e">
        <v>#N/A</v>
      </c>
      <c r="J755" s="55" t="e">
        <v>#N/A</v>
      </c>
      <c r="K755" s="55" t="e">
        <v>#N/A</v>
      </c>
    </row>
    <row r="756" spans="1:11" ht="60" hidden="1" x14ac:dyDescent="0.25">
      <c r="A756" s="2" t="s">
        <v>996</v>
      </c>
      <c r="B756" s="3">
        <v>46334</v>
      </c>
      <c r="C756" s="4" t="s">
        <v>1023</v>
      </c>
      <c r="D756" s="62" t="e">
        <v>#N/A</v>
      </c>
      <c r="E756" s="55" t="e">
        <v>#N/A</v>
      </c>
      <c r="F756" s="55" t="e">
        <v>#N/A</v>
      </c>
      <c r="G756" s="55" t="e">
        <v>#N/A</v>
      </c>
      <c r="H756" s="55" t="e">
        <v>#N/A</v>
      </c>
      <c r="I756" s="55" t="e">
        <v>#N/A</v>
      </c>
      <c r="J756" s="55" t="e">
        <v>#N/A</v>
      </c>
      <c r="K756" s="55" t="e">
        <v>#N/A</v>
      </c>
    </row>
    <row r="757" spans="1:11" ht="45" hidden="1" x14ac:dyDescent="0.25">
      <c r="A757" s="2" t="s">
        <v>996</v>
      </c>
      <c r="B757" s="3">
        <v>46335</v>
      </c>
      <c r="C757" s="4" t="s">
        <v>1024</v>
      </c>
      <c r="D757" s="62" t="e">
        <v>#N/A</v>
      </c>
      <c r="E757" s="55" t="e">
        <v>#N/A</v>
      </c>
      <c r="F757" s="55" t="e">
        <v>#N/A</v>
      </c>
      <c r="G757" s="55" t="e">
        <v>#N/A</v>
      </c>
      <c r="H757" s="55" t="e">
        <v>#N/A</v>
      </c>
      <c r="I757" s="55" t="e">
        <v>#N/A</v>
      </c>
      <c r="J757" s="55" t="e">
        <v>#N/A</v>
      </c>
      <c r="K757" s="55" t="e">
        <v>#N/A</v>
      </c>
    </row>
    <row r="758" spans="1:11" ht="60" hidden="1" x14ac:dyDescent="0.25">
      <c r="A758" s="2" t="s">
        <v>996</v>
      </c>
      <c r="B758" s="3">
        <v>46339</v>
      </c>
      <c r="C758" s="4" t="s">
        <v>1025</v>
      </c>
      <c r="D758" s="62" t="e">
        <v>#N/A</v>
      </c>
      <c r="E758" s="55" t="e">
        <v>#N/A</v>
      </c>
      <c r="F758" s="55" t="e">
        <v>#N/A</v>
      </c>
      <c r="G758" s="55" t="e">
        <v>#N/A</v>
      </c>
      <c r="H758" s="55" t="e">
        <v>#N/A</v>
      </c>
      <c r="I758" s="55" t="e">
        <v>#N/A</v>
      </c>
      <c r="J758" s="55" t="e">
        <v>#N/A</v>
      </c>
      <c r="K758" s="55" t="e">
        <v>#N/A</v>
      </c>
    </row>
    <row r="759" spans="1:11" ht="30" hidden="1" x14ac:dyDescent="0.25">
      <c r="A759" s="2" t="s">
        <v>996</v>
      </c>
      <c r="B759" s="3">
        <v>46411</v>
      </c>
      <c r="C759" s="4" t="s">
        <v>1026</v>
      </c>
      <c r="D759" s="62" t="e">
        <v>#N/A</v>
      </c>
      <c r="E759" s="55" t="e">
        <v>#N/A</v>
      </c>
      <c r="F759" s="55" t="e">
        <v>#N/A</v>
      </c>
      <c r="G759" s="55" t="e">
        <v>#N/A</v>
      </c>
      <c r="H759" s="55" t="e">
        <v>#N/A</v>
      </c>
      <c r="I759" s="55" t="e">
        <v>#N/A</v>
      </c>
      <c r="J759" s="55" t="e">
        <v>#N/A</v>
      </c>
      <c r="K759" s="55" t="e">
        <v>#N/A</v>
      </c>
    </row>
    <row r="760" spans="1:11" ht="30" hidden="1" x14ac:dyDescent="0.25">
      <c r="A760" s="2" t="s">
        <v>996</v>
      </c>
      <c r="B760" s="3">
        <v>46412</v>
      </c>
      <c r="C760" s="4" t="s">
        <v>1027</v>
      </c>
      <c r="D760" s="62" t="e">
        <v>#N/A</v>
      </c>
      <c r="E760" s="55" t="e">
        <v>#N/A</v>
      </c>
      <c r="F760" s="55" t="e">
        <v>#N/A</v>
      </c>
      <c r="G760" s="55" t="e">
        <v>#N/A</v>
      </c>
      <c r="H760" s="55" t="e">
        <v>#N/A</v>
      </c>
      <c r="I760" s="55" t="e">
        <v>#N/A</v>
      </c>
      <c r="J760" s="55" t="e">
        <v>#N/A</v>
      </c>
      <c r="K760" s="55" t="e">
        <v>#N/A</v>
      </c>
    </row>
    <row r="761" spans="1:11" ht="30" hidden="1" x14ac:dyDescent="0.25">
      <c r="A761" s="2" t="s">
        <v>996</v>
      </c>
      <c r="B761" s="3">
        <v>46413</v>
      </c>
      <c r="C761" s="4" t="s">
        <v>1028</v>
      </c>
      <c r="D761" s="62" t="e">
        <v>#N/A</v>
      </c>
      <c r="E761" s="55" t="e">
        <v>#N/A</v>
      </c>
      <c r="F761" s="55" t="e">
        <v>#N/A</v>
      </c>
      <c r="G761" s="55" t="e">
        <v>#N/A</v>
      </c>
      <c r="H761" s="55" t="e">
        <v>#N/A</v>
      </c>
      <c r="I761" s="55" t="e">
        <v>#N/A</v>
      </c>
      <c r="J761" s="55" t="e">
        <v>#N/A</v>
      </c>
      <c r="K761" s="55" t="e">
        <v>#N/A</v>
      </c>
    </row>
    <row r="762" spans="1:11" ht="45" hidden="1" x14ac:dyDescent="0.25">
      <c r="A762" s="2" t="s">
        <v>996</v>
      </c>
      <c r="B762" s="3">
        <v>46414</v>
      </c>
      <c r="C762" s="4" t="s">
        <v>1029</v>
      </c>
      <c r="D762" s="62" t="e">
        <v>#N/A</v>
      </c>
      <c r="E762" s="55" t="e">
        <v>#N/A</v>
      </c>
      <c r="F762" s="55" t="e">
        <v>#N/A</v>
      </c>
      <c r="G762" s="55" t="e">
        <v>#N/A</v>
      </c>
      <c r="H762" s="55" t="e">
        <v>#N/A</v>
      </c>
      <c r="I762" s="55" t="e">
        <v>#N/A</v>
      </c>
      <c r="J762" s="55" t="e">
        <v>#N/A</v>
      </c>
      <c r="K762" s="55" t="e">
        <v>#N/A</v>
      </c>
    </row>
    <row r="763" spans="1:11" ht="45" hidden="1" x14ac:dyDescent="0.25">
      <c r="A763" s="2" t="s">
        <v>996</v>
      </c>
      <c r="B763" s="3">
        <v>46415</v>
      </c>
      <c r="C763" s="4" t="s">
        <v>1030</v>
      </c>
      <c r="D763" s="62" t="e">
        <v>#N/A</v>
      </c>
      <c r="E763" s="55" t="e">
        <v>#N/A</v>
      </c>
      <c r="F763" s="55" t="e">
        <v>#N/A</v>
      </c>
      <c r="G763" s="55" t="e">
        <v>#N/A</v>
      </c>
      <c r="H763" s="55" t="e">
        <v>#N/A</v>
      </c>
      <c r="I763" s="55" t="e">
        <v>#N/A</v>
      </c>
      <c r="J763" s="55" t="e">
        <v>#N/A</v>
      </c>
      <c r="K763" s="55" t="e">
        <v>#N/A</v>
      </c>
    </row>
    <row r="764" spans="1:11" ht="60" hidden="1" x14ac:dyDescent="0.25">
      <c r="A764" s="2" t="s">
        <v>996</v>
      </c>
      <c r="B764" s="3">
        <v>46420</v>
      </c>
      <c r="C764" s="4" t="s">
        <v>1031</v>
      </c>
      <c r="D764" s="62" t="e">
        <v>#N/A</v>
      </c>
      <c r="E764" s="55" t="e">
        <v>#N/A</v>
      </c>
      <c r="F764" s="55" t="e">
        <v>#N/A</v>
      </c>
      <c r="G764" s="55" t="e">
        <v>#N/A</v>
      </c>
      <c r="H764" s="55" t="e">
        <v>#N/A</v>
      </c>
      <c r="I764" s="55" t="e">
        <v>#N/A</v>
      </c>
      <c r="J764" s="55" t="e">
        <v>#N/A</v>
      </c>
      <c r="K764" s="55" t="e">
        <v>#N/A</v>
      </c>
    </row>
    <row r="765" spans="1:11" ht="60" hidden="1" x14ac:dyDescent="0.25">
      <c r="A765" s="2" t="s">
        <v>996</v>
      </c>
      <c r="B765" s="3">
        <v>46430</v>
      </c>
      <c r="C765" s="4" t="s">
        <v>1032</v>
      </c>
      <c r="D765" s="62" t="e">
        <v>#N/A</v>
      </c>
      <c r="E765" s="55" t="e">
        <v>#N/A</v>
      </c>
      <c r="F765" s="55" t="e">
        <v>#N/A</v>
      </c>
      <c r="G765" s="55" t="e">
        <v>#N/A</v>
      </c>
      <c r="H765" s="55" t="e">
        <v>#N/A</v>
      </c>
      <c r="I765" s="55" t="e">
        <v>#N/A</v>
      </c>
      <c r="J765" s="55" t="e">
        <v>#N/A</v>
      </c>
      <c r="K765" s="55" t="e">
        <v>#N/A</v>
      </c>
    </row>
    <row r="766" spans="1:11" ht="60" hidden="1" x14ac:dyDescent="0.25">
      <c r="A766" s="2" t="s">
        <v>996</v>
      </c>
      <c r="B766" s="3">
        <v>46441</v>
      </c>
      <c r="C766" s="4" t="s">
        <v>1033</v>
      </c>
      <c r="D766" s="62" t="e">
        <v>#N/A</v>
      </c>
      <c r="E766" s="55" t="e">
        <v>#N/A</v>
      </c>
      <c r="F766" s="55" t="e">
        <v>#N/A</v>
      </c>
      <c r="G766" s="55" t="e">
        <v>#N/A</v>
      </c>
      <c r="H766" s="55" t="e">
        <v>#N/A</v>
      </c>
      <c r="I766" s="55" t="e">
        <v>#N/A</v>
      </c>
      <c r="J766" s="55" t="e">
        <v>#N/A</v>
      </c>
      <c r="K766" s="55" t="e">
        <v>#N/A</v>
      </c>
    </row>
    <row r="767" spans="1:11" ht="60" hidden="1" x14ac:dyDescent="0.25">
      <c r="A767" s="2" t="s">
        <v>996</v>
      </c>
      <c r="B767" s="3">
        <v>46442</v>
      </c>
      <c r="C767" s="4" t="s">
        <v>1034</v>
      </c>
      <c r="D767" s="62" t="e">
        <v>#N/A</v>
      </c>
      <c r="E767" s="55" t="e">
        <v>#N/A</v>
      </c>
      <c r="F767" s="55" t="e">
        <v>#N/A</v>
      </c>
      <c r="G767" s="55" t="e">
        <v>#N/A</v>
      </c>
      <c r="H767" s="55" t="e">
        <v>#N/A</v>
      </c>
      <c r="I767" s="55" t="e">
        <v>#N/A</v>
      </c>
      <c r="J767" s="55" t="e">
        <v>#N/A</v>
      </c>
      <c r="K767" s="55" t="e">
        <v>#N/A</v>
      </c>
    </row>
    <row r="768" spans="1:11" ht="45" hidden="1" x14ac:dyDescent="0.25">
      <c r="A768" s="2" t="s">
        <v>996</v>
      </c>
      <c r="B768" s="3">
        <v>46451</v>
      </c>
      <c r="C768" s="4" t="s">
        <v>1035</v>
      </c>
      <c r="D768" s="62" t="e">
        <v>#N/A</v>
      </c>
      <c r="E768" s="55" t="e">
        <v>#N/A</v>
      </c>
      <c r="F768" s="55" t="e">
        <v>#N/A</v>
      </c>
      <c r="G768" s="55" t="e">
        <v>#N/A</v>
      </c>
      <c r="H768" s="55" t="e">
        <v>#N/A</v>
      </c>
      <c r="I768" s="55" t="e">
        <v>#N/A</v>
      </c>
      <c r="J768" s="55" t="e">
        <v>#N/A</v>
      </c>
      <c r="K768" s="55" t="e">
        <v>#N/A</v>
      </c>
    </row>
    <row r="769" spans="1:11" ht="60" hidden="1" x14ac:dyDescent="0.25">
      <c r="A769" s="2" t="s">
        <v>996</v>
      </c>
      <c r="B769" s="3">
        <v>46452</v>
      </c>
      <c r="C769" s="4" t="s">
        <v>1036</v>
      </c>
      <c r="D769" s="62" t="e">
        <v>#N/A</v>
      </c>
      <c r="E769" s="55" t="e">
        <v>#N/A</v>
      </c>
      <c r="F769" s="55" t="e">
        <v>#N/A</v>
      </c>
      <c r="G769" s="55" t="e">
        <v>#N/A</v>
      </c>
      <c r="H769" s="55" t="e">
        <v>#N/A</v>
      </c>
      <c r="I769" s="55" t="e">
        <v>#N/A</v>
      </c>
      <c r="J769" s="55" t="e">
        <v>#N/A</v>
      </c>
      <c r="K769" s="55" t="e">
        <v>#N/A</v>
      </c>
    </row>
    <row r="770" spans="1:11" ht="60" hidden="1" x14ac:dyDescent="0.25">
      <c r="A770" s="2" t="s">
        <v>996</v>
      </c>
      <c r="B770" s="3">
        <v>46491</v>
      </c>
      <c r="C770" s="4" t="s">
        <v>1037</v>
      </c>
      <c r="D770" s="62" t="e">
        <v>#N/A</v>
      </c>
      <c r="E770" s="55" t="e">
        <v>#N/A</v>
      </c>
      <c r="F770" s="55" t="e">
        <v>#N/A</v>
      </c>
      <c r="G770" s="55" t="e">
        <v>#N/A</v>
      </c>
      <c r="H770" s="55" t="e">
        <v>#N/A</v>
      </c>
      <c r="I770" s="55" t="e">
        <v>#N/A</v>
      </c>
      <c r="J770" s="55" t="e">
        <v>#N/A</v>
      </c>
      <c r="K770" s="55" t="e">
        <v>#N/A</v>
      </c>
    </row>
    <row r="771" spans="1:11" ht="60" hidden="1" x14ac:dyDescent="0.25">
      <c r="A771" s="2" t="s">
        <v>996</v>
      </c>
      <c r="B771" s="3">
        <v>46492</v>
      </c>
      <c r="C771" s="4" t="s">
        <v>1038</v>
      </c>
      <c r="D771" s="62" t="e">
        <v>#N/A</v>
      </c>
      <c r="E771" s="55" t="e">
        <v>#N/A</v>
      </c>
      <c r="F771" s="55" t="e">
        <v>#N/A</v>
      </c>
      <c r="G771" s="55" t="e">
        <v>#N/A</v>
      </c>
      <c r="H771" s="55" t="e">
        <v>#N/A</v>
      </c>
      <c r="I771" s="55" t="e">
        <v>#N/A</v>
      </c>
      <c r="J771" s="55" t="e">
        <v>#N/A</v>
      </c>
      <c r="K771" s="55" t="e">
        <v>#N/A</v>
      </c>
    </row>
    <row r="772" spans="1:11" ht="30" hidden="1" x14ac:dyDescent="0.25">
      <c r="A772" s="2" t="s">
        <v>996</v>
      </c>
      <c r="B772" s="3">
        <v>46493</v>
      </c>
      <c r="C772" s="4" t="s">
        <v>1039</v>
      </c>
      <c r="D772" s="62" t="e">
        <v>#N/A</v>
      </c>
      <c r="E772" s="55" t="e">
        <v>#N/A</v>
      </c>
      <c r="F772" s="55" t="e">
        <v>#N/A</v>
      </c>
      <c r="G772" s="55" t="e">
        <v>#N/A</v>
      </c>
      <c r="H772" s="55" t="e">
        <v>#N/A</v>
      </c>
      <c r="I772" s="55" t="e">
        <v>#N/A</v>
      </c>
      <c r="J772" s="55" t="e">
        <v>#N/A</v>
      </c>
      <c r="K772" s="55" t="e">
        <v>#N/A</v>
      </c>
    </row>
    <row r="773" spans="1:11" ht="45" hidden="1" x14ac:dyDescent="0.25">
      <c r="A773" s="2" t="s">
        <v>996</v>
      </c>
      <c r="B773" s="3">
        <v>46494</v>
      </c>
      <c r="C773" s="4" t="s">
        <v>1040</v>
      </c>
      <c r="D773" s="62" t="e">
        <v>#N/A</v>
      </c>
      <c r="E773" s="55" t="e">
        <v>#N/A</v>
      </c>
      <c r="F773" s="55" t="e">
        <v>#N/A</v>
      </c>
      <c r="G773" s="55" t="e">
        <v>#N/A</v>
      </c>
      <c r="H773" s="55" t="e">
        <v>#N/A</v>
      </c>
      <c r="I773" s="55" t="e">
        <v>#N/A</v>
      </c>
      <c r="J773" s="55" t="e">
        <v>#N/A</v>
      </c>
      <c r="K773" s="55" t="e">
        <v>#N/A</v>
      </c>
    </row>
    <row r="774" spans="1:11" ht="60" hidden="1" x14ac:dyDescent="0.25">
      <c r="A774" s="2" t="s">
        <v>996</v>
      </c>
      <c r="B774" s="3">
        <v>46495</v>
      </c>
      <c r="C774" s="4" t="s">
        <v>1041</v>
      </c>
      <c r="D774" s="62" t="e">
        <v>#N/A</v>
      </c>
      <c r="E774" s="55" t="e">
        <v>#N/A</v>
      </c>
      <c r="F774" s="55" t="e">
        <v>#N/A</v>
      </c>
      <c r="G774" s="55" t="e">
        <v>#N/A</v>
      </c>
      <c r="H774" s="55" t="e">
        <v>#N/A</v>
      </c>
      <c r="I774" s="55" t="e">
        <v>#N/A</v>
      </c>
      <c r="J774" s="55" t="e">
        <v>#N/A</v>
      </c>
      <c r="K774" s="55" t="e">
        <v>#N/A</v>
      </c>
    </row>
    <row r="775" spans="1:11" ht="60" hidden="1" x14ac:dyDescent="0.25">
      <c r="A775" s="2" t="s">
        <v>996</v>
      </c>
      <c r="B775" s="3">
        <v>46496</v>
      </c>
      <c r="C775" s="4" t="s">
        <v>1042</v>
      </c>
      <c r="D775" s="62" t="e">
        <v>#N/A</v>
      </c>
      <c r="E775" s="55" t="e">
        <v>#N/A</v>
      </c>
      <c r="F775" s="55" t="e">
        <v>#N/A</v>
      </c>
      <c r="G775" s="55" t="e">
        <v>#N/A</v>
      </c>
      <c r="H775" s="55" t="e">
        <v>#N/A</v>
      </c>
      <c r="I775" s="55" t="e">
        <v>#N/A</v>
      </c>
      <c r="J775" s="55" t="e">
        <v>#N/A</v>
      </c>
      <c r="K775" s="55" t="e">
        <v>#N/A</v>
      </c>
    </row>
    <row r="776" spans="1:11" ht="75" hidden="1" x14ac:dyDescent="0.25">
      <c r="A776" s="2" t="s">
        <v>996</v>
      </c>
      <c r="B776" s="3">
        <v>46499</v>
      </c>
      <c r="C776" s="4" t="s">
        <v>1043</v>
      </c>
      <c r="D776" s="62" t="e">
        <v>#N/A</v>
      </c>
      <c r="E776" s="55" t="e">
        <v>#N/A</v>
      </c>
      <c r="F776" s="55" t="e">
        <v>#N/A</v>
      </c>
      <c r="G776" s="55" t="e">
        <v>#N/A</v>
      </c>
      <c r="H776" s="55" t="e">
        <v>#N/A</v>
      </c>
      <c r="I776" s="55" t="e">
        <v>#N/A</v>
      </c>
      <c r="J776" s="55" t="e">
        <v>#N/A</v>
      </c>
      <c r="K776" s="55" t="e">
        <v>#N/A</v>
      </c>
    </row>
    <row r="777" spans="1:11" ht="60" hidden="1" x14ac:dyDescent="0.25">
      <c r="A777" s="2" t="s">
        <v>996</v>
      </c>
      <c r="B777" s="3">
        <v>46511</v>
      </c>
      <c r="C777" s="4" t="s">
        <v>1044</v>
      </c>
      <c r="D777" s="62" t="e">
        <v>#N/A</v>
      </c>
      <c r="E777" s="55" t="e">
        <v>#N/A</v>
      </c>
      <c r="F777" s="55" t="e">
        <v>#N/A</v>
      </c>
      <c r="G777" s="55" t="s">
        <v>2090</v>
      </c>
      <c r="H777" s="55" t="e">
        <v>#N/A</v>
      </c>
      <c r="I777" s="55" t="e">
        <v>#N/A</v>
      </c>
      <c r="J777" s="55" t="e">
        <v>#N/A</v>
      </c>
      <c r="K777" s="55" t="e">
        <v>#N/A</v>
      </c>
    </row>
    <row r="778" spans="1:11" ht="45" hidden="1" x14ac:dyDescent="0.25">
      <c r="A778" s="2" t="s">
        <v>996</v>
      </c>
      <c r="B778" s="3">
        <v>46512</v>
      </c>
      <c r="C778" s="4" t="s">
        <v>1045</v>
      </c>
      <c r="D778" s="62" t="e">
        <v>#N/A</v>
      </c>
      <c r="E778" s="55" t="e">
        <v>#N/A</v>
      </c>
      <c r="F778" s="55" t="e">
        <v>#N/A</v>
      </c>
      <c r="G778" s="55" t="s">
        <v>2090</v>
      </c>
      <c r="H778" s="55" t="e">
        <v>#N/A</v>
      </c>
      <c r="I778" s="55" t="e">
        <v>#N/A</v>
      </c>
      <c r="J778" s="55" t="e">
        <v>#N/A</v>
      </c>
      <c r="K778" s="55" t="e">
        <v>#N/A</v>
      </c>
    </row>
    <row r="779" spans="1:11" ht="45" hidden="1" x14ac:dyDescent="0.25">
      <c r="A779" s="2" t="s">
        <v>996</v>
      </c>
      <c r="B779" s="3">
        <v>46521</v>
      </c>
      <c r="C779" s="4" t="s">
        <v>1046</v>
      </c>
      <c r="D779" s="62" t="e">
        <v>#N/A</v>
      </c>
      <c r="E779" s="55" t="e">
        <v>#N/A</v>
      </c>
      <c r="F779" s="55" t="e">
        <v>#N/A</v>
      </c>
      <c r="G779" s="55" t="e">
        <v>#N/A</v>
      </c>
      <c r="H779" s="55" t="e">
        <v>#N/A</v>
      </c>
      <c r="I779" s="55" t="e">
        <v>#N/A</v>
      </c>
      <c r="J779" s="55" t="e">
        <v>#N/A</v>
      </c>
      <c r="K779" s="55" t="e">
        <v>#N/A</v>
      </c>
    </row>
    <row r="780" spans="1:11" ht="60" hidden="1" x14ac:dyDescent="0.25">
      <c r="A780" s="2" t="s">
        <v>996</v>
      </c>
      <c r="B780" s="3">
        <v>46522</v>
      </c>
      <c r="C780" s="4" t="s">
        <v>1047</v>
      </c>
      <c r="D780" s="62" t="e">
        <v>#N/A</v>
      </c>
      <c r="E780" s="55" t="e">
        <v>#N/A</v>
      </c>
      <c r="F780" s="55" t="e">
        <v>#N/A</v>
      </c>
      <c r="G780" s="55" t="e">
        <v>#N/A</v>
      </c>
      <c r="H780" s="55" t="e">
        <v>#N/A</v>
      </c>
      <c r="I780" s="55" t="e">
        <v>#N/A</v>
      </c>
      <c r="J780" s="55" t="e">
        <v>#N/A</v>
      </c>
      <c r="K780" s="55" t="e">
        <v>#N/A</v>
      </c>
    </row>
    <row r="781" spans="1:11" ht="45" hidden="1" x14ac:dyDescent="0.25">
      <c r="A781" s="2" t="s">
        <v>996</v>
      </c>
      <c r="B781" s="3">
        <v>46523</v>
      </c>
      <c r="C781" s="4" t="s">
        <v>1048</v>
      </c>
      <c r="D781" s="62" t="e">
        <v>#N/A</v>
      </c>
      <c r="E781" s="55" t="e">
        <v>#N/A</v>
      </c>
      <c r="F781" s="55" t="e">
        <v>#N/A</v>
      </c>
      <c r="G781" s="55" t="s">
        <v>2090</v>
      </c>
      <c r="H781" s="55" t="e">
        <v>#N/A</v>
      </c>
      <c r="I781" s="55" t="e">
        <v>#N/A</v>
      </c>
      <c r="J781" s="55" t="e">
        <v>#N/A</v>
      </c>
      <c r="K781" s="55" t="e">
        <v>#N/A</v>
      </c>
    </row>
    <row r="782" spans="1:11" ht="60" hidden="1" x14ac:dyDescent="0.25">
      <c r="A782" s="2" t="s">
        <v>996</v>
      </c>
      <c r="B782" s="3">
        <v>46530</v>
      </c>
      <c r="C782" s="4" t="s">
        <v>1049</v>
      </c>
      <c r="D782" s="62" t="e">
        <v>#N/A</v>
      </c>
      <c r="E782" s="55" t="e">
        <v>#N/A</v>
      </c>
      <c r="F782" s="55" t="e">
        <v>#N/A</v>
      </c>
      <c r="G782" s="55" t="e">
        <v>#N/A</v>
      </c>
      <c r="H782" s="55" t="e">
        <v>#N/A</v>
      </c>
      <c r="I782" s="55" t="e">
        <v>#N/A</v>
      </c>
      <c r="J782" s="55" t="e">
        <v>#N/A</v>
      </c>
      <c r="K782" s="55" t="e">
        <v>#N/A</v>
      </c>
    </row>
    <row r="783" spans="1:11" ht="60" hidden="1" x14ac:dyDescent="0.25">
      <c r="A783" s="2" t="s">
        <v>996</v>
      </c>
      <c r="B783" s="3">
        <v>46591</v>
      </c>
      <c r="C783" s="4" t="s">
        <v>1050</v>
      </c>
      <c r="D783" s="62" t="e">
        <v>#N/A</v>
      </c>
      <c r="E783" s="55" t="e">
        <v>#N/A</v>
      </c>
      <c r="F783" s="55" t="e">
        <v>#N/A</v>
      </c>
      <c r="G783" s="55" t="e">
        <v>#N/A</v>
      </c>
      <c r="H783" s="55" t="e">
        <v>#N/A</v>
      </c>
      <c r="I783" s="55" t="e">
        <v>#N/A</v>
      </c>
      <c r="J783" s="55" t="e">
        <v>#N/A</v>
      </c>
      <c r="K783" s="55" t="e">
        <v>#N/A</v>
      </c>
    </row>
    <row r="784" spans="1:11" ht="60" hidden="1" x14ac:dyDescent="0.25">
      <c r="A784" s="2" t="s">
        <v>996</v>
      </c>
      <c r="B784" s="3">
        <v>46592</v>
      </c>
      <c r="C784" s="4" t="s">
        <v>1051</v>
      </c>
      <c r="D784" s="62" t="e">
        <v>#N/A</v>
      </c>
      <c r="E784" s="55" t="e">
        <v>#N/A</v>
      </c>
      <c r="F784" s="55" t="e">
        <v>#N/A</v>
      </c>
      <c r="G784" s="55" t="e">
        <v>#N/A</v>
      </c>
      <c r="H784" s="55" t="e">
        <v>#N/A</v>
      </c>
      <c r="I784" s="55" t="e">
        <v>#N/A</v>
      </c>
      <c r="J784" s="55" t="e">
        <v>#N/A</v>
      </c>
      <c r="K784" s="55" t="e">
        <v>#N/A</v>
      </c>
    </row>
    <row r="785" spans="1:11" ht="60" hidden="1" x14ac:dyDescent="0.25">
      <c r="A785" s="2" t="s">
        <v>996</v>
      </c>
      <c r="B785" s="3">
        <v>46593</v>
      </c>
      <c r="C785" s="4" t="s">
        <v>1052</v>
      </c>
      <c r="D785" s="62" t="e">
        <v>#N/A</v>
      </c>
      <c r="E785" s="55" t="e">
        <v>#N/A</v>
      </c>
      <c r="F785" s="55" t="e">
        <v>#N/A</v>
      </c>
      <c r="G785" s="55" t="e">
        <v>#N/A</v>
      </c>
      <c r="H785" s="55" t="e">
        <v>#N/A</v>
      </c>
      <c r="I785" s="55" t="e">
        <v>#N/A</v>
      </c>
      <c r="J785" s="55" t="e">
        <v>#N/A</v>
      </c>
      <c r="K785" s="55" t="e">
        <v>#N/A</v>
      </c>
    </row>
    <row r="786" spans="1:11" ht="75" hidden="1" x14ac:dyDescent="0.25">
      <c r="A786" s="2" t="s">
        <v>996</v>
      </c>
      <c r="B786" s="3">
        <v>46594</v>
      </c>
      <c r="C786" s="4" t="s">
        <v>1053</v>
      </c>
      <c r="D786" s="62" t="e">
        <v>#N/A</v>
      </c>
      <c r="E786" s="55" t="e">
        <v>#N/A</v>
      </c>
      <c r="F786" s="55" t="e">
        <v>#N/A</v>
      </c>
      <c r="G786" s="55" t="e">
        <v>#N/A</v>
      </c>
      <c r="H786" s="55" t="e">
        <v>#N/A</v>
      </c>
      <c r="I786" s="55" t="e">
        <v>#N/A</v>
      </c>
      <c r="J786" s="55" t="e">
        <v>#N/A</v>
      </c>
      <c r="K786" s="55" t="e">
        <v>#N/A</v>
      </c>
    </row>
    <row r="787" spans="1:11" ht="60" hidden="1" x14ac:dyDescent="0.25">
      <c r="A787" s="2" t="s">
        <v>996</v>
      </c>
      <c r="B787" s="3">
        <v>46599</v>
      </c>
      <c r="C787" s="4" t="s">
        <v>1054</v>
      </c>
      <c r="D787" s="62" t="e">
        <v>#N/A</v>
      </c>
      <c r="E787" s="55" t="e">
        <v>#N/A</v>
      </c>
      <c r="F787" s="55" t="e">
        <v>#N/A</v>
      </c>
      <c r="G787" s="55" t="e">
        <v>#N/A</v>
      </c>
      <c r="H787" s="55" t="e">
        <v>#N/A</v>
      </c>
      <c r="I787" s="55" t="e">
        <v>#N/A</v>
      </c>
      <c r="J787" s="55" t="e">
        <v>#N/A</v>
      </c>
      <c r="K787" s="55" t="e">
        <v>#N/A</v>
      </c>
    </row>
    <row r="788" spans="1:11" ht="30" hidden="1" x14ac:dyDescent="0.25">
      <c r="A788" s="2" t="s">
        <v>996</v>
      </c>
      <c r="B788" s="3">
        <v>46611</v>
      </c>
      <c r="C788" s="4" t="s">
        <v>1055</v>
      </c>
      <c r="D788" s="62" t="e">
        <v>#N/A</v>
      </c>
      <c r="E788" s="55" t="e">
        <v>#N/A</v>
      </c>
      <c r="F788" s="55" t="e">
        <v>#N/A</v>
      </c>
      <c r="G788" s="55" t="e">
        <v>#N/A</v>
      </c>
      <c r="H788" s="55" t="e">
        <v>#N/A</v>
      </c>
      <c r="I788" s="55" t="e">
        <v>#N/A</v>
      </c>
      <c r="J788" s="55" t="e">
        <v>#N/A</v>
      </c>
      <c r="K788" s="55" t="e">
        <v>#N/A</v>
      </c>
    </row>
    <row r="789" spans="1:11" ht="30" hidden="1" x14ac:dyDescent="0.25">
      <c r="A789" s="2" t="s">
        <v>996</v>
      </c>
      <c r="B789" s="3">
        <v>46612</v>
      </c>
      <c r="C789" s="4" t="s">
        <v>1056</v>
      </c>
      <c r="D789" s="62" t="e">
        <v>#N/A</v>
      </c>
      <c r="E789" s="55" t="e">
        <v>#N/A</v>
      </c>
      <c r="F789" s="55" t="e">
        <v>#N/A</v>
      </c>
      <c r="G789" s="55" t="e">
        <v>#N/A</v>
      </c>
      <c r="H789" s="55" t="e">
        <v>#N/A</v>
      </c>
      <c r="I789" s="55" t="e">
        <v>#N/A</v>
      </c>
      <c r="J789" s="55" t="e">
        <v>#N/A</v>
      </c>
      <c r="K789" s="55" t="e">
        <v>#N/A</v>
      </c>
    </row>
    <row r="790" spans="1:11" ht="45" hidden="1" x14ac:dyDescent="0.25">
      <c r="A790" s="2" t="s">
        <v>996</v>
      </c>
      <c r="B790" s="3">
        <v>46620</v>
      </c>
      <c r="C790" s="4" t="s">
        <v>1057</v>
      </c>
      <c r="D790" s="62" t="e">
        <v>#N/A</v>
      </c>
      <c r="E790" s="55" t="e">
        <v>#N/A</v>
      </c>
      <c r="F790" s="55" t="e">
        <v>#N/A</v>
      </c>
      <c r="G790" s="55" t="e">
        <v>#N/A</v>
      </c>
      <c r="H790" s="55" t="e">
        <v>#N/A</v>
      </c>
      <c r="I790" s="55" t="e">
        <v>#N/A</v>
      </c>
      <c r="J790" s="55" t="e">
        <v>#N/A</v>
      </c>
      <c r="K790" s="55" t="e">
        <v>#N/A</v>
      </c>
    </row>
    <row r="791" spans="1:11" ht="45" hidden="1" x14ac:dyDescent="0.25">
      <c r="A791" s="2" t="s">
        <v>996</v>
      </c>
      <c r="B791" s="3">
        <v>46631</v>
      </c>
      <c r="C791" s="4" t="s">
        <v>1058</v>
      </c>
      <c r="D791" s="62" t="e">
        <v>#N/A</v>
      </c>
      <c r="E791" s="55" t="e">
        <v>#N/A</v>
      </c>
      <c r="F791" s="55" t="e">
        <v>#N/A</v>
      </c>
      <c r="G791" s="55" t="e">
        <v>#N/A</v>
      </c>
      <c r="H791" s="55" t="e">
        <v>#N/A</v>
      </c>
      <c r="I791" s="55" t="e">
        <v>#N/A</v>
      </c>
      <c r="J791" s="55" t="e">
        <v>#N/A</v>
      </c>
      <c r="K791" s="55" t="e">
        <v>#N/A</v>
      </c>
    </row>
    <row r="792" spans="1:11" ht="45" hidden="1" x14ac:dyDescent="0.25">
      <c r="A792" s="2" t="s">
        <v>996</v>
      </c>
      <c r="B792" s="3">
        <v>46632</v>
      </c>
      <c r="C792" s="4" t="s">
        <v>1059</v>
      </c>
      <c r="D792" s="62" t="e">
        <v>#N/A</v>
      </c>
      <c r="E792" s="55" t="e">
        <v>#N/A</v>
      </c>
      <c r="F792" s="55" t="e">
        <v>#N/A</v>
      </c>
      <c r="G792" s="55" t="e">
        <v>#N/A</v>
      </c>
      <c r="H792" s="55" t="e">
        <v>#N/A</v>
      </c>
      <c r="I792" s="55" t="e">
        <v>#N/A</v>
      </c>
      <c r="J792" s="55" t="e">
        <v>#N/A</v>
      </c>
      <c r="K792" s="55" t="e">
        <v>#N/A</v>
      </c>
    </row>
    <row r="793" spans="1:11" ht="45" hidden="1" x14ac:dyDescent="0.25">
      <c r="A793" s="2" t="s">
        <v>996</v>
      </c>
      <c r="B793" s="3">
        <v>46633</v>
      </c>
      <c r="C793" s="4" t="s">
        <v>1060</v>
      </c>
      <c r="D793" s="62" t="e">
        <v>#N/A</v>
      </c>
      <c r="E793" s="55" t="e">
        <v>#N/A</v>
      </c>
      <c r="F793" s="55" t="e">
        <v>#N/A</v>
      </c>
      <c r="G793" s="55" t="e">
        <v>#N/A</v>
      </c>
      <c r="H793" s="55" t="e">
        <v>#N/A</v>
      </c>
      <c r="I793" s="55" t="e">
        <v>#N/A</v>
      </c>
      <c r="J793" s="55" t="e">
        <v>#N/A</v>
      </c>
      <c r="K793" s="55" t="e">
        <v>#N/A</v>
      </c>
    </row>
    <row r="794" spans="1:11" ht="60" hidden="1" x14ac:dyDescent="0.25">
      <c r="A794" s="2" t="s">
        <v>996</v>
      </c>
      <c r="B794" s="3">
        <v>46710</v>
      </c>
      <c r="C794" s="4" t="s">
        <v>1061</v>
      </c>
      <c r="D794" s="62" t="e">
        <v>#N/A</v>
      </c>
      <c r="E794" s="55" t="e">
        <v>#N/A</v>
      </c>
      <c r="F794" s="55" t="e">
        <v>#N/A</v>
      </c>
      <c r="G794" s="55" t="e">
        <v>#N/A</v>
      </c>
      <c r="H794" s="55" t="e">
        <v>#N/A</v>
      </c>
      <c r="I794" s="55" t="e">
        <v>#N/A</v>
      </c>
      <c r="J794" s="55" t="e">
        <v>#N/A</v>
      </c>
      <c r="K794" s="55" t="e">
        <v>#N/A</v>
      </c>
    </row>
    <row r="795" spans="1:11" ht="45" hidden="1" x14ac:dyDescent="0.25">
      <c r="A795" s="2" t="s">
        <v>996</v>
      </c>
      <c r="B795" s="3">
        <v>46721</v>
      </c>
      <c r="C795" s="4" t="s">
        <v>1062</v>
      </c>
      <c r="D795" s="62" t="e">
        <v>#N/A</v>
      </c>
      <c r="E795" s="55" t="e">
        <v>#N/A</v>
      </c>
      <c r="F795" s="55" t="e">
        <v>#N/A</v>
      </c>
      <c r="G795" s="55" t="e">
        <v>#N/A</v>
      </c>
      <c r="H795" s="55" t="e">
        <v>#N/A</v>
      </c>
      <c r="I795" s="55" t="e">
        <v>#N/A</v>
      </c>
      <c r="J795" s="55" t="e">
        <v>#N/A</v>
      </c>
      <c r="K795" s="55" t="e">
        <v>#N/A</v>
      </c>
    </row>
    <row r="796" spans="1:11" ht="60" hidden="1" x14ac:dyDescent="0.25">
      <c r="A796" s="2" t="s">
        <v>996</v>
      </c>
      <c r="B796" s="3">
        <v>46722</v>
      </c>
      <c r="C796" s="4" t="s">
        <v>1063</v>
      </c>
      <c r="D796" s="62" t="e">
        <v>#N/A</v>
      </c>
      <c r="E796" s="55" t="e">
        <v>#N/A</v>
      </c>
      <c r="F796" s="55" t="e">
        <v>#N/A</v>
      </c>
      <c r="G796" s="55" t="e">
        <v>#N/A</v>
      </c>
      <c r="H796" s="55" t="e">
        <v>#N/A</v>
      </c>
      <c r="I796" s="55" t="e">
        <v>#N/A</v>
      </c>
      <c r="J796" s="55" t="e">
        <v>#N/A</v>
      </c>
      <c r="K796" s="55" t="e">
        <v>#N/A</v>
      </c>
    </row>
    <row r="797" spans="1:11" ht="60" hidden="1" x14ac:dyDescent="0.25">
      <c r="A797" s="2" t="s">
        <v>996</v>
      </c>
      <c r="B797" s="3">
        <v>46731</v>
      </c>
      <c r="C797" s="4" t="s">
        <v>1064</v>
      </c>
      <c r="D797" s="62" t="e">
        <v>#N/A</v>
      </c>
      <c r="E797" s="55" t="e">
        <v>#N/A</v>
      </c>
      <c r="F797" s="55" t="e">
        <v>#N/A</v>
      </c>
      <c r="G797" s="55" t="e">
        <v>#N/A</v>
      </c>
      <c r="H797" s="55" t="e">
        <v>#N/A</v>
      </c>
      <c r="I797" s="55" t="e">
        <v>#N/A</v>
      </c>
      <c r="J797" s="55" t="e">
        <v>#N/A</v>
      </c>
      <c r="K797" s="55" t="e">
        <v>#N/A</v>
      </c>
    </row>
    <row r="798" spans="1:11" ht="45" hidden="1" x14ac:dyDescent="0.25">
      <c r="A798" s="2" t="s">
        <v>996</v>
      </c>
      <c r="B798" s="3">
        <v>46732</v>
      </c>
      <c r="C798" s="4" t="s">
        <v>1065</v>
      </c>
      <c r="D798" s="62" t="e">
        <v>#N/A</v>
      </c>
      <c r="E798" s="55" t="e">
        <v>#N/A</v>
      </c>
      <c r="F798" s="55" t="e">
        <v>#N/A</v>
      </c>
      <c r="G798" s="55" t="e">
        <v>#N/A</v>
      </c>
      <c r="H798" s="55" t="e">
        <v>#N/A</v>
      </c>
      <c r="I798" s="55" t="e">
        <v>#N/A</v>
      </c>
      <c r="J798" s="55" t="e">
        <v>#N/A</v>
      </c>
      <c r="K798" s="55" t="e">
        <v>#N/A</v>
      </c>
    </row>
    <row r="799" spans="1:11" ht="60" hidden="1" x14ac:dyDescent="0.25">
      <c r="A799" s="2" t="s">
        <v>996</v>
      </c>
      <c r="B799" s="3">
        <v>46733</v>
      </c>
      <c r="C799" s="4" t="s">
        <v>1066</v>
      </c>
      <c r="D799" s="62" t="e">
        <v>#N/A</v>
      </c>
      <c r="E799" s="55" t="e">
        <v>#N/A</v>
      </c>
      <c r="F799" s="55" t="e">
        <v>#N/A</v>
      </c>
      <c r="G799" s="55" t="e">
        <v>#N/A</v>
      </c>
      <c r="H799" s="55" t="e">
        <v>#N/A</v>
      </c>
      <c r="I799" s="55" t="e">
        <v>#N/A</v>
      </c>
      <c r="J799" s="55" t="e">
        <v>#N/A</v>
      </c>
      <c r="K799" s="55" t="e">
        <v>#N/A</v>
      </c>
    </row>
    <row r="800" spans="1:11" ht="45" hidden="1" x14ac:dyDescent="0.25">
      <c r="A800" s="2" t="s">
        <v>996</v>
      </c>
      <c r="B800" s="3">
        <v>46734</v>
      </c>
      <c r="C800" s="4" t="s">
        <v>1067</v>
      </c>
      <c r="D800" s="62" t="e">
        <v>#N/A</v>
      </c>
      <c r="E800" s="55" t="e">
        <v>#N/A</v>
      </c>
      <c r="F800" s="55" t="e">
        <v>#N/A</v>
      </c>
      <c r="G800" s="55" t="e">
        <v>#N/A</v>
      </c>
      <c r="H800" s="55" t="e">
        <v>#N/A</v>
      </c>
      <c r="I800" s="55" t="e">
        <v>#N/A</v>
      </c>
      <c r="J800" s="55" t="e">
        <v>#N/A</v>
      </c>
      <c r="K800" s="55" t="e">
        <v>#N/A</v>
      </c>
    </row>
    <row r="801" spans="1:11" ht="60" hidden="1" x14ac:dyDescent="0.25">
      <c r="A801" s="2" t="s">
        <v>996</v>
      </c>
      <c r="B801" s="3">
        <v>46735</v>
      </c>
      <c r="C801" s="4" t="s">
        <v>1068</v>
      </c>
      <c r="D801" s="62" t="e">
        <v>#N/A</v>
      </c>
      <c r="E801" s="55" t="e">
        <v>#N/A</v>
      </c>
      <c r="F801" s="55" t="e">
        <v>#N/A</v>
      </c>
      <c r="G801" s="55" t="e">
        <v>#N/A</v>
      </c>
      <c r="H801" s="55" t="e">
        <v>#N/A</v>
      </c>
      <c r="I801" s="55" t="e">
        <v>#N/A</v>
      </c>
      <c r="J801" s="55" t="e">
        <v>#N/A</v>
      </c>
      <c r="K801" s="55" t="e">
        <v>#N/A</v>
      </c>
    </row>
    <row r="802" spans="1:11" hidden="1" x14ac:dyDescent="0.25">
      <c r="A802" s="2" t="s">
        <v>996</v>
      </c>
      <c r="B802" s="3">
        <v>46736</v>
      </c>
      <c r="C802" s="4" t="s">
        <v>1069</v>
      </c>
      <c r="D802" s="62" t="e">
        <v>#N/A</v>
      </c>
      <c r="E802" s="55" t="e">
        <v>#N/A</v>
      </c>
      <c r="F802" s="55" t="e">
        <v>#N/A</v>
      </c>
      <c r="G802" s="55" t="e">
        <v>#N/A</v>
      </c>
      <c r="H802" s="55" t="e">
        <v>#N/A</v>
      </c>
      <c r="I802" s="55" t="e">
        <v>#N/A</v>
      </c>
      <c r="J802" s="55" t="e">
        <v>#N/A</v>
      </c>
      <c r="K802" s="55" t="e">
        <v>#N/A</v>
      </c>
    </row>
    <row r="803" spans="1:11" ht="30" hidden="1" x14ac:dyDescent="0.25">
      <c r="A803" s="2" t="s">
        <v>996</v>
      </c>
      <c r="B803" s="3">
        <v>46737</v>
      </c>
      <c r="C803" s="4" t="s">
        <v>1070</v>
      </c>
      <c r="D803" s="62" t="e">
        <v>#N/A</v>
      </c>
      <c r="E803" s="55" t="e">
        <v>#N/A</v>
      </c>
      <c r="F803" s="55" t="e">
        <v>#N/A</v>
      </c>
      <c r="G803" s="55" t="e">
        <v>#N/A</v>
      </c>
      <c r="H803" s="55" t="e">
        <v>#N/A</v>
      </c>
      <c r="I803" s="55" t="e">
        <v>#N/A</v>
      </c>
      <c r="J803" s="55" t="e">
        <v>#N/A</v>
      </c>
      <c r="K803" s="55" t="e">
        <v>#N/A</v>
      </c>
    </row>
    <row r="804" spans="1:11" ht="60" hidden="1" x14ac:dyDescent="0.25">
      <c r="A804" s="2" t="s">
        <v>996</v>
      </c>
      <c r="B804" s="3">
        <v>46738</v>
      </c>
      <c r="C804" s="4" t="s">
        <v>1071</v>
      </c>
      <c r="D804" s="62" t="e">
        <v>#N/A</v>
      </c>
      <c r="E804" s="55" t="e">
        <v>#N/A</v>
      </c>
      <c r="F804" s="55" t="e">
        <v>#N/A</v>
      </c>
      <c r="G804" s="55" t="e">
        <v>#N/A</v>
      </c>
      <c r="H804" s="55" t="e">
        <v>#N/A</v>
      </c>
      <c r="I804" s="55" t="e">
        <v>#N/A</v>
      </c>
      <c r="J804" s="55" t="e">
        <v>#N/A</v>
      </c>
      <c r="K804" s="55" t="e">
        <v>#N/A</v>
      </c>
    </row>
    <row r="805" spans="1:11" ht="60" hidden="1" x14ac:dyDescent="0.25">
      <c r="A805" s="2" t="s">
        <v>996</v>
      </c>
      <c r="B805" s="3">
        <v>46739</v>
      </c>
      <c r="C805" s="4" t="s">
        <v>1072</v>
      </c>
      <c r="D805" s="62" t="e">
        <v>#N/A</v>
      </c>
      <c r="E805" s="55" t="e">
        <v>#N/A</v>
      </c>
      <c r="F805" s="55" t="e">
        <v>#N/A</v>
      </c>
      <c r="G805" s="55" t="e">
        <v>#N/A</v>
      </c>
      <c r="H805" s="55" t="e">
        <v>#N/A</v>
      </c>
      <c r="I805" s="55" t="e">
        <v>#N/A</v>
      </c>
      <c r="J805" s="55" t="e">
        <v>#N/A</v>
      </c>
      <c r="K805" s="55" t="e">
        <v>#N/A</v>
      </c>
    </row>
    <row r="806" spans="1:11" ht="45" hidden="1" x14ac:dyDescent="0.25">
      <c r="A806" s="2" t="s">
        <v>996</v>
      </c>
      <c r="B806" s="3">
        <v>46741</v>
      </c>
      <c r="C806" s="4" t="s">
        <v>1073</v>
      </c>
      <c r="D806" s="62" t="e">
        <v>#N/A</v>
      </c>
      <c r="E806" s="55" t="e">
        <v>#N/A</v>
      </c>
      <c r="F806" s="55" t="e">
        <v>#N/A</v>
      </c>
      <c r="G806" s="55" t="e">
        <v>#N/A</v>
      </c>
      <c r="H806" s="55" t="e">
        <v>#N/A</v>
      </c>
      <c r="I806" s="55" t="e">
        <v>#N/A</v>
      </c>
      <c r="J806" s="55" t="e">
        <v>#N/A</v>
      </c>
      <c r="K806" s="55" t="e">
        <v>#N/A</v>
      </c>
    </row>
    <row r="807" spans="1:11" ht="45" hidden="1" x14ac:dyDescent="0.25">
      <c r="A807" s="2" t="s">
        <v>996</v>
      </c>
      <c r="B807" s="3">
        <v>46742</v>
      </c>
      <c r="C807" s="4" t="s">
        <v>1074</v>
      </c>
      <c r="D807" s="62" t="e">
        <v>#N/A</v>
      </c>
      <c r="E807" s="55" t="e">
        <v>#N/A</v>
      </c>
      <c r="F807" s="55" t="e">
        <v>#N/A</v>
      </c>
      <c r="G807" s="55" t="e">
        <v>#N/A</v>
      </c>
      <c r="H807" s="55" t="e">
        <v>#N/A</v>
      </c>
      <c r="I807" s="55" t="e">
        <v>#N/A</v>
      </c>
      <c r="J807" s="55" t="e">
        <v>#N/A</v>
      </c>
      <c r="K807" s="55" t="e">
        <v>#N/A</v>
      </c>
    </row>
    <row r="808" spans="1:11" ht="60" hidden="1" x14ac:dyDescent="0.25">
      <c r="A808" s="2" t="s">
        <v>996</v>
      </c>
      <c r="B808" s="3">
        <v>46743</v>
      </c>
      <c r="C808" s="4" t="s">
        <v>1075</v>
      </c>
      <c r="D808" s="62" t="e">
        <v>#N/A</v>
      </c>
      <c r="E808" s="55" t="e">
        <v>#N/A</v>
      </c>
      <c r="F808" s="55" t="e">
        <v>#N/A</v>
      </c>
      <c r="G808" s="55" t="e">
        <v>#N/A</v>
      </c>
      <c r="H808" s="55" t="e">
        <v>#N/A</v>
      </c>
      <c r="I808" s="55" t="e">
        <v>#N/A</v>
      </c>
      <c r="J808" s="55" t="e">
        <v>#N/A</v>
      </c>
      <c r="K808" s="55" t="e">
        <v>#N/A</v>
      </c>
    </row>
    <row r="809" spans="1:11" ht="45" hidden="1" x14ac:dyDescent="0.25">
      <c r="A809" s="2" t="s">
        <v>996</v>
      </c>
      <c r="B809" s="3">
        <v>46751</v>
      </c>
      <c r="C809" s="4" t="s">
        <v>1076</v>
      </c>
      <c r="D809" s="62" t="e">
        <v>#N/A</v>
      </c>
      <c r="E809" s="55" t="e">
        <v>#N/A</v>
      </c>
      <c r="F809" s="55" t="e">
        <v>#N/A</v>
      </c>
      <c r="G809" s="55" t="e">
        <v>#N/A</v>
      </c>
      <c r="H809" s="55" t="e">
        <v>#N/A</v>
      </c>
      <c r="I809" s="55" t="e">
        <v>#N/A</v>
      </c>
      <c r="J809" s="55" t="e">
        <v>#N/A</v>
      </c>
      <c r="K809" s="55" t="e">
        <v>#N/A</v>
      </c>
    </row>
    <row r="810" spans="1:11" ht="45" hidden="1" x14ac:dyDescent="0.25">
      <c r="A810" s="2" t="s">
        <v>996</v>
      </c>
      <c r="B810" s="3">
        <v>46752</v>
      </c>
      <c r="C810" s="4" t="s">
        <v>1077</v>
      </c>
      <c r="D810" s="62" t="e">
        <v>#N/A</v>
      </c>
      <c r="E810" s="55" t="e">
        <v>#N/A</v>
      </c>
      <c r="F810" s="55" t="e">
        <v>#N/A</v>
      </c>
      <c r="G810" s="55" t="e">
        <v>#N/A</v>
      </c>
      <c r="H810" s="55" t="e">
        <v>#N/A</v>
      </c>
      <c r="I810" s="55" t="e">
        <v>#N/A</v>
      </c>
      <c r="J810" s="55" t="e">
        <v>#N/A</v>
      </c>
      <c r="K810" s="55" t="e">
        <v>#N/A</v>
      </c>
    </row>
    <row r="811" spans="1:11" ht="45" hidden="1" x14ac:dyDescent="0.25">
      <c r="A811" s="2" t="s">
        <v>996</v>
      </c>
      <c r="B811" s="3">
        <v>46753</v>
      </c>
      <c r="C811" s="4" t="s">
        <v>1078</v>
      </c>
      <c r="D811" s="62" t="e">
        <v>#N/A</v>
      </c>
      <c r="E811" s="55" t="e">
        <v>#N/A</v>
      </c>
      <c r="F811" s="55" t="e">
        <v>#N/A</v>
      </c>
      <c r="G811" s="55" t="e">
        <v>#N/A</v>
      </c>
      <c r="H811" s="55" t="e">
        <v>#N/A</v>
      </c>
      <c r="I811" s="55" t="e">
        <v>#N/A</v>
      </c>
      <c r="J811" s="55" t="e">
        <v>#N/A</v>
      </c>
      <c r="K811" s="55" t="e">
        <v>#N/A</v>
      </c>
    </row>
    <row r="812" spans="1:11" ht="75" hidden="1" x14ac:dyDescent="0.25">
      <c r="A812" s="2" t="s">
        <v>996</v>
      </c>
      <c r="B812" s="3">
        <v>46791</v>
      </c>
      <c r="C812" s="4" t="s">
        <v>1079</v>
      </c>
      <c r="D812" s="62" t="e">
        <v>#N/A</v>
      </c>
      <c r="E812" s="55" t="e">
        <v>#N/A</v>
      </c>
      <c r="F812" s="55" t="e">
        <v>#N/A</v>
      </c>
      <c r="G812" s="55" t="e">
        <v>#N/A</v>
      </c>
      <c r="H812" s="55" t="e">
        <v>#N/A</v>
      </c>
      <c r="I812" s="55" t="e">
        <v>#N/A</v>
      </c>
      <c r="J812" s="55" t="e">
        <v>#N/A</v>
      </c>
      <c r="K812" s="55" t="e">
        <v>#N/A</v>
      </c>
    </row>
    <row r="813" spans="1:11" ht="60" hidden="1" x14ac:dyDescent="0.25">
      <c r="A813" s="2" t="s">
        <v>996</v>
      </c>
      <c r="B813" s="3">
        <v>46792</v>
      </c>
      <c r="C813" s="4" t="s">
        <v>1080</v>
      </c>
      <c r="D813" s="62" t="e">
        <v>#N/A</v>
      </c>
      <c r="E813" s="55" t="e">
        <v>#N/A</v>
      </c>
      <c r="F813" s="55" t="e">
        <v>#N/A</v>
      </c>
      <c r="G813" s="55" t="e">
        <v>#N/A</v>
      </c>
      <c r="H813" s="55" t="e">
        <v>#N/A</v>
      </c>
      <c r="I813" s="55" t="e">
        <v>#N/A</v>
      </c>
      <c r="J813" s="55" t="e">
        <v>#N/A</v>
      </c>
      <c r="K813" s="55" t="e">
        <v>#N/A</v>
      </c>
    </row>
    <row r="814" spans="1:11" ht="60" hidden="1" x14ac:dyDescent="0.25">
      <c r="A814" s="2" t="s">
        <v>996</v>
      </c>
      <c r="B814" s="3">
        <v>46793</v>
      </c>
      <c r="C814" s="4" t="s">
        <v>1081</v>
      </c>
      <c r="D814" s="62" t="e">
        <v>#N/A</v>
      </c>
      <c r="E814" s="55" t="e">
        <v>#N/A</v>
      </c>
      <c r="F814" s="55" t="e">
        <v>#N/A</v>
      </c>
      <c r="G814" s="55" t="e">
        <v>#N/A</v>
      </c>
      <c r="H814" s="55" t="e">
        <v>#N/A</v>
      </c>
      <c r="I814" s="55" t="e">
        <v>#N/A</v>
      </c>
      <c r="J814" s="55" t="e">
        <v>#N/A</v>
      </c>
      <c r="K814" s="55" t="e">
        <v>#N/A</v>
      </c>
    </row>
    <row r="815" spans="1:11" ht="45" hidden="1" x14ac:dyDescent="0.25">
      <c r="A815" s="2" t="s">
        <v>996</v>
      </c>
      <c r="B815" s="3">
        <v>46794</v>
      </c>
      <c r="C815" s="4" t="s">
        <v>1082</v>
      </c>
      <c r="D815" s="62" t="e">
        <v>#N/A</v>
      </c>
      <c r="E815" s="55" t="e">
        <v>#N/A</v>
      </c>
      <c r="F815" s="55" t="e">
        <v>#N/A</v>
      </c>
      <c r="G815" s="55" t="e">
        <v>#N/A</v>
      </c>
      <c r="H815" s="55" t="e">
        <v>#N/A</v>
      </c>
      <c r="I815" s="55" t="e">
        <v>#N/A</v>
      </c>
      <c r="J815" s="55" t="e">
        <v>#N/A</v>
      </c>
      <c r="K815" s="55" t="e">
        <v>#N/A</v>
      </c>
    </row>
    <row r="816" spans="1:11" ht="45" hidden="1" x14ac:dyDescent="0.25">
      <c r="A816" s="2" t="s">
        <v>996</v>
      </c>
      <c r="B816" s="3">
        <v>46795</v>
      </c>
      <c r="C816" s="4" t="s">
        <v>1083</v>
      </c>
      <c r="D816" s="62" t="e">
        <v>#N/A</v>
      </c>
      <c r="E816" s="55" t="e">
        <v>#N/A</v>
      </c>
      <c r="F816" s="55" t="e">
        <v>#N/A</v>
      </c>
      <c r="G816" s="55" t="e">
        <v>#N/A</v>
      </c>
      <c r="H816" s="55" t="e">
        <v>#N/A</v>
      </c>
      <c r="I816" s="55" t="e">
        <v>#N/A</v>
      </c>
      <c r="J816" s="55" t="e">
        <v>#N/A</v>
      </c>
      <c r="K816" s="55" t="e">
        <v>#N/A</v>
      </c>
    </row>
    <row r="817" spans="1:11" ht="45" hidden="1" x14ac:dyDescent="0.25">
      <c r="A817" s="2" t="s">
        <v>996</v>
      </c>
      <c r="B817" s="3">
        <v>46796</v>
      </c>
      <c r="C817" s="4" t="s">
        <v>1084</v>
      </c>
      <c r="D817" s="62" t="e">
        <v>#N/A</v>
      </c>
      <c r="E817" s="55" t="e">
        <v>#N/A</v>
      </c>
      <c r="F817" s="55" t="e">
        <v>#N/A</v>
      </c>
      <c r="G817" s="55" t="e">
        <v>#N/A</v>
      </c>
      <c r="H817" s="55" t="e">
        <v>#N/A</v>
      </c>
      <c r="I817" s="55" t="e">
        <v>#N/A</v>
      </c>
      <c r="J817" s="55" t="e">
        <v>#N/A</v>
      </c>
      <c r="K817" s="55" t="e">
        <v>#N/A</v>
      </c>
    </row>
    <row r="818" spans="1:11" ht="45" hidden="1" x14ac:dyDescent="0.25">
      <c r="A818" s="2" t="s">
        <v>996</v>
      </c>
      <c r="B818" s="3">
        <v>46799</v>
      </c>
      <c r="C818" s="4" t="s">
        <v>1085</v>
      </c>
      <c r="D818" s="62" t="e">
        <v>#N/A</v>
      </c>
      <c r="E818" s="55" t="e">
        <v>#N/A</v>
      </c>
      <c r="F818" s="55" t="e">
        <v>#N/A</v>
      </c>
      <c r="G818" s="55" t="e">
        <v>#N/A</v>
      </c>
      <c r="H818" s="55" t="e">
        <v>#N/A</v>
      </c>
      <c r="I818" s="55" t="e">
        <v>#N/A</v>
      </c>
      <c r="J818" s="55" t="e">
        <v>#N/A</v>
      </c>
      <c r="K818" s="55" t="e">
        <v>#N/A</v>
      </c>
    </row>
    <row r="819" spans="1:11" ht="45" hidden="1" x14ac:dyDescent="0.25">
      <c r="A819" s="2" t="s">
        <v>996</v>
      </c>
      <c r="B819" s="3">
        <v>46901</v>
      </c>
      <c r="C819" s="4" t="s">
        <v>1086</v>
      </c>
      <c r="D819" s="62" t="e">
        <v>#N/A</v>
      </c>
      <c r="E819" s="55" t="e">
        <v>#N/A</v>
      </c>
      <c r="F819" s="55" t="e">
        <v>#N/A</v>
      </c>
      <c r="G819" s="55" t="e">
        <v>#N/A</v>
      </c>
      <c r="H819" s="55" t="e">
        <v>#N/A</v>
      </c>
      <c r="I819" s="55" t="e">
        <v>#N/A</v>
      </c>
      <c r="J819" s="55" t="e">
        <v>#N/A</v>
      </c>
      <c r="K819" s="55" t="e">
        <v>#N/A</v>
      </c>
    </row>
    <row r="820" spans="1:11" ht="60" hidden="1" x14ac:dyDescent="0.25">
      <c r="A820" s="2" t="s">
        <v>996</v>
      </c>
      <c r="B820" s="3">
        <v>46902</v>
      </c>
      <c r="C820" s="4" t="s">
        <v>1087</v>
      </c>
      <c r="D820" s="62" t="e">
        <v>#N/A</v>
      </c>
      <c r="E820" s="55" t="e">
        <v>#N/A</v>
      </c>
      <c r="F820" s="55" t="e">
        <v>#N/A</v>
      </c>
      <c r="G820" s="55" t="e">
        <v>#N/A</v>
      </c>
      <c r="H820" s="55" t="e">
        <v>#N/A</v>
      </c>
      <c r="I820" s="55" t="e">
        <v>#N/A</v>
      </c>
      <c r="J820" s="55" t="e">
        <v>#N/A</v>
      </c>
      <c r="K820" s="55" t="e">
        <v>#N/A</v>
      </c>
    </row>
    <row r="821" spans="1:11" ht="60" hidden="1" x14ac:dyDescent="0.25">
      <c r="A821" s="2" t="s">
        <v>996</v>
      </c>
      <c r="B821" s="3">
        <v>47111</v>
      </c>
      <c r="C821" s="4" t="s">
        <v>1088</v>
      </c>
      <c r="D821" s="62" t="e">
        <v>#N/A</v>
      </c>
      <c r="E821" s="55" t="e">
        <v>#N/A</v>
      </c>
      <c r="F821" s="55" t="e">
        <v>#N/A</v>
      </c>
      <c r="G821" s="55" t="e">
        <v>#N/A</v>
      </c>
      <c r="H821" s="55" t="e">
        <v>#N/A</v>
      </c>
      <c r="I821" s="55" t="e">
        <v>#N/A</v>
      </c>
      <c r="J821" s="55" t="e">
        <v>#N/A</v>
      </c>
      <c r="K821" s="55" t="e">
        <v>#N/A</v>
      </c>
    </row>
    <row r="822" spans="1:11" ht="60" hidden="1" x14ac:dyDescent="0.25">
      <c r="A822" s="2" t="s">
        <v>996</v>
      </c>
      <c r="B822" s="3">
        <v>47112</v>
      </c>
      <c r="C822" s="4" t="s">
        <v>1088</v>
      </c>
      <c r="D822" s="62" t="e">
        <v>#N/A</v>
      </c>
      <c r="E822" s="55" t="e">
        <v>#N/A</v>
      </c>
      <c r="F822" s="55" t="e">
        <v>#N/A</v>
      </c>
      <c r="G822" s="55" t="e">
        <v>#N/A</v>
      </c>
      <c r="H822" s="55" t="e">
        <v>#N/A</v>
      </c>
      <c r="I822" s="55" t="e">
        <v>#N/A</v>
      </c>
      <c r="J822" s="55" t="e">
        <v>#N/A</v>
      </c>
      <c r="K822" s="55" t="e">
        <v>#N/A</v>
      </c>
    </row>
    <row r="823" spans="1:11" ht="60" hidden="1" x14ac:dyDescent="0.25">
      <c r="A823" s="2" t="s">
        <v>996</v>
      </c>
      <c r="B823" s="3">
        <v>47191</v>
      </c>
      <c r="C823" s="4" t="s">
        <v>1088</v>
      </c>
      <c r="D823" s="62" t="e">
        <v>#N/A</v>
      </c>
      <c r="E823" s="55" t="e">
        <v>#N/A</v>
      </c>
      <c r="F823" s="55" t="e">
        <v>#N/A</v>
      </c>
      <c r="G823" s="55" t="e">
        <v>#N/A</v>
      </c>
      <c r="H823" s="55" t="e">
        <v>#N/A</v>
      </c>
      <c r="I823" s="55" t="e">
        <v>#N/A</v>
      </c>
      <c r="J823" s="55" t="e">
        <v>#N/A</v>
      </c>
      <c r="K823" s="55" t="e">
        <v>#N/A</v>
      </c>
    </row>
    <row r="824" spans="1:11" ht="60" hidden="1" x14ac:dyDescent="0.25">
      <c r="A824" s="2" t="s">
        <v>996</v>
      </c>
      <c r="B824" s="3">
        <v>47192</v>
      </c>
      <c r="C824" s="4" t="s">
        <v>1088</v>
      </c>
      <c r="D824" s="62" t="e">
        <v>#N/A</v>
      </c>
      <c r="E824" s="55" t="e">
        <v>#N/A</v>
      </c>
      <c r="F824" s="55" t="e">
        <v>#N/A</v>
      </c>
      <c r="G824" s="55" t="e">
        <v>#N/A</v>
      </c>
      <c r="H824" s="55" t="e">
        <v>#N/A</v>
      </c>
      <c r="I824" s="55" t="e">
        <v>#N/A</v>
      </c>
      <c r="J824" s="55" t="e">
        <v>#N/A</v>
      </c>
      <c r="K824" s="55" t="e">
        <v>#N/A</v>
      </c>
    </row>
    <row r="825" spans="1:11" ht="45" hidden="1" x14ac:dyDescent="0.25">
      <c r="A825" s="2" t="s">
        <v>996</v>
      </c>
      <c r="B825" s="3">
        <v>47211</v>
      </c>
      <c r="C825" s="4" t="s">
        <v>1089</v>
      </c>
      <c r="D825" s="62" t="e">
        <v>#N/A</v>
      </c>
      <c r="E825" s="55" t="e">
        <v>#N/A</v>
      </c>
      <c r="F825" s="55" t="e">
        <v>#N/A</v>
      </c>
      <c r="G825" s="55" t="e">
        <v>#N/A</v>
      </c>
      <c r="H825" s="55" t="e">
        <v>#N/A</v>
      </c>
      <c r="I825" s="55" t="e">
        <v>#N/A</v>
      </c>
      <c r="J825" s="55" t="e">
        <v>#N/A</v>
      </c>
      <c r="K825" s="55" t="e">
        <v>#N/A</v>
      </c>
    </row>
    <row r="826" spans="1:11" ht="45" hidden="1" x14ac:dyDescent="0.25">
      <c r="A826" s="2" t="s">
        <v>996</v>
      </c>
      <c r="B826" s="3">
        <v>47212</v>
      </c>
      <c r="C826" s="4" t="s">
        <v>1090</v>
      </c>
      <c r="D826" s="62" t="e">
        <v>#N/A</v>
      </c>
      <c r="E826" s="55" t="e">
        <v>#N/A</v>
      </c>
      <c r="F826" s="55" t="e">
        <v>#N/A</v>
      </c>
      <c r="G826" s="55" t="e">
        <v>#N/A</v>
      </c>
      <c r="H826" s="55" t="e">
        <v>#N/A</v>
      </c>
      <c r="I826" s="55" t="e">
        <v>#N/A</v>
      </c>
      <c r="J826" s="55" t="e">
        <v>#N/A</v>
      </c>
      <c r="K826" s="55" t="e">
        <v>#N/A</v>
      </c>
    </row>
    <row r="827" spans="1:11" ht="30" hidden="1" x14ac:dyDescent="0.25">
      <c r="A827" s="2" t="s">
        <v>996</v>
      </c>
      <c r="B827" s="3">
        <v>47213</v>
      </c>
      <c r="C827" s="4" t="s">
        <v>1091</v>
      </c>
      <c r="D827" s="62" t="e">
        <v>#N/A</v>
      </c>
      <c r="E827" s="55" t="e">
        <v>#N/A</v>
      </c>
      <c r="F827" s="55" t="e">
        <v>#N/A</v>
      </c>
      <c r="G827" s="55" t="e">
        <v>#N/A</v>
      </c>
      <c r="H827" s="55" t="e">
        <v>#N/A</v>
      </c>
      <c r="I827" s="55" t="e">
        <v>#N/A</v>
      </c>
      <c r="J827" s="55" t="e">
        <v>#N/A</v>
      </c>
      <c r="K827" s="55" t="e">
        <v>#N/A</v>
      </c>
    </row>
    <row r="828" spans="1:11" ht="45" hidden="1" x14ac:dyDescent="0.25">
      <c r="A828" s="2" t="s">
        <v>996</v>
      </c>
      <c r="B828" s="3">
        <v>47214</v>
      </c>
      <c r="C828" s="4" t="s">
        <v>1092</v>
      </c>
      <c r="D828" s="62" t="e">
        <v>#N/A</v>
      </c>
      <c r="E828" s="55" t="e">
        <v>#N/A</v>
      </c>
      <c r="F828" s="55" t="e">
        <v>#N/A</v>
      </c>
      <c r="G828" s="55" t="e">
        <v>#N/A</v>
      </c>
      <c r="H828" s="55" t="e">
        <v>#N/A</v>
      </c>
      <c r="I828" s="55" t="e">
        <v>#N/A</v>
      </c>
      <c r="J828" s="55" t="e">
        <v>#N/A</v>
      </c>
      <c r="K828" s="55" t="e">
        <v>#N/A</v>
      </c>
    </row>
    <row r="829" spans="1:11" ht="45" hidden="1" x14ac:dyDescent="0.25">
      <c r="A829" s="2" t="s">
        <v>996</v>
      </c>
      <c r="B829" s="3">
        <v>47215</v>
      </c>
      <c r="C829" s="4" t="s">
        <v>1093</v>
      </c>
      <c r="D829" s="62" t="e">
        <v>#N/A</v>
      </c>
      <c r="E829" s="55" t="e">
        <v>#N/A</v>
      </c>
      <c r="F829" s="55" t="e">
        <v>#N/A</v>
      </c>
      <c r="G829" s="55" t="e">
        <v>#N/A</v>
      </c>
      <c r="H829" s="55" t="e">
        <v>#N/A</v>
      </c>
      <c r="I829" s="55" t="e">
        <v>#N/A</v>
      </c>
      <c r="J829" s="55" t="e">
        <v>#N/A</v>
      </c>
      <c r="K829" s="55" t="e">
        <v>#N/A</v>
      </c>
    </row>
    <row r="830" spans="1:11" ht="60" hidden="1" x14ac:dyDescent="0.25">
      <c r="A830" s="2" t="s">
        <v>996</v>
      </c>
      <c r="B830" s="3">
        <v>47216</v>
      </c>
      <c r="C830" s="4" t="s">
        <v>1094</v>
      </c>
      <c r="D830" s="62" t="e">
        <v>#N/A</v>
      </c>
      <c r="E830" s="55" t="e">
        <v>#N/A</v>
      </c>
      <c r="F830" s="55" t="e">
        <v>#N/A</v>
      </c>
      <c r="G830" s="55" t="e">
        <v>#N/A</v>
      </c>
      <c r="H830" s="55" t="e">
        <v>#N/A</v>
      </c>
      <c r="I830" s="55" t="e">
        <v>#N/A</v>
      </c>
      <c r="J830" s="55" t="e">
        <v>#N/A</v>
      </c>
      <c r="K830" s="55" t="e">
        <v>#N/A</v>
      </c>
    </row>
    <row r="831" spans="1:11" ht="45" hidden="1" x14ac:dyDescent="0.25">
      <c r="A831" s="2" t="s">
        <v>996</v>
      </c>
      <c r="B831" s="3">
        <v>47219</v>
      </c>
      <c r="C831" s="4" t="s">
        <v>1095</v>
      </c>
      <c r="D831" s="62" t="e">
        <v>#N/A</v>
      </c>
      <c r="E831" s="55" t="e">
        <v>#N/A</v>
      </c>
      <c r="F831" s="55" t="e">
        <v>#N/A</v>
      </c>
      <c r="G831" s="55" t="e">
        <v>#N/A</v>
      </c>
      <c r="H831" s="55" t="e">
        <v>#N/A</v>
      </c>
      <c r="I831" s="55" t="e">
        <v>#N/A</v>
      </c>
      <c r="J831" s="55" t="e">
        <v>#N/A</v>
      </c>
      <c r="K831" s="55" t="e">
        <v>#N/A</v>
      </c>
    </row>
    <row r="832" spans="1:11" ht="45" hidden="1" x14ac:dyDescent="0.25">
      <c r="A832" s="2" t="s">
        <v>996</v>
      </c>
      <c r="B832" s="3">
        <v>47221</v>
      </c>
      <c r="C832" s="4" t="s">
        <v>1096</v>
      </c>
      <c r="D832" s="62" t="e">
        <v>#N/A</v>
      </c>
      <c r="E832" s="55" t="e">
        <v>#N/A</v>
      </c>
      <c r="F832" s="55" t="e">
        <v>#N/A</v>
      </c>
      <c r="G832" s="55" t="e">
        <v>#N/A</v>
      </c>
      <c r="H832" s="55" t="e">
        <v>#N/A</v>
      </c>
      <c r="I832" s="55" t="e">
        <v>#N/A</v>
      </c>
      <c r="J832" s="55" t="e">
        <v>#N/A</v>
      </c>
      <c r="K832" s="55" t="e">
        <v>#N/A</v>
      </c>
    </row>
    <row r="833" spans="1:11" ht="45" hidden="1" x14ac:dyDescent="0.25">
      <c r="A833" s="2" t="s">
        <v>996</v>
      </c>
      <c r="B833" s="3">
        <v>47222</v>
      </c>
      <c r="C833" s="4" t="s">
        <v>1097</v>
      </c>
      <c r="D833" s="62" t="e">
        <v>#N/A</v>
      </c>
      <c r="E833" s="55" t="e">
        <v>#N/A</v>
      </c>
      <c r="F833" s="55" t="e">
        <v>#N/A</v>
      </c>
      <c r="G833" s="55" t="e">
        <v>#N/A</v>
      </c>
      <c r="H833" s="55" t="e">
        <v>#N/A</v>
      </c>
      <c r="I833" s="55" t="e">
        <v>#N/A</v>
      </c>
      <c r="J833" s="55" t="e">
        <v>#N/A</v>
      </c>
      <c r="K833" s="55" t="e">
        <v>#N/A</v>
      </c>
    </row>
    <row r="834" spans="1:11" ht="45" hidden="1" x14ac:dyDescent="0.25">
      <c r="A834" s="2" t="s">
        <v>996</v>
      </c>
      <c r="B834" s="3">
        <v>47230</v>
      </c>
      <c r="C834" s="4" t="s">
        <v>1098</v>
      </c>
      <c r="D834" s="62" t="e">
        <v>#N/A</v>
      </c>
      <c r="E834" s="55" t="e">
        <v>#N/A</v>
      </c>
      <c r="F834" s="55" t="e">
        <v>#N/A</v>
      </c>
      <c r="G834" s="55" t="e">
        <v>#N/A</v>
      </c>
      <c r="H834" s="55" t="e">
        <v>#N/A</v>
      </c>
      <c r="I834" s="55" t="e">
        <v>#N/A</v>
      </c>
      <c r="J834" s="55" t="e">
        <v>#N/A</v>
      </c>
      <c r="K834" s="55" t="e">
        <v>#N/A</v>
      </c>
    </row>
    <row r="835" spans="1:11" ht="30" hidden="1" x14ac:dyDescent="0.25">
      <c r="A835" s="2" t="s">
        <v>996</v>
      </c>
      <c r="B835" s="3">
        <v>47241</v>
      </c>
      <c r="C835" s="4" t="s">
        <v>1099</v>
      </c>
      <c r="D835" s="62" t="e">
        <v>#N/A</v>
      </c>
      <c r="E835" s="55" t="e">
        <v>#N/A</v>
      </c>
      <c r="F835" s="55" t="e">
        <v>#N/A</v>
      </c>
      <c r="G835" s="55" t="e">
        <v>#N/A</v>
      </c>
      <c r="H835" s="55" t="e">
        <v>#N/A</v>
      </c>
      <c r="I835" s="55" t="e">
        <v>#N/A</v>
      </c>
      <c r="J835" s="55" t="e">
        <v>#N/A</v>
      </c>
      <c r="K835" s="55" t="e">
        <v>#N/A</v>
      </c>
    </row>
    <row r="836" spans="1:11" ht="60" hidden="1" x14ac:dyDescent="0.25">
      <c r="A836" s="2" t="s">
        <v>996</v>
      </c>
      <c r="B836" s="3">
        <v>47242</v>
      </c>
      <c r="C836" s="4" t="s">
        <v>1100</v>
      </c>
      <c r="D836" s="62" t="e">
        <v>#N/A</v>
      </c>
      <c r="E836" s="55" t="e">
        <v>#N/A</v>
      </c>
      <c r="F836" s="55" t="e">
        <v>#N/A</v>
      </c>
      <c r="G836" s="55" t="e">
        <v>#N/A</v>
      </c>
      <c r="H836" s="55" t="e">
        <v>#N/A</v>
      </c>
      <c r="I836" s="55" t="e">
        <v>#N/A</v>
      </c>
      <c r="J836" s="55" t="e">
        <v>#N/A</v>
      </c>
      <c r="K836" s="55" t="e">
        <v>#N/A</v>
      </c>
    </row>
    <row r="837" spans="1:11" ht="60" hidden="1" x14ac:dyDescent="0.25">
      <c r="A837" s="2" t="s">
        <v>996</v>
      </c>
      <c r="B837" s="3">
        <v>47243</v>
      </c>
      <c r="C837" s="4" t="s">
        <v>1101</v>
      </c>
      <c r="D837" s="62" t="e">
        <v>#N/A</v>
      </c>
      <c r="E837" s="55" t="e">
        <v>#N/A</v>
      </c>
      <c r="F837" s="55" t="e">
        <v>#N/A</v>
      </c>
      <c r="G837" s="55" t="e">
        <v>#N/A</v>
      </c>
      <c r="H837" s="55" t="e">
        <v>#N/A</v>
      </c>
      <c r="I837" s="55" t="e">
        <v>#N/A</v>
      </c>
      <c r="J837" s="55" t="e">
        <v>#N/A</v>
      </c>
      <c r="K837" s="55" t="e">
        <v>#N/A</v>
      </c>
    </row>
    <row r="838" spans="1:11" ht="45" hidden="1" x14ac:dyDescent="0.25">
      <c r="A838" s="2" t="s">
        <v>996</v>
      </c>
      <c r="B838" s="3">
        <v>47244</v>
      </c>
      <c r="C838" s="4" t="s">
        <v>1102</v>
      </c>
      <c r="D838" s="62" t="e">
        <v>#N/A</v>
      </c>
      <c r="E838" s="55" t="e">
        <v>#N/A</v>
      </c>
      <c r="F838" s="55" t="e">
        <v>#N/A</v>
      </c>
      <c r="G838" s="55" t="e">
        <v>#N/A</v>
      </c>
      <c r="H838" s="55" t="e">
        <v>#N/A</v>
      </c>
      <c r="I838" s="55" t="e">
        <v>#N/A</v>
      </c>
      <c r="J838" s="55" t="e">
        <v>#N/A</v>
      </c>
      <c r="K838" s="55" t="e">
        <v>#N/A</v>
      </c>
    </row>
    <row r="839" spans="1:11" ht="45" hidden="1" x14ac:dyDescent="0.25">
      <c r="A839" s="2" t="s">
        <v>996</v>
      </c>
      <c r="B839" s="3">
        <v>47245</v>
      </c>
      <c r="C839" s="4" t="s">
        <v>1103</v>
      </c>
      <c r="D839" s="62" t="e">
        <v>#N/A</v>
      </c>
      <c r="E839" s="55" t="e">
        <v>#N/A</v>
      </c>
      <c r="F839" s="55" t="e">
        <v>#N/A</v>
      </c>
      <c r="G839" s="55" t="e">
        <v>#N/A</v>
      </c>
      <c r="H839" s="55" t="e">
        <v>#N/A</v>
      </c>
      <c r="I839" s="55" t="e">
        <v>#N/A</v>
      </c>
      <c r="J839" s="55" t="e">
        <v>#N/A</v>
      </c>
      <c r="K839" s="55" t="e">
        <v>#N/A</v>
      </c>
    </row>
    <row r="840" spans="1:11" ht="30" hidden="1" x14ac:dyDescent="0.25">
      <c r="A840" s="2" t="s">
        <v>996</v>
      </c>
      <c r="B840" s="3">
        <v>47246</v>
      </c>
      <c r="C840" s="4" t="s">
        <v>1104</v>
      </c>
      <c r="D840" s="62" t="e">
        <v>#N/A</v>
      </c>
      <c r="E840" s="55" t="e">
        <v>#N/A</v>
      </c>
      <c r="F840" s="55" t="e">
        <v>#N/A</v>
      </c>
      <c r="G840" s="55" t="e">
        <v>#N/A</v>
      </c>
      <c r="H840" s="55" t="e">
        <v>#N/A</v>
      </c>
      <c r="I840" s="55" t="e">
        <v>#N/A</v>
      </c>
      <c r="J840" s="55" t="e">
        <v>#N/A</v>
      </c>
      <c r="K840" s="55" t="e">
        <v>#N/A</v>
      </c>
    </row>
    <row r="841" spans="1:11" ht="45" hidden="1" x14ac:dyDescent="0.25">
      <c r="A841" s="2" t="s">
        <v>996</v>
      </c>
      <c r="B841" s="3">
        <v>47249</v>
      </c>
      <c r="C841" s="4" t="s">
        <v>1105</v>
      </c>
      <c r="D841" s="62" t="e">
        <v>#N/A</v>
      </c>
      <c r="E841" s="55" t="e">
        <v>#N/A</v>
      </c>
      <c r="F841" s="55" t="e">
        <v>#N/A</v>
      </c>
      <c r="G841" s="55" t="e">
        <v>#N/A</v>
      </c>
      <c r="H841" s="55" t="e">
        <v>#N/A</v>
      </c>
      <c r="I841" s="55" t="e">
        <v>#N/A</v>
      </c>
      <c r="J841" s="55" t="e">
        <v>#N/A</v>
      </c>
      <c r="K841" s="55" t="e">
        <v>#N/A</v>
      </c>
    </row>
    <row r="842" spans="1:11" ht="60" hidden="1" x14ac:dyDescent="0.25">
      <c r="A842" s="2" t="s">
        <v>996</v>
      </c>
      <c r="B842" s="3">
        <v>47301</v>
      </c>
      <c r="C842" s="4" t="s">
        <v>1106</v>
      </c>
      <c r="D842" s="62" t="e">
        <v>#N/A</v>
      </c>
      <c r="E842" s="55" t="e">
        <v>#N/A</v>
      </c>
      <c r="F842" s="55" t="e">
        <v>#N/A</v>
      </c>
      <c r="G842" s="55" t="e">
        <v>#N/A</v>
      </c>
      <c r="H842" s="55" t="e">
        <v>#N/A</v>
      </c>
      <c r="I842" s="55" t="e">
        <v>#N/A</v>
      </c>
      <c r="J842" s="55" t="e">
        <v>#N/A</v>
      </c>
      <c r="K842" s="55" t="e">
        <v>#N/A</v>
      </c>
    </row>
    <row r="843" spans="1:11" ht="60" hidden="1" x14ac:dyDescent="0.25">
      <c r="A843" s="2" t="s">
        <v>996</v>
      </c>
      <c r="B843" s="3">
        <v>47302</v>
      </c>
      <c r="C843" s="4" t="s">
        <v>1107</v>
      </c>
      <c r="D843" s="62" t="e">
        <v>#N/A</v>
      </c>
      <c r="E843" s="55" t="e">
        <v>#N/A</v>
      </c>
      <c r="F843" s="55" t="e">
        <v>#N/A</v>
      </c>
      <c r="G843" s="55" t="e">
        <v>#N/A</v>
      </c>
      <c r="H843" s="55" t="e">
        <v>#N/A</v>
      </c>
      <c r="I843" s="55" t="e">
        <v>#N/A</v>
      </c>
      <c r="J843" s="55" t="e">
        <v>#N/A</v>
      </c>
      <c r="K843" s="55" t="e">
        <v>#N/A</v>
      </c>
    </row>
    <row r="844" spans="1:11" ht="45" hidden="1" x14ac:dyDescent="0.25">
      <c r="A844" s="2" t="s">
        <v>996</v>
      </c>
      <c r="B844" s="3">
        <v>47303</v>
      </c>
      <c r="C844" s="4" t="s">
        <v>1108</v>
      </c>
      <c r="D844" s="62" t="e">
        <v>#N/A</v>
      </c>
      <c r="E844" s="55" t="e">
        <v>#N/A</v>
      </c>
      <c r="F844" s="55" t="e">
        <v>#N/A</v>
      </c>
      <c r="G844" s="55" t="e">
        <v>#N/A</v>
      </c>
      <c r="H844" s="55" t="e">
        <v>#N/A</v>
      </c>
      <c r="I844" s="55" t="e">
        <v>#N/A</v>
      </c>
      <c r="J844" s="55" t="e">
        <v>#N/A</v>
      </c>
      <c r="K844" s="55" t="e">
        <v>#N/A</v>
      </c>
    </row>
    <row r="845" spans="1:11" ht="60" hidden="1" x14ac:dyDescent="0.25">
      <c r="A845" s="2" t="s">
        <v>996</v>
      </c>
      <c r="B845" s="3">
        <v>47401</v>
      </c>
      <c r="C845" s="4" t="s">
        <v>1109</v>
      </c>
      <c r="D845" s="62" t="e">
        <v>#N/A</v>
      </c>
      <c r="E845" s="55" t="e">
        <v>#N/A</v>
      </c>
      <c r="F845" s="55" t="e">
        <v>#N/A</v>
      </c>
      <c r="G845" s="55" t="e">
        <v>#N/A</v>
      </c>
      <c r="H845" s="55" t="e">
        <v>#N/A</v>
      </c>
      <c r="I845" s="55" t="e">
        <v>#N/A</v>
      </c>
      <c r="J845" s="55" t="e">
        <v>#N/A</v>
      </c>
      <c r="K845" s="55" t="e">
        <v>#N/A</v>
      </c>
    </row>
    <row r="846" spans="1:11" ht="60" hidden="1" x14ac:dyDescent="0.25">
      <c r="A846" s="2" t="s">
        <v>996</v>
      </c>
      <c r="B846" s="3">
        <v>47402</v>
      </c>
      <c r="C846" s="4" t="s">
        <v>1110</v>
      </c>
      <c r="D846" s="62" t="e">
        <v>#N/A</v>
      </c>
      <c r="E846" s="55" t="e">
        <v>#N/A</v>
      </c>
      <c r="F846" s="55" t="e">
        <v>#N/A</v>
      </c>
      <c r="G846" s="55" t="e">
        <v>#N/A</v>
      </c>
      <c r="H846" s="55" t="e">
        <v>#N/A</v>
      </c>
      <c r="I846" s="55" t="e">
        <v>#N/A</v>
      </c>
      <c r="J846" s="55" t="e">
        <v>#N/A</v>
      </c>
      <c r="K846" s="55" t="e">
        <v>#N/A</v>
      </c>
    </row>
    <row r="847" spans="1:11" ht="45" hidden="1" x14ac:dyDescent="0.25">
      <c r="A847" s="2" t="s">
        <v>996</v>
      </c>
      <c r="B847" s="3">
        <v>47403</v>
      </c>
      <c r="C847" s="4" t="s">
        <v>1111</v>
      </c>
      <c r="D847" s="62" t="e">
        <v>#N/A</v>
      </c>
      <c r="E847" s="55" t="e">
        <v>#N/A</v>
      </c>
      <c r="F847" s="55" t="e">
        <v>#N/A</v>
      </c>
      <c r="G847" s="55" t="e">
        <v>#N/A</v>
      </c>
      <c r="H847" s="55" t="e">
        <v>#N/A</v>
      </c>
      <c r="I847" s="55" t="e">
        <v>#N/A</v>
      </c>
      <c r="J847" s="55" t="e">
        <v>#N/A</v>
      </c>
      <c r="K847" s="55" t="e">
        <v>#N/A</v>
      </c>
    </row>
    <row r="848" spans="1:11" ht="60" hidden="1" x14ac:dyDescent="0.25">
      <c r="A848" s="2" t="s">
        <v>996</v>
      </c>
      <c r="B848" s="3">
        <v>47404</v>
      </c>
      <c r="C848" s="4" t="s">
        <v>1112</v>
      </c>
      <c r="D848" s="62" t="e">
        <v>#N/A</v>
      </c>
      <c r="E848" s="55" t="e">
        <v>#N/A</v>
      </c>
      <c r="F848" s="55" t="e">
        <v>#N/A</v>
      </c>
      <c r="G848" s="55" t="e">
        <v>#N/A</v>
      </c>
      <c r="H848" s="55" t="e">
        <v>#N/A</v>
      </c>
      <c r="I848" s="55" t="e">
        <v>#N/A</v>
      </c>
      <c r="J848" s="55" t="e">
        <v>#N/A</v>
      </c>
      <c r="K848" s="55" t="e">
        <v>#N/A</v>
      </c>
    </row>
    <row r="849" spans="1:11" ht="45" hidden="1" x14ac:dyDescent="0.25">
      <c r="A849" s="2" t="s">
        <v>996</v>
      </c>
      <c r="B849" s="3">
        <v>47405</v>
      </c>
      <c r="C849" s="4" t="s">
        <v>1113</v>
      </c>
      <c r="D849" s="62" t="e">
        <v>#N/A</v>
      </c>
      <c r="E849" s="55" t="e">
        <v>#N/A</v>
      </c>
      <c r="F849" s="55" t="e">
        <v>#N/A</v>
      </c>
      <c r="G849" s="55" t="e">
        <v>#N/A</v>
      </c>
      <c r="H849" s="55" t="e">
        <v>#N/A</v>
      </c>
      <c r="I849" s="55" t="e">
        <v>#N/A</v>
      </c>
      <c r="J849" s="55" t="e">
        <v>#N/A</v>
      </c>
      <c r="K849" s="55" t="e">
        <v>#N/A</v>
      </c>
    </row>
    <row r="850" spans="1:11" ht="45" hidden="1" x14ac:dyDescent="0.25">
      <c r="A850" s="2" t="s">
        <v>996</v>
      </c>
      <c r="B850" s="3">
        <v>47406</v>
      </c>
      <c r="C850" s="4" t="s">
        <v>1114</v>
      </c>
      <c r="D850" s="62" t="e">
        <v>#N/A</v>
      </c>
      <c r="E850" s="55" t="e">
        <v>#N/A</v>
      </c>
      <c r="F850" s="55" t="e">
        <v>#N/A</v>
      </c>
      <c r="G850" s="55" t="e">
        <v>#N/A</v>
      </c>
      <c r="H850" s="55" t="e">
        <v>#N/A</v>
      </c>
      <c r="I850" s="55" t="e">
        <v>#N/A</v>
      </c>
      <c r="J850" s="55" t="e">
        <v>#N/A</v>
      </c>
      <c r="K850" s="55" t="e">
        <v>#N/A</v>
      </c>
    </row>
    <row r="851" spans="1:11" ht="30" hidden="1" x14ac:dyDescent="0.25">
      <c r="A851" s="2" t="s">
        <v>996</v>
      </c>
      <c r="B851" s="3">
        <v>47511</v>
      </c>
      <c r="C851" s="4" t="s">
        <v>1115</v>
      </c>
      <c r="D851" s="62" t="e">
        <v>#N/A</v>
      </c>
      <c r="E851" s="55" t="e">
        <v>#N/A</v>
      </c>
      <c r="F851" s="55" t="e">
        <v>#N/A</v>
      </c>
      <c r="G851" s="55" t="e">
        <v>#N/A</v>
      </c>
      <c r="H851" s="55" t="e">
        <v>#N/A</v>
      </c>
      <c r="I851" s="55" t="e">
        <v>#N/A</v>
      </c>
      <c r="J851" s="55" t="e">
        <v>#N/A</v>
      </c>
      <c r="K851" s="55" t="e">
        <v>#N/A</v>
      </c>
    </row>
    <row r="852" spans="1:11" ht="75" hidden="1" x14ac:dyDescent="0.25">
      <c r="A852" s="2" t="s">
        <v>996</v>
      </c>
      <c r="B852" s="3">
        <v>47512</v>
      </c>
      <c r="C852" s="4" t="s">
        <v>1116</v>
      </c>
      <c r="D852" s="62" t="e">
        <v>#N/A</v>
      </c>
      <c r="E852" s="55" t="e">
        <v>#N/A</v>
      </c>
      <c r="F852" s="55" t="e">
        <v>#N/A</v>
      </c>
      <c r="G852" s="55" t="e">
        <v>#N/A</v>
      </c>
      <c r="H852" s="55" t="e">
        <v>#N/A</v>
      </c>
      <c r="I852" s="55" t="e">
        <v>#N/A</v>
      </c>
      <c r="J852" s="55" t="e">
        <v>#N/A</v>
      </c>
      <c r="K852" s="55" t="e">
        <v>#N/A</v>
      </c>
    </row>
    <row r="853" spans="1:11" ht="60" hidden="1" x14ac:dyDescent="0.25">
      <c r="A853" s="2" t="s">
        <v>996</v>
      </c>
      <c r="B853" s="3">
        <v>47513</v>
      </c>
      <c r="C853" s="4" t="s">
        <v>1117</v>
      </c>
      <c r="D853" s="62" t="e">
        <v>#N/A</v>
      </c>
      <c r="E853" s="55" t="e">
        <v>#N/A</v>
      </c>
      <c r="F853" s="55" t="e">
        <v>#N/A</v>
      </c>
      <c r="G853" s="55" t="e">
        <v>#N/A</v>
      </c>
      <c r="H853" s="55" t="e">
        <v>#N/A</v>
      </c>
      <c r="I853" s="55" t="e">
        <v>#N/A</v>
      </c>
      <c r="J853" s="55" t="e">
        <v>#N/A</v>
      </c>
      <c r="K853" s="55" t="e">
        <v>#N/A</v>
      </c>
    </row>
    <row r="854" spans="1:11" ht="60" hidden="1" x14ac:dyDescent="0.25">
      <c r="A854" s="2" t="s">
        <v>996</v>
      </c>
      <c r="B854" s="3">
        <v>47521</v>
      </c>
      <c r="C854" s="4" t="s">
        <v>1118</v>
      </c>
      <c r="D854" s="62" t="e">
        <v>#N/A</v>
      </c>
      <c r="E854" s="55" t="e">
        <v>#N/A</v>
      </c>
      <c r="F854" s="55" t="e">
        <v>#N/A</v>
      </c>
      <c r="G854" s="55" t="e">
        <v>#N/A</v>
      </c>
      <c r="H854" s="55" t="e">
        <v>#N/A</v>
      </c>
      <c r="I854" s="55" t="e">
        <v>#N/A</v>
      </c>
      <c r="J854" s="55" t="e">
        <v>#N/A</v>
      </c>
      <c r="K854" s="55" t="e">
        <v>#N/A</v>
      </c>
    </row>
    <row r="855" spans="1:11" ht="45" hidden="1" x14ac:dyDescent="0.25">
      <c r="A855" s="2" t="s">
        <v>996</v>
      </c>
      <c r="B855" s="3">
        <v>47522</v>
      </c>
      <c r="C855" s="4" t="s">
        <v>1119</v>
      </c>
      <c r="D855" s="62" t="e">
        <v>#N/A</v>
      </c>
      <c r="E855" s="55" t="e">
        <v>#N/A</v>
      </c>
      <c r="F855" s="55" t="e">
        <v>#N/A</v>
      </c>
      <c r="G855" s="55" t="e">
        <v>#N/A</v>
      </c>
      <c r="H855" s="55" t="e">
        <v>#N/A</v>
      </c>
      <c r="I855" s="55" t="e">
        <v>#N/A</v>
      </c>
      <c r="J855" s="55" t="e">
        <v>#N/A</v>
      </c>
      <c r="K855" s="55" t="e">
        <v>#N/A</v>
      </c>
    </row>
    <row r="856" spans="1:11" ht="60" hidden="1" x14ac:dyDescent="0.25">
      <c r="A856" s="2" t="s">
        <v>996</v>
      </c>
      <c r="B856" s="3">
        <v>47523</v>
      </c>
      <c r="C856" s="4" t="s">
        <v>1120</v>
      </c>
      <c r="D856" s="62" t="e">
        <v>#N/A</v>
      </c>
      <c r="E856" s="55" t="e">
        <v>#N/A</v>
      </c>
      <c r="F856" s="55" t="e">
        <v>#N/A</v>
      </c>
      <c r="G856" s="55" t="e">
        <v>#N/A</v>
      </c>
      <c r="H856" s="55" t="e">
        <v>#N/A</v>
      </c>
      <c r="I856" s="55" t="e">
        <v>#N/A</v>
      </c>
      <c r="J856" s="55" t="e">
        <v>#N/A</v>
      </c>
      <c r="K856" s="55" t="e">
        <v>#N/A</v>
      </c>
    </row>
    <row r="857" spans="1:11" ht="60" hidden="1" x14ac:dyDescent="0.25">
      <c r="A857" s="2" t="s">
        <v>996</v>
      </c>
      <c r="B857" s="3">
        <v>47524</v>
      </c>
      <c r="C857" s="4" t="s">
        <v>1121</v>
      </c>
      <c r="D857" s="62" t="e">
        <v>#N/A</v>
      </c>
      <c r="E857" s="55" t="e">
        <v>#N/A</v>
      </c>
      <c r="F857" s="55" t="e">
        <v>#N/A</v>
      </c>
      <c r="G857" s="55" t="e">
        <v>#N/A</v>
      </c>
      <c r="H857" s="55" t="e">
        <v>#N/A</v>
      </c>
      <c r="I857" s="55" t="e">
        <v>#N/A</v>
      </c>
      <c r="J857" s="55" t="e">
        <v>#N/A</v>
      </c>
      <c r="K857" s="55" t="e">
        <v>#N/A</v>
      </c>
    </row>
    <row r="858" spans="1:11" ht="45" hidden="1" x14ac:dyDescent="0.25">
      <c r="A858" s="2" t="s">
        <v>996</v>
      </c>
      <c r="B858" s="3">
        <v>47525</v>
      </c>
      <c r="C858" s="4" t="s">
        <v>1122</v>
      </c>
      <c r="D858" s="62" t="e">
        <v>#N/A</v>
      </c>
      <c r="E858" s="55" t="e">
        <v>#N/A</v>
      </c>
      <c r="F858" s="55" t="e">
        <v>#N/A</v>
      </c>
      <c r="G858" s="55" t="e">
        <v>#N/A</v>
      </c>
      <c r="H858" s="55" t="e">
        <v>#N/A</v>
      </c>
      <c r="I858" s="55" t="e">
        <v>#N/A</v>
      </c>
      <c r="J858" s="55" t="e">
        <v>#N/A</v>
      </c>
      <c r="K858" s="55" t="e">
        <v>#N/A</v>
      </c>
    </row>
    <row r="859" spans="1:11" ht="60" hidden="1" x14ac:dyDescent="0.25">
      <c r="A859" s="2" t="s">
        <v>996</v>
      </c>
      <c r="B859" s="3">
        <v>47526</v>
      </c>
      <c r="C859" s="4" t="s">
        <v>1123</v>
      </c>
      <c r="D859" s="62" t="e">
        <v>#N/A</v>
      </c>
      <c r="E859" s="55" t="e">
        <v>#N/A</v>
      </c>
      <c r="F859" s="55" t="e">
        <v>#N/A</v>
      </c>
      <c r="G859" s="55" t="e">
        <v>#N/A</v>
      </c>
      <c r="H859" s="55" t="e">
        <v>#N/A</v>
      </c>
      <c r="I859" s="55" t="e">
        <v>#N/A</v>
      </c>
      <c r="J859" s="55" t="e">
        <v>#N/A</v>
      </c>
      <c r="K859" s="55" t="e">
        <v>#N/A</v>
      </c>
    </row>
    <row r="860" spans="1:11" ht="60" hidden="1" x14ac:dyDescent="0.25">
      <c r="A860" s="2" t="s">
        <v>996</v>
      </c>
      <c r="B860" s="3">
        <v>47530</v>
      </c>
      <c r="C860" s="4" t="s">
        <v>1124</v>
      </c>
      <c r="D860" s="62" t="e">
        <v>#N/A</v>
      </c>
      <c r="E860" s="55" t="e">
        <v>#N/A</v>
      </c>
      <c r="F860" s="55" t="e">
        <v>#N/A</v>
      </c>
      <c r="G860" s="55" t="e">
        <v>#N/A</v>
      </c>
      <c r="H860" s="55" t="e">
        <v>#N/A</v>
      </c>
      <c r="I860" s="55" t="e">
        <v>#N/A</v>
      </c>
      <c r="J860" s="55" t="e">
        <v>#N/A</v>
      </c>
      <c r="K860" s="55" t="e">
        <v>#N/A</v>
      </c>
    </row>
    <row r="861" spans="1:11" ht="30" hidden="1" x14ac:dyDescent="0.25">
      <c r="A861" s="2" t="s">
        <v>996</v>
      </c>
      <c r="B861" s="3">
        <v>47591</v>
      </c>
      <c r="C861" s="4" t="s">
        <v>1125</v>
      </c>
      <c r="D861" s="62" t="e">
        <v>#N/A</v>
      </c>
      <c r="E861" s="55" t="e">
        <v>#N/A</v>
      </c>
      <c r="F861" s="55" t="e">
        <v>#N/A</v>
      </c>
      <c r="G861" s="55" t="e">
        <v>#N/A</v>
      </c>
      <c r="H861" s="55" t="e">
        <v>#N/A</v>
      </c>
      <c r="I861" s="55" t="e">
        <v>#N/A</v>
      </c>
      <c r="J861" s="55" t="e">
        <v>#N/A</v>
      </c>
      <c r="K861" s="55" t="e">
        <v>#N/A</v>
      </c>
    </row>
    <row r="862" spans="1:11" ht="60" hidden="1" x14ac:dyDescent="0.25">
      <c r="A862" s="2" t="s">
        <v>996</v>
      </c>
      <c r="B862" s="3">
        <v>47592</v>
      </c>
      <c r="C862" s="4" t="s">
        <v>1126</v>
      </c>
      <c r="D862" s="62" t="e">
        <v>#N/A</v>
      </c>
      <c r="E862" s="55" t="e">
        <v>#N/A</v>
      </c>
      <c r="F862" s="55" t="e">
        <v>#N/A</v>
      </c>
      <c r="G862" s="55" t="e">
        <v>#N/A</v>
      </c>
      <c r="H862" s="55" t="e">
        <v>#N/A</v>
      </c>
      <c r="I862" s="55" t="e">
        <v>#N/A</v>
      </c>
      <c r="J862" s="55" t="e">
        <v>#N/A</v>
      </c>
      <c r="K862" s="55" t="e">
        <v>#N/A</v>
      </c>
    </row>
    <row r="863" spans="1:11" ht="75" hidden="1" x14ac:dyDescent="0.25">
      <c r="A863" s="2" t="s">
        <v>996</v>
      </c>
      <c r="B863" s="3">
        <v>47593</v>
      </c>
      <c r="C863" s="4" t="s">
        <v>1127</v>
      </c>
      <c r="D863" s="62" t="e">
        <v>#N/A</v>
      </c>
      <c r="E863" s="55" t="e">
        <v>#N/A</v>
      </c>
      <c r="F863" s="55" t="e">
        <v>#N/A</v>
      </c>
      <c r="G863" s="55" t="e">
        <v>#N/A</v>
      </c>
      <c r="H863" s="55" t="e">
        <v>#N/A</v>
      </c>
      <c r="I863" s="55" t="e">
        <v>#N/A</v>
      </c>
      <c r="J863" s="55" t="e">
        <v>#N/A</v>
      </c>
      <c r="K863" s="55" t="e">
        <v>#N/A</v>
      </c>
    </row>
    <row r="864" spans="1:11" ht="30" hidden="1" x14ac:dyDescent="0.25">
      <c r="A864" s="2" t="s">
        <v>996</v>
      </c>
      <c r="B864" s="3">
        <v>47594</v>
      </c>
      <c r="C864" s="4" t="s">
        <v>1128</v>
      </c>
      <c r="D864" s="62" t="e">
        <v>#N/A</v>
      </c>
      <c r="E864" s="55" t="e">
        <v>#N/A</v>
      </c>
      <c r="F864" s="55" t="e">
        <v>#N/A</v>
      </c>
      <c r="G864" s="55" t="e">
        <v>#N/A</v>
      </c>
      <c r="H864" s="55" t="e">
        <v>#N/A</v>
      </c>
      <c r="I864" s="55" t="e">
        <v>#N/A</v>
      </c>
      <c r="J864" s="55" t="e">
        <v>#N/A</v>
      </c>
      <c r="K864" s="55" t="e">
        <v>#N/A</v>
      </c>
    </row>
    <row r="865" spans="1:11" ht="60" hidden="1" x14ac:dyDescent="0.25">
      <c r="A865" s="2" t="s">
        <v>996</v>
      </c>
      <c r="B865" s="3">
        <v>47599</v>
      </c>
      <c r="C865" s="4" t="s">
        <v>1129</v>
      </c>
      <c r="D865" s="62" t="e">
        <v>#N/A</v>
      </c>
      <c r="E865" s="55" t="e">
        <v>#N/A</v>
      </c>
      <c r="F865" s="55" t="e">
        <v>#N/A</v>
      </c>
      <c r="G865" s="55" t="e">
        <v>#N/A</v>
      </c>
      <c r="H865" s="55" t="e">
        <v>#N/A</v>
      </c>
      <c r="I865" s="55" t="e">
        <v>#N/A</v>
      </c>
      <c r="J865" s="55" t="e">
        <v>#N/A</v>
      </c>
      <c r="K865" s="55" t="e">
        <v>#N/A</v>
      </c>
    </row>
    <row r="866" spans="1:11" ht="60" hidden="1" x14ac:dyDescent="0.25">
      <c r="A866" s="2" t="s">
        <v>996</v>
      </c>
      <c r="B866" s="3">
        <v>47611</v>
      </c>
      <c r="C866" s="4" t="s">
        <v>1130</v>
      </c>
      <c r="D866" s="62" t="e">
        <v>#N/A</v>
      </c>
      <c r="E866" s="55" t="e">
        <v>#N/A</v>
      </c>
      <c r="F866" s="55" t="e">
        <v>#N/A</v>
      </c>
      <c r="G866" s="55" t="e">
        <v>#N/A</v>
      </c>
      <c r="H866" s="55" t="e">
        <v>#N/A</v>
      </c>
      <c r="I866" s="55" t="e">
        <v>#N/A</v>
      </c>
      <c r="J866" s="55" t="e">
        <v>#N/A</v>
      </c>
      <c r="K866" s="55" t="e">
        <v>#N/A</v>
      </c>
    </row>
    <row r="867" spans="1:11" ht="60" hidden="1" x14ac:dyDescent="0.25">
      <c r="A867" s="2" t="s">
        <v>996</v>
      </c>
      <c r="B867" s="3">
        <v>47612</v>
      </c>
      <c r="C867" s="4" t="s">
        <v>1131</v>
      </c>
      <c r="D867" s="62" t="e">
        <v>#N/A</v>
      </c>
      <c r="E867" s="55" t="e">
        <v>#N/A</v>
      </c>
      <c r="F867" s="55" t="e">
        <v>#N/A</v>
      </c>
      <c r="G867" s="55" t="e">
        <v>#N/A</v>
      </c>
      <c r="H867" s="55" t="e">
        <v>#N/A</v>
      </c>
      <c r="I867" s="55" t="e">
        <v>#N/A</v>
      </c>
      <c r="J867" s="55" t="e">
        <v>#N/A</v>
      </c>
      <c r="K867" s="55" t="e">
        <v>#N/A</v>
      </c>
    </row>
    <row r="868" spans="1:11" ht="60" hidden="1" x14ac:dyDescent="0.25">
      <c r="A868" s="2" t="s">
        <v>996</v>
      </c>
      <c r="B868" s="3">
        <v>47613</v>
      </c>
      <c r="C868" s="4" t="s">
        <v>1132</v>
      </c>
      <c r="D868" s="62" t="e">
        <v>#N/A</v>
      </c>
      <c r="E868" s="55" t="e">
        <v>#N/A</v>
      </c>
      <c r="F868" s="55" t="e">
        <v>#N/A</v>
      </c>
      <c r="G868" s="55" t="e">
        <v>#N/A</v>
      </c>
      <c r="H868" s="55" t="e">
        <v>#N/A</v>
      </c>
      <c r="I868" s="55" t="e">
        <v>#N/A</v>
      </c>
      <c r="J868" s="55" t="e">
        <v>#N/A</v>
      </c>
      <c r="K868" s="55" t="e">
        <v>#N/A</v>
      </c>
    </row>
    <row r="869" spans="1:11" ht="60" hidden="1" x14ac:dyDescent="0.25">
      <c r="A869" s="2" t="s">
        <v>996</v>
      </c>
      <c r="B869" s="3">
        <v>47620</v>
      </c>
      <c r="C869" s="4" t="s">
        <v>1133</v>
      </c>
      <c r="D869" s="62" t="e">
        <v>#N/A</v>
      </c>
      <c r="E869" s="55" t="e">
        <v>#N/A</v>
      </c>
      <c r="F869" s="55" t="e">
        <v>#N/A</v>
      </c>
      <c r="G869" s="55" t="e">
        <v>#N/A</v>
      </c>
      <c r="H869" s="55" t="e">
        <v>#N/A</v>
      </c>
      <c r="I869" s="55" t="e">
        <v>#N/A</v>
      </c>
      <c r="J869" s="55" t="e">
        <v>#N/A</v>
      </c>
      <c r="K869" s="55" t="e">
        <v>#N/A</v>
      </c>
    </row>
    <row r="870" spans="1:11" ht="60" hidden="1" x14ac:dyDescent="0.25">
      <c r="A870" s="2" t="s">
        <v>996</v>
      </c>
      <c r="B870" s="3">
        <v>47630</v>
      </c>
      <c r="C870" s="4" t="s">
        <v>1134</v>
      </c>
      <c r="D870" s="62" t="e">
        <v>#N/A</v>
      </c>
      <c r="E870" s="55" t="e">
        <v>#N/A</v>
      </c>
      <c r="F870" s="55" t="e">
        <v>#N/A</v>
      </c>
      <c r="G870" s="55" t="e">
        <v>#N/A</v>
      </c>
      <c r="H870" s="55" t="e">
        <v>#N/A</v>
      </c>
      <c r="I870" s="55" t="e">
        <v>#N/A</v>
      </c>
      <c r="J870" s="55" t="e">
        <v>#N/A</v>
      </c>
      <c r="K870" s="55" t="e">
        <v>#N/A</v>
      </c>
    </row>
    <row r="871" spans="1:11" ht="60" hidden="1" x14ac:dyDescent="0.25">
      <c r="A871" s="2" t="s">
        <v>996</v>
      </c>
      <c r="B871" s="3">
        <v>47690</v>
      </c>
      <c r="C871" s="4" t="s">
        <v>1135</v>
      </c>
      <c r="D871" s="62" t="e">
        <v>#N/A</v>
      </c>
      <c r="E871" s="55" t="e">
        <v>#N/A</v>
      </c>
      <c r="F871" s="55" t="e">
        <v>#N/A</v>
      </c>
      <c r="G871" s="55" t="e">
        <v>#N/A</v>
      </c>
      <c r="H871" s="55" t="e">
        <v>#N/A</v>
      </c>
      <c r="I871" s="55" t="e">
        <v>#N/A</v>
      </c>
      <c r="J871" s="55" t="e">
        <v>#N/A</v>
      </c>
      <c r="K871" s="55" t="e">
        <v>#N/A</v>
      </c>
    </row>
    <row r="872" spans="1:11" ht="30" hidden="1" x14ac:dyDescent="0.25">
      <c r="A872" s="2" t="s">
        <v>996</v>
      </c>
      <c r="B872" s="3">
        <v>47711</v>
      </c>
      <c r="C872" s="4" t="s">
        <v>1136</v>
      </c>
      <c r="D872" s="62" t="e">
        <v>#N/A</v>
      </c>
      <c r="E872" s="55" t="e">
        <v>#N/A</v>
      </c>
      <c r="F872" s="55" t="e">
        <v>#N/A</v>
      </c>
      <c r="G872" s="55" t="e">
        <v>#N/A</v>
      </c>
      <c r="H872" s="55" t="e">
        <v>#N/A</v>
      </c>
      <c r="I872" s="55" t="e">
        <v>#N/A</v>
      </c>
      <c r="J872" s="55" t="e">
        <v>#N/A</v>
      </c>
      <c r="K872" s="55" t="e">
        <v>#N/A</v>
      </c>
    </row>
    <row r="873" spans="1:11" ht="60" hidden="1" x14ac:dyDescent="0.25">
      <c r="A873" s="2" t="s">
        <v>996</v>
      </c>
      <c r="B873" s="3">
        <v>47712</v>
      </c>
      <c r="C873" s="4" t="s">
        <v>1137</v>
      </c>
      <c r="D873" s="62" t="e">
        <v>#N/A</v>
      </c>
      <c r="E873" s="55" t="e">
        <v>#N/A</v>
      </c>
      <c r="F873" s="55" t="e">
        <v>#N/A</v>
      </c>
      <c r="G873" s="55" t="e">
        <v>#N/A</v>
      </c>
      <c r="H873" s="55" t="e">
        <v>#N/A</v>
      </c>
      <c r="I873" s="55" t="e">
        <v>#N/A</v>
      </c>
      <c r="J873" s="55" t="e">
        <v>#N/A</v>
      </c>
      <c r="K873" s="55" t="e">
        <v>#N/A</v>
      </c>
    </row>
    <row r="874" spans="1:11" ht="60" hidden="1" x14ac:dyDescent="0.25">
      <c r="A874" s="2" t="s">
        <v>996</v>
      </c>
      <c r="B874" s="3">
        <v>47713</v>
      </c>
      <c r="C874" s="4" t="s">
        <v>1138</v>
      </c>
      <c r="D874" s="62" t="e">
        <v>#N/A</v>
      </c>
      <c r="E874" s="55" t="e">
        <v>#N/A</v>
      </c>
      <c r="F874" s="55" t="e">
        <v>#N/A</v>
      </c>
      <c r="G874" s="55" t="e">
        <v>#N/A</v>
      </c>
      <c r="H874" s="55" t="e">
        <v>#N/A</v>
      </c>
      <c r="I874" s="55" t="e">
        <v>#N/A</v>
      </c>
      <c r="J874" s="55" t="e">
        <v>#N/A</v>
      </c>
      <c r="K874" s="55" t="e">
        <v>#N/A</v>
      </c>
    </row>
    <row r="875" spans="1:11" ht="60" hidden="1" x14ac:dyDescent="0.25">
      <c r="A875" s="2" t="s">
        <v>996</v>
      </c>
      <c r="B875" s="3">
        <v>47714</v>
      </c>
      <c r="C875" s="4" t="s">
        <v>1139</v>
      </c>
      <c r="D875" s="62" t="e">
        <v>#N/A</v>
      </c>
      <c r="E875" s="55" t="e">
        <v>#N/A</v>
      </c>
      <c r="F875" s="55" t="e">
        <v>#N/A</v>
      </c>
      <c r="G875" s="55" t="e">
        <v>#N/A</v>
      </c>
      <c r="H875" s="55" t="e">
        <v>#N/A</v>
      </c>
      <c r="I875" s="55" t="e">
        <v>#N/A</v>
      </c>
      <c r="J875" s="55" t="e">
        <v>#N/A</v>
      </c>
      <c r="K875" s="55" t="e">
        <v>#N/A</v>
      </c>
    </row>
    <row r="876" spans="1:11" ht="60" hidden="1" x14ac:dyDescent="0.25">
      <c r="A876" s="2" t="s">
        <v>996</v>
      </c>
      <c r="B876" s="3">
        <v>47721</v>
      </c>
      <c r="C876" s="4" t="s">
        <v>1140</v>
      </c>
      <c r="D876" s="62" t="e">
        <v>#N/A</v>
      </c>
      <c r="E876" s="55" t="e">
        <v>#N/A</v>
      </c>
      <c r="F876" s="55" t="e">
        <v>#N/A</v>
      </c>
      <c r="G876" s="55" t="e">
        <v>#N/A</v>
      </c>
      <c r="H876" s="55" t="e">
        <v>#N/A</v>
      </c>
      <c r="I876" s="55" t="e">
        <v>#N/A</v>
      </c>
      <c r="J876" s="55" t="e">
        <v>#N/A</v>
      </c>
      <c r="K876" s="55" t="e">
        <v>#N/A</v>
      </c>
    </row>
    <row r="877" spans="1:11" ht="60" hidden="1" x14ac:dyDescent="0.25">
      <c r="A877" s="2" t="s">
        <v>996</v>
      </c>
      <c r="B877" s="3">
        <v>47722</v>
      </c>
      <c r="C877" s="4" t="s">
        <v>1141</v>
      </c>
      <c r="D877" s="62" t="e">
        <v>#N/A</v>
      </c>
      <c r="E877" s="55" t="e">
        <v>#N/A</v>
      </c>
      <c r="F877" s="55" t="e">
        <v>#N/A</v>
      </c>
      <c r="G877" s="55" t="e">
        <v>#N/A</v>
      </c>
      <c r="H877" s="55" t="e">
        <v>#N/A</v>
      </c>
      <c r="I877" s="55" t="e">
        <v>#N/A</v>
      </c>
      <c r="J877" s="55" t="e">
        <v>#N/A</v>
      </c>
      <c r="K877" s="55" t="e">
        <v>#N/A</v>
      </c>
    </row>
    <row r="878" spans="1:11" ht="60" hidden="1" x14ac:dyDescent="0.25">
      <c r="A878" s="2" t="s">
        <v>996</v>
      </c>
      <c r="B878" s="3">
        <v>47723</v>
      </c>
      <c r="C878" s="4" t="s">
        <v>1142</v>
      </c>
      <c r="D878" s="62" t="e">
        <v>#N/A</v>
      </c>
      <c r="E878" s="55" t="e">
        <v>#N/A</v>
      </c>
      <c r="F878" s="55" t="e">
        <v>#N/A</v>
      </c>
      <c r="G878" s="55" t="e">
        <v>#N/A</v>
      </c>
      <c r="H878" s="55" t="e">
        <v>#N/A</v>
      </c>
      <c r="I878" s="55" t="e">
        <v>#N/A</v>
      </c>
      <c r="J878" s="55" t="e">
        <v>#N/A</v>
      </c>
      <c r="K878" s="55" t="e">
        <v>#N/A</v>
      </c>
    </row>
    <row r="879" spans="1:11" ht="45" hidden="1" x14ac:dyDescent="0.25">
      <c r="A879" s="2" t="s">
        <v>996</v>
      </c>
      <c r="B879" s="3">
        <v>47724</v>
      </c>
      <c r="C879" s="4" t="s">
        <v>1143</v>
      </c>
      <c r="D879" s="62" t="e">
        <v>#N/A</v>
      </c>
      <c r="E879" s="55" t="e">
        <v>#N/A</v>
      </c>
      <c r="F879" s="55" t="e">
        <v>#N/A</v>
      </c>
      <c r="G879" s="55" t="e">
        <v>#N/A</v>
      </c>
      <c r="H879" s="55" t="e">
        <v>#N/A</v>
      </c>
      <c r="I879" s="55" t="e">
        <v>#N/A</v>
      </c>
      <c r="J879" s="55" t="e">
        <v>#N/A</v>
      </c>
      <c r="K879" s="55" t="e">
        <v>#N/A</v>
      </c>
    </row>
    <row r="880" spans="1:11" ht="60" hidden="1" x14ac:dyDescent="0.25">
      <c r="A880" s="2" t="s">
        <v>996</v>
      </c>
      <c r="B880" s="3">
        <v>47725</v>
      </c>
      <c r="C880" s="4" t="s">
        <v>1144</v>
      </c>
      <c r="D880" s="62" t="e">
        <v>#N/A</v>
      </c>
      <c r="E880" s="55" t="e">
        <v>#N/A</v>
      </c>
      <c r="F880" s="55" t="e">
        <v>#N/A</v>
      </c>
      <c r="G880" s="55" t="e">
        <v>#N/A</v>
      </c>
      <c r="H880" s="55" t="e">
        <v>#N/A</v>
      </c>
      <c r="I880" s="55" t="e">
        <v>#N/A</v>
      </c>
      <c r="J880" s="55" t="e">
        <v>#N/A</v>
      </c>
      <c r="K880" s="55" t="e">
        <v>#N/A</v>
      </c>
    </row>
    <row r="881" spans="1:11" ht="60" hidden="1" x14ac:dyDescent="0.25">
      <c r="A881" s="2" t="s">
        <v>996</v>
      </c>
      <c r="B881" s="3">
        <v>47726</v>
      </c>
      <c r="C881" s="4" t="s">
        <v>1145</v>
      </c>
      <c r="D881" s="62" t="e">
        <v>#N/A</v>
      </c>
      <c r="E881" s="55" t="e">
        <v>#N/A</v>
      </c>
      <c r="F881" s="55" t="e">
        <v>#N/A</v>
      </c>
      <c r="G881" s="55" t="e">
        <v>#N/A</v>
      </c>
      <c r="H881" s="55" t="e">
        <v>#N/A</v>
      </c>
      <c r="I881" s="55" t="e">
        <v>#N/A</v>
      </c>
      <c r="J881" s="55" t="e">
        <v>#N/A</v>
      </c>
      <c r="K881" s="55" t="e">
        <v>#N/A</v>
      </c>
    </row>
    <row r="882" spans="1:11" ht="60" hidden="1" x14ac:dyDescent="0.25">
      <c r="A882" s="2" t="s">
        <v>996</v>
      </c>
      <c r="B882" s="3">
        <v>47727</v>
      </c>
      <c r="C882" s="4" t="s">
        <v>1146</v>
      </c>
      <c r="D882" s="62" t="e">
        <v>#N/A</v>
      </c>
      <c r="E882" s="55" t="e">
        <v>#N/A</v>
      </c>
      <c r="F882" s="55" t="e">
        <v>#N/A</v>
      </c>
      <c r="G882" s="55" t="e">
        <v>#N/A</v>
      </c>
      <c r="H882" s="55" t="e">
        <v>#N/A</v>
      </c>
      <c r="I882" s="55" t="e">
        <v>#N/A</v>
      </c>
      <c r="J882" s="55" t="e">
        <v>#N/A</v>
      </c>
      <c r="K882" s="55" t="e">
        <v>#N/A</v>
      </c>
    </row>
    <row r="883" spans="1:11" ht="45" hidden="1" x14ac:dyDescent="0.25">
      <c r="A883" s="2" t="s">
        <v>996</v>
      </c>
      <c r="B883" s="3">
        <v>47728</v>
      </c>
      <c r="C883" s="4" t="s">
        <v>1147</v>
      </c>
      <c r="D883" s="62" t="e">
        <v>#N/A</v>
      </c>
      <c r="E883" s="55" t="e">
        <v>#N/A</v>
      </c>
      <c r="F883" s="55" t="e">
        <v>#N/A</v>
      </c>
      <c r="G883" s="55" t="e">
        <v>#N/A</v>
      </c>
      <c r="H883" s="55" t="e">
        <v>#N/A</v>
      </c>
      <c r="I883" s="55" t="e">
        <v>#N/A</v>
      </c>
      <c r="J883" s="55" t="e">
        <v>#N/A</v>
      </c>
      <c r="K883" s="55" t="e">
        <v>#N/A</v>
      </c>
    </row>
    <row r="884" spans="1:11" ht="60" hidden="1" x14ac:dyDescent="0.25">
      <c r="A884" s="2" t="s">
        <v>996</v>
      </c>
      <c r="B884" s="3">
        <v>47729</v>
      </c>
      <c r="C884" s="4" t="s">
        <v>1148</v>
      </c>
      <c r="D884" s="62" t="e">
        <v>#N/A</v>
      </c>
      <c r="E884" s="55" t="e">
        <v>#N/A</v>
      </c>
      <c r="F884" s="55" t="e">
        <v>#N/A</v>
      </c>
      <c r="G884" s="55" t="e">
        <v>#N/A</v>
      </c>
      <c r="H884" s="55" t="e">
        <v>#N/A</v>
      </c>
      <c r="I884" s="55" t="e">
        <v>#N/A</v>
      </c>
      <c r="J884" s="55" t="e">
        <v>#N/A</v>
      </c>
      <c r="K884" s="55" t="e">
        <v>#N/A</v>
      </c>
    </row>
    <row r="885" spans="1:11" ht="60" hidden="1" x14ac:dyDescent="0.25">
      <c r="A885" s="2" t="s">
        <v>996</v>
      </c>
      <c r="B885" s="3">
        <v>47731</v>
      </c>
      <c r="C885" s="4" t="s">
        <v>1149</v>
      </c>
      <c r="D885" s="62" t="e">
        <v>#N/A</v>
      </c>
      <c r="E885" s="55" t="e">
        <v>#N/A</v>
      </c>
      <c r="F885" s="55" t="e">
        <v>#N/A</v>
      </c>
      <c r="G885" s="55" t="e">
        <v>#N/A</v>
      </c>
      <c r="H885" s="55" t="e">
        <v>#N/A</v>
      </c>
      <c r="I885" s="55" t="e">
        <v>#N/A</v>
      </c>
      <c r="J885" s="55" t="e">
        <v>#N/A</v>
      </c>
      <c r="K885" s="55" t="e">
        <v>#N/A</v>
      </c>
    </row>
    <row r="886" spans="1:11" ht="60" hidden="1" x14ac:dyDescent="0.25">
      <c r="A886" s="2" t="s">
        <v>996</v>
      </c>
      <c r="B886" s="3">
        <v>47732</v>
      </c>
      <c r="C886" s="4" t="s">
        <v>1150</v>
      </c>
      <c r="D886" s="62" t="e">
        <v>#N/A</v>
      </c>
      <c r="E886" s="55" t="e">
        <v>#N/A</v>
      </c>
      <c r="F886" s="55" t="e">
        <v>#N/A</v>
      </c>
      <c r="G886" s="55" t="e">
        <v>#N/A</v>
      </c>
      <c r="H886" s="55" t="e">
        <v>#N/A</v>
      </c>
      <c r="I886" s="55" t="e">
        <v>#N/A</v>
      </c>
      <c r="J886" s="55" t="e">
        <v>#N/A</v>
      </c>
      <c r="K886" s="55" t="e">
        <v>#N/A</v>
      </c>
    </row>
    <row r="887" spans="1:11" ht="30" hidden="1" x14ac:dyDescent="0.25">
      <c r="A887" s="2" t="s">
        <v>996</v>
      </c>
      <c r="B887" s="3">
        <v>47733</v>
      </c>
      <c r="C887" s="4" t="s">
        <v>1151</v>
      </c>
      <c r="D887" s="62" t="e">
        <v>#N/A</v>
      </c>
      <c r="E887" s="55" t="e">
        <v>#N/A</v>
      </c>
      <c r="F887" s="55" t="e">
        <v>#N/A</v>
      </c>
      <c r="G887" s="55" t="e">
        <v>#N/A</v>
      </c>
      <c r="H887" s="55" t="e">
        <v>#N/A</v>
      </c>
      <c r="I887" s="55" t="e">
        <v>#N/A</v>
      </c>
      <c r="J887" s="55" t="e">
        <v>#N/A</v>
      </c>
      <c r="K887" s="55" t="e">
        <v>#N/A</v>
      </c>
    </row>
    <row r="888" spans="1:11" ht="30" hidden="1" x14ac:dyDescent="0.25">
      <c r="A888" s="2" t="s">
        <v>996</v>
      </c>
      <c r="B888" s="3">
        <v>47734</v>
      </c>
      <c r="C888" s="4" t="s">
        <v>1152</v>
      </c>
      <c r="D888" s="62" t="e">
        <v>#N/A</v>
      </c>
      <c r="E888" s="55" t="e">
        <v>#N/A</v>
      </c>
      <c r="F888" s="55" t="e">
        <v>#N/A</v>
      </c>
      <c r="G888" s="55" t="e">
        <v>#N/A</v>
      </c>
      <c r="H888" s="55" t="e">
        <v>#N/A</v>
      </c>
      <c r="I888" s="55" t="e">
        <v>#N/A</v>
      </c>
      <c r="J888" s="55" t="e">
        <v>#N/A</v>
      </c>
      <c r="K888" s="55" t="e">
        <v>#N/A</v>
      </c>
    </row>
    <row r="889" spans="1:11" ht="45" hidden="1" x14ac:dyDescent="0.25">
      <c r="A889" s="2" t="s">
        <v>996</v>
      </c>
      <c r="B889" s="3">
        <v>47735</v>
      </c>
      <c r="C889" s="4" t="s">
        <v>1153</v>
      </c>
      <c r="D889" s="62" t="e">
        <v>#N/A</v>
      </c>
      <c r="E889" s="55" t="e">
        <v>#N/A</v>
      </c>
      <c r="F889" s="55" t="e">
        <v>#N/A</v>
      </c>
      <c r="G889" s="55" t="e">
        <v>#N/A</v>
      </c>
      <c r="H889" s="55" t="e">
        <v>#N/A</v>
      </c>
      <c r="I889" s="55" t="e">
        <v>#N/A</v>
      </c>
      <c r="J889" s="55" t="e">
        <v>#N/A</v>
      </c>
      <c r="K889" s="55" t="e">
        <v>#N/A</v>
      </c>
    </row>
    <row r="890" spans="1:11" ht="75" hidden="1" x14ac:dyDescent="0.25">
      <c r="A890" s="2" t="s">
        <v>996</v>
      </c>
      <c r="B890" s="3">
        <v>47741</v>
      </c>
      <c r="C890" s="4" t="s">
        <v>1154</v>
      </c>
      <c r="D890" s="62" t="e">
        <v>#N/A</v>
      </c>
      <c r="E890" s="55" t="e">
        <v>#N/A</v>
      </c>
      <c r="F890" s="55" t="e">
        <v>#N/A</v>
      </c>
      <c r="G890" s="55" t="e">
        <v>#N/A</v>
      </c>
      <c r="H890" s="55" t="e">
        <v>#N/A</v>
      </c>
      <c r="I890" s="55" t="e">
        <v>#N/A</v>
      </c>
      <c r="J890" s="55" t="e">
        <v>#N/A</v>
      </c>
      <c r="K890" s="55" t="e">
        <v>#N/A</v>
      </c>
    </row>
    <row r="891" spans="1:11" ht="60" hidden="1" x14ac:dyDescent="0.25">
      <c r="A891" s="2" t="s">
        <v>996</v>
      </c>
      <c r="B891" s="3">
        <v>47742</v>
      </c>
      <c r="C891" s="4" t="s">
        <v>1155</v>
      </c>
      <c r="D891" s="62" t="e">
        <v>#N/A</v>
      </c>
      <c r="E891" s="55" t="e">
        <v>#N/A</v>
      </c>
      <c r="F891" s="55" t="e">
        <v>#N/A</v>
      </c>
      <c r="G891" s="55" t="e">
        <v>#N/A</v>
      </c>
      <c r="H891" s="55" t="e">
        <v>#N/A</v>
      </c>
      <c r="I891" s="55" t="e">
        <v>#N/A</v>
      </c>
      <c r="J891" s="55" t="e">
        <v>#N/A</v>
      </c>
      <c r="K891" s="55" t="e">
        <v>#N/A</v>
      </c>
    </row>
    <row r="892" spans="1:11" ht="60" hidden="1" x14ac:dyDescent="0.25">
      <c r="A892" s="2" t="s">
        <v>996</v>
      </c>
      <c r="B892" s="3">
        <v>47743</v>
      </c>
      <c r="C892" s="4" t="s">
        <v>1156</v>
      </c>
      <c r="D892" s="62" t="e">
        <v>#N/A</v>
      </c>
      <c r="E892" s="55" t="e">
        <v>#N/A</v>
      </c>
      <c r="F892" s="55" t="e">
        <v>#N/A</v>
      </c>
      <c r="G892" s="55" t="e">
        <v>#N/A</v>
      </c>
      <c r="H892" s="55" t="e">
        <v>#N/A</v>
      </c>
      <c r="I892" s="55" t="e">
        <v>#N/A</v>
      </c>
      <c r="J892" s="55" t="e">
        <v>#N/A</v>
      </c>
      <c r="K892" s="55" t="e">
        <v>#N/A</v>
      </c>
    </row>
    <row r="893" spans="1:11" ht="60" hidden="1" x14ac:dyDescent="0.25">
      <c r="A893" s="2" t="s">
        <v>996</v>
      </c>
      <c r="B893" s="3">
        <v>47744</v>
      </c>
      <c r="C893" s="4" t="s">
        <v>1157</v>
      </c>
      <c r="D893" s="62" t="e">
        <v>#N/A</v>
      </c>
      <c r="E893" s="55" t="e">
        <v>#N/A</v>
      </c>
      <c r="F893" s="55" t="e">
        <v>#N/A</v>
      </c>
      <c r="G893" s="55" t="e">
        <v>#N/A</v>
      </c>
      <c r="H893" s="55" t="e">
        <v>#N/A</v>
      </c>
      <c r="I893" s="55" t="e">
        <v>#N/A</v>
      </c>
      <c r="J893" s="55" t="e">
        <v>#N/A</v>
      </c>
      <c r="K893" s="55" t="e">
        <v>#N/A</v>
      </c>
    </row>
    <row r="894" spans="1:11" ht="60" hidden="1" x14ac:dyDescent="0.25">
      <c r="A894" s="2" t="s">
        <v>996</v>
      </c>
      <c r="B894" s="3">
        <v>47745</v>
      </c>
      <c r="C894" s="4" t="s">
        <v>1158</v>
      </c>
      <c r="D894" s="62" t="e">
        <v>#N/A</v>
      </c>
      <c r="E894" s="55" t="e">
        <v>#N/A</v>
      </c>
      <c r="F894" s="55" t="e">
        <v>#N/A</v>
      </c>
      <c r="G894" s="55" t="e">
        <v>#N/A</v>
      </c>
      <c r="H894" s="55" t="e">
        <v>#N/A</v>
      </c>
      <c r="I894" s="55" t="e">
        <v>#N/A</v>
      </c>
      <c r="J894" s="55" t="e">
        <v>#N/A</v>
      </c>
      <c r="K894" s="55" t="e">
        <v>#N/A</v>
      </c>
    </row>
    <row r="895" spans="1:11" ht="45" hidden="1" x14ac:dyDescent="0.25">
      <c r="A895" s="2" t="s">
        <v>996</v>
      </c>
      <c r="B895" s="3">
        <v>47746</v>
      </c>
      <c r="C895" s="4" t="s">
        <v>1159</v>
      </c>
      <c r="D895" s="62" t="e">
        <v>#N/A</v>
      </c>
      <c r="E895" s="55" t="e">
        <v>#N/A</v>
      </c>
      <c r="F895" s="55" t="e">
        <v>#N/A</v>
      </c>
      <c r="G895" s="55" t="e">
        <v>#N/A</v>
      </c>
      <c r="H895" s="55" t="e">
        <v>#N/A</v>
      </c>
      <c r="I895" s="55" t="e">
        <v>#N/A</v>
      </c>
      <c r="J895" s="55" t="e">
        <v>#N/A</v>
      </c>
      <c r="K895" s="55" t="e">
        <v>#N/A</v>
      </c>
    </row>
    <row r="896" spans="1:11" ht="45" hidden="1" x14ac:dyDescent="0.25">
      <c r="A896" s="2" t="s">
        <v>996</v>
      </c>
      <c r="B896" s="3">
        <v>47749</v>
      </c>
      <c r="C896" s="4" t="s">
        <v>1160</v>
      </c>
      <c r="D896" s="62" t="e">
        <v>#N/A</v>
      </c>
      <c r="E896" s="55" t="e">
        <v>#N/A</v>
      </c>
      <c r="F896" s="55" t="e">
        <v>#N/A</v>
      </c>
      <c r="G896" s="55" t="e">
        <v>#N/A</v>
      </c>
      <c r="H896" s="55" t="e">
        <v>#N/A</v>
      </c>
      <c r="I896" s="55" t="e">
        <v>#N/A</v>
      </c>
      <c r="J896" s="55" t="e">
        <v>#N/A</v>
      </c>
      <c r="K896" s="55" t="e">
        <v>#N/A</v>
      </c>
    </row>
    <row r="897" spans="1:11" ht="60" hidden="1" x14ac:dyDescent="0.25">
      <c r="A897" s="2" t="s">
        <v>996</v>
      </c>
      <c r="B897" s="3">
        <v>47751</v>
      </c>
      <c r="C897" s="4" t="s">
        <v>1161</v>
      </c>
      <c r="D897" s="62" t="e">
        <v>#N/A</v>
      </c>
      <c r="E897" s="55" t="e">
        <v>#N/A</v>
      </c>
      <c r="F897" s="55" t="e">
        <v>#N/A</v>
      </c>
      <c r="G897" s="55" t="e">
        <v>#N/A</v>
      </c>
      <c r="H897" s="55" t="e">
        <v>#N/A</v>
      </c>
      <c r="I897" s="55" t="e">
        <v>#N/A</v>
      </c>
      <c r="J897" s="55" t="e">
        <v>#N/A</v>
      </c>
      <c r="K897" s="55" t="e">
        <v>#N/A</v>
      </c>
    </row>
    <row r="898" spans="1:11" ht="60" hidden="1" x14ac:dyDescent="0.25">
      <c r="A898" s="2" t="s">
        <v>996</v>
      </c>
      <c r="B898" s="3">
        <v>47752</v>
      </c>
      <c r="C898" s="4" t="s">
        <v>1162</v>
      </c>
      <c r="D898" s="62" t="e">
        <v>#N/A</v>
      </c>
      <c r="E898" s="55" t="e">
        <v>#N/A</v>
      </c>
      <c r="F898" s="55" t="e">
        <v>#N/A</v>
      </c>
      <c r="G898" s="55" t="e">
        <v>#N/A</v>
      </c>
      <c r="H898" s="55" t="e">
        <v>#N/A</v>
      </c>
      <c r="I898" s="55" t="e">
        <v>#N/A</v>
      </c>
      <c r="J898" s="55" t="e">
        <v>#N/A</v>
      </c>
      <c r="K898" s="55" t="e">
        <v>#N/A</v>
      </c>
    </row>
    <row r="899" spans="1:11" ht="60" hidden="1" x14ac:dyDescent="0.25">
      <c r="A899" s="2" t="s">
        <v>996</v>
      </c>
      <c r="B899" s="3">
        <v>47753</v>
      </c>
      <c r="C899" s="4" t="s">
        <v>1163</v>
      </c>
      <c r="D899" s="62" t="e">
        <v>#N/A</v>
      </c>
      <c r="E899" s="55" t="e">
        <v>#N/A</v>
      </c>
      <c r="F899" s="55" t="e">
        <v>#N/A</v>
      </c>
      <c r="G899" s="55" t="e">
        <v>#N/A</v>
      </c>
      <c r="H899" s="55" t="e">
        <v>#N/A</v>
      </c>
      <c r="I899" s="55" t="e">
        <v>#N/A</v>
      </c>
      <c r="J899" s="55" t="e">
        <v>#N/A</v>
      </c>
      <c r="K899" s="55" t="e">
        <v>#N/A</v>
      </c>
    </row>
    <row r="900" spans="1:11" ht="60" hidden="1" x14ac:dyDescent="0.25">
      <c r="A900" s="2" t="s">
        <v>996</v>
      </c>
      <c r="B900" s="3">
        <v>47754</v>
      </c>
      <c r="C900" s="4" t="s">
        <v>1164</v>
      </c>
      <c r="D900" s="62" t="e">
        <v>#N/A</v>
      </c>
      <c r="E900" s="55" t="e">
        <v>#N/A</v>
      </c>
      <c r="F900" s="55" t="e">
        <v>#N/A</v>
      </c>
      <c r="G900" s="55" t="e">
        <v>#N/A</v>
      </c>
      <c r="H900" s="55" t="e">
        <v>#N/A</v>
      </c>
      <c r="I900" s="55" t="e">
        <v>#N/A</v>
      </c>
      <c r="J900" s="55" t="e">
        <v>#N/A</v>
      </c>
      <c r="K900" s="55" t="e">
        <v>#N/A</v>
      </c>
    </row>
    <row r="901" spans="1:11" ht="45" hidden="1" x14ac:dyDescent="0.25">
      <c r="A901" s="2" t="s">
        <v>996</v>
      </c>
      <c r="B901" s="3">
        <v>47761</v>
      </c>
      <c r="C901" s="4" t="s">
        <v>1165</v>
      </c>
      <c r="D901" s="62" t="e">
        <v>#N/A</v>
      </c>
      <c r="E901" s="55" t="e">
        <v>#N/A</v>
      </c>
      <c r="F901" s="55" t="e">
        <v>#N/A</v>
      </c>
      <c r="G901" s="55" t="e">
        <v>#N/A</v>
      </c>
      <c r="H901" s="55" t="e">
        <v>#N/A</v>
      </c>
      <c r="I901" s="55" t="e">
        <v>#N/A</v>
      </c>
      <c r="J901" s="55" t="e">
        <v>#N/A</v>
      </c>
      <c r="K901" s="55" t="e">
        <v>#N/A</v>
      </c>
    </row>
    <row r="902" spans="1:11" ht="60" hidden="1" x14ac:dyDescent="0.25">
      <c r="A902" s="2" t="s">
        <v>996</v>
      </c>
      <c r="B902" s="3">
        <v>47762</v>
      </c>
      <c r="C902" s="4" t="s">
        <v>1166</v>
      </c>
      <c r="D902" s="62" t="e">
        <v>#N/A</v>
      </c>
      <c r="E902" s="55" t="e">
        <v>#N/A</v>
      </c>
      <c r="F902" s="55" t="e">
        <v>#N/A</v>
      </c>
      <c r="G902" s="55" t="e">
        <v>#N/A</v>
      </c>
      <c r="H902" s="55" t="e">
        <v>#N/A</v>
      </c>
      <c r="I902" s="55" t="e">
        <v>#N/A</v>
      </c>
      <c r="J902" s="55" t="e">
        <v>#N/A</v>
      </c>
      <c r="K902" s="55" t="e">
        <v>#N/A</v>
      </c>
    </row>
    <row r="903" spans="1:11" ht="45" hidden="1" x14ac:dyDescent="0.25">
      <c r="A903" s="2" t="s">
        <v>996</v>
      </c>
      <c r="B903" s="3">
        <v>47763</v>
      </c>
      <c r="C903" s="4" t="s">
        <v>1167</v>
      </c>
      <c r="D903" s="62" t="e">
        <v>#N/A</v>
      </c>
      <c r="E903" s="55" t="e">
        <v>#N/A</v>
      </c>
      <c r="F903" s="55" t="e">
        <v>#N/A</v>
      </c>
      <c r="G903" s="55" t="e">
        <v>#N/A</v>
      </c>
      <c r="H903" s="55" t="e">
        <v>#N/A</v>
      </c>
      <c r="I903" s="55" t="e">
        <v>#N/A</v>
      </c>
      <c r="J903" s="55" t="e">
        <v>#N/A</v>
      </c>
      <c r="K903" s="55" t="e">
        <v>#N/A</v>
      </c>
    </row>
    <row r="904" spans="1:11" ht="75" hidden="1" x14ac:dyDescent="0.25">
      <c r="A904" s="2" t="s">
        <v>996</v>
      </c>
      <c r="B904" s="3">
        <v>47764</v>
      </c>
      <c r="C904" s="4" t="s">
        <v>1168</v>
      </c>
      <c r="D904" s="62" t="e">
        <v>#N/A</v>
      </c>
      <c r="E904" s="55" t="e">
        <v>#N/A</v>
      </c>
      <c r="F904" s="55" t="e">
        <v>#N/A</v>
      </c>
      <c r="G904" s="55" t="e">
        <v>#N/A</v>
      </c>
      <c r="H904" s="55" t="e">
        <v>#N/A</v>
      </c>
      <c r="I904" s="55" t="e">
        <v>#N/A</v>
      </c>
      <c r="J904" s="55" t="e">
        <v>#N/A</v>
      </c>
      <c r="K904" s="55" t="e">
        <v>#N/A</v>
      </c>
    </row>
    <row r="905" spans="1:11" ht="60" hidden="1" x14ac:dyDescent="0.25">
      <c r="A905" s="2" t="s">
        <v>996</v>
      </c>
      <c r="B905" s="3">
        <v>47765</v>
      </c>
      <c r="C905" s="4" t="s">
        <v>1169</v>
      </c>
      <c r="D905" s="62" t="e">
        <v>#N/A</v>
      </c>
      <c r="E905" s="55" t="e">
        <v>#N/A</v>
      </c>
      <c r="F905" s="55" t="e">
        <v>#N/A</v>
      </c>
      <c r="G905" s="55" t="e">
        <v>#N/A</v>
      </c>
      <c r="H905" s="55" t="e">
        <v>#N/A</v>
      </c>
      <c r="I905" s="55" t="e">
        <v>#N/A</v>
      </c>
      <c r="J905" s="55" t="e">
        <v>#N/A</v>
      </c>
      <c r="K905" s="55" t="e">
        <v>#N/A</v>
      </c>
    </row>
    <row r="906" spans="1:11" ht="45" hidden="1" x14ac:dyDescent="0.25">
      <c r="A906" s="2" t="s">
        <v>996</v>
      </c>
      <c r="B906" s="3">
        <v>47771</v>
      </c>
      <c r="C906" s="4" t="s">
        <v>1170</v>
      </c>
      <c r="D906" s="62" t="e">
        <v>#N/A</v>
      </c>
      <c r="E906" s="55" t="e">
        <v>#N/A</v>
      </c>
      <c r="F906" s="55" t="e">
        <v>#N/A</v>
      </c>
      <c r="G906" s="55" t="e">
        <v>#N/A</v>
      </c>
      <c r="H906" s="55" t="e">
        <v>#N/A</v>
      </c>
      <c r="I906" s="55" t="e">
        <v>#N/A</v>
      </c>
      <c r="J906" s="55" t="e">
        <v>#N/A</v>
      </c>
      <c r="K906" s="55" t="e">
        <v>#N/A</v>
      </c>
    </row>
    <row r="907" spans="1:11" ht="45" hidden="1" x14ac:dyDescent="0.25">
      <c r="A907" s="2" t="s">
        <v>996</v>
      </c>
      <c r="B907" s="3">
        <v>47772</v>
      </c>
      <c r="C907" s="4" t="s">
        <v>1171</v>
      </c>
      <c r="D907" s="62" t="e">
        <v>#N/A</v>
      </c>
      <c r="E907" s="55" t="e">
        <v>#N/A</v>
      </c>
      <c r="F907" s="55" t="e">
        <v>#N/A</v>
      </c>
      <c r="G907" s="55" t="e">
        <v>#N/A</v>
      </c>
      <c r="H907" s="55" t="e">
        <v>#N/A</v>
      </c>
      <c r="I907" s="55" t="e">
        <v>#N/A</v>
      </c>
      <c r="J907" s="55" t="e">
        <v>#N/A</v>
      </c>
      <c r="K907" s="55" t="e">
        <v>#N/A</v>
      </c>
    </row>
    <row r="908" spans="1:11" ht="30" hidden="1" x14ac:dyDescent="0.25">
      <c r="A908" s="2" t="s">
        <v>996</v>
      </c>
      <c r="B908" s="3">
        <v>47773</v>
      </c>
      <c r="C908" s="4" t="s">
        <v>1172</v>
      </c>
      <c r="D908" s="62" t="e">
        <v>#N/A</v>
      </c>
      <c r="E908" s="55" t="e">
        <v>#N/A</v>
      </c>
      <c r="F908" s="55" t="e">
        <v>#N/A</v>
      </c>
      <c r="G908" s="55" t="e">
        <v>#N/A</v>
      </c>
      <c r="H908" s="55" t="e">
        <v>#N/A</v>
      </c>
      <c r="I908" s="55" t="e">
        <v>#N/A</v>
      </c>
      <c r="J908" s="55" t="e">
        <v>#N/A</v>
      </c>
      <c r="K908" s="55" t="e">
        <v>#N/A</v>
      </c>
    </row>
    <row r="909" spans="1:11" ht="60" hidden="1" x14ac:dyDescent="0.25">
      <c r="A909" s="2" t="s">
        <v>996</v>
      </c>
      <c r="B909" s="3">
        <v>47774</v>
      </c>
      <c r="C909" s="4" t="s">
        <v>1173</v>
      </c>
      <c r="D909" s="62" t="e">
        <v>#N/A</v>
      </c>
      <c r="E909" s="55" t="e">
        <v>#N/A</v>
      </c>
      <c r="F909" s="55" t="e">
        <v>#N/A</v>
      </c>
      <c r="G909" s="55" t="e">
        <v>#N/A</v>
      </c>
      <c r="H909" s="55" t="e">
        <v>#N/A</v>
      </c>
      <c r="I909" s="55" t="e">
        <v>#N/A</v>
      </c>
      <c r="J909" s="55" t="e">
        <v>#N/A</v>
      </c>
      <c r="K909" s="55" t="e">
        <v>#N/A</v>
      </c>
    </row>
    <row r="910" spans="1:11" ht="75" hidden="1" x14ac:dyDescent="0.25">
      <c r="A910" s="2" t="s">
        <v>996</v>
      </c>
      <c r="B910" s="3">
        <v>47779</v>
      </c>
      <c r="C910" s="4" t="s">
        <v>1174</v>
      </c>
      <c r="D910" s="62" t="e">
        <v>#N/A</v>
      </c>
      <c r="E910" s="55" t="e">
        <v>#N/A</v>
      </c>
      <c r="F910" s="55" t="e">
        <v>#N/A</v>
      </c>
      <c r="G910" s="55" t="e">
        <v>#N/A</v>
      </c>
      <c r="H910" s="55" t="e">
        <v>#N/A</v>
      </c>
      <c r="I910" s="55" t="e">
        <v>#N/A</v>
      </c>
      <c r="J910" s="55" t="e">
        <v>#N/A</v>
      </c>
      <c r="K910" s="55" t="e">
        <v>#N/A</v>
      </c>
    </row>
    <row r="911" spans="1:11" ht="60" hidden="1" x14ac:dyDescent="0.25">
      <c r="A911" s="2" t="s">
        <v>996</v>
      </c>
      <c r="B911" s="3">
        <v>47781</v>
      </c>
      <c r="C911" s="4" t="s">
        <v>1175</v>
      </c>
      <c r="D911" s="62" t="e">
        <v>#N/A</v>
      </c>
      <c r="E911" s="55" t="e">
        <v>#N/A</v>
      </c>
      <c r="F911" s="55" t="e">
        <v>#N/A</v>
      </c>
      <c r="G911" s="55" t="e">
        <v>#N/A</v>
      </c>
      <c r="H911" s="55" t="e">
        <v>#N/A</v>
      </c>
      <c r="I911" s="55" t="e">
        <v>#N/A</v>
      </c>
      <c r="J911" s="55" t="e">
        <v>#N/A</v>
      </c>
      <c r="K911" s="55" t="e">
        <v>#N/A</v>
      </c>
    </row>
    <row r="912" spans="1:11" ht="30" hidden="1" x14ac:dyDescent="0.25">
      <c r="A912" s="2" t="s">
        <v>996</v>
      </c>
      <c r="B912" s="3">
        <v>47782</v>
      </c>
      <c r="C912" s="4" t="s">
        <v>1176</v>
      </c>
      <c r="D912" s="62" t="e">
        <v>#N/A</v>
      </c>
      <c r="E912" s="55" t="e">
        <v>#N/A</v>
      </c>
      <c r="F912" s="55" t="e">
        <v>#N/A</v>
      </c>
      <c r="G912" s="55" t="e">
        <v>#N/A</v>
      </c>
      <c r="H912" s="55" t="e">
        <v>#N/A</v>
      </c>
      <c r="I912" s="55" t="e">
        <v>#N/A</v>
      </c>
      <c r="J912" s="55" t="e">
        <v>#N/A</v>
      </c>
      <c r="K912" s="55" t="e">
        <v>#N/A</v>
      </c>
    </row>
    <row r="913" spans="1:11" ht="45" hidden="1" x14ac:dyDescent="0.25">
      <c r="A913" s="2" t="s">
        <v>996</v>
      </c>
      <c r="B913" s="3">
        <v>47791</v>
      </c>
      <c r="C913" s="4" t="s">
        <v>1177</v>
      </c>
      <c r="D913" s="62" t="e">
        <v>#N/A</v>
      </c>
      <c r="E913" s="55" t="e">
        <v>#N/A</v>
      </c>
      <c r="F913" s="55" t="e">
        <v>#N/A</v>
      </c>
      <c r="G913" s="55" t="e">
        <v>#N/A</v>
      </c>
      <c r="H913" s="55" t="e">
        <v>#N/A</v>
      </c>
      <c r="I913" s="55" t="e">
        <v>#N/A</v>
      </c>
      <c r="J913" s="55" t="e">
        <v>#N/A</v>
      </c>
      <c r="K913" s="55" t="e">
        <v>#N/A</v>
      </c>
    </row>
    <row r="914" spans="1:11" ht="75" hidden="1" x14ac:dyDescent="0.25">
      <c r="A914" s="2" t="s">
        <v>996</v>
      </c>
      <c r="B914" s="3">
        <v>47792</v>
      </c>
      <c r="C914" s="4" t="s">
        <v>1178</v>
      </c>
      <c r="D914" s="62" t="e">
        <v>#N/A</v>
      </c>
      <c r="E914" s="55" t="e">
        <v>#N/A</v>
      </c>
      <c r="F914" s="55" t="e">
        <v>#N/A</v>
      </c>
      <c r="G914" s="55" t="e">
        <v>#N/A</v>
      </c>
      <c r="H914" s="55" t="e">
        <v>#N/A</v>
      </c>
      <c r="I914" s="55" t="e">
        <v>#N/A</v>
      </c>
      <c r="J914" s="55" t="e">
        <v>#N/A</v>
      </c>
      <c r="K914" s="55" t="e">
        <v>#N/A</v>
      </c>
    </row>
    <row r="915" spans="1:11" ht="60" hidden="1" x14ac:dyDescent="0.25">
      <c r="A915" s="2" t="s">
        <v>996</v>
      </c>
      <c r="B915" s="3">
        <v>47793</v>
      </c>
      <c r="C915" s="4" t="s">
        <v>1179</v>
      </c>
      <c r="D915" s="62" t="e">
        <v>#N/A</v>
      </c>
      <c r="E915" s="55" t="e">
        <v>#N/A</v>
      </c>
      <c r="F915" s="55" t="e">
        <v>#N/A</v>
      </c>
      <c r="G915" s="55" t="e">
        <v>#N/A</v>
      </c>
      <c r="H915" s="55" t="e">
        <v>#N/A</v>
      </c>
      <c r="I915" s="55" t="e">
        <v>#N/A</v>
      </c>
      <c r="J915" s="55" t="e">
        <v>#N/A</v>
      </c>
      <c r="K915" s="55" t="e">
        <v>#N/A</v>
      </c>
    </row>
    <row r="916" spans="1:11" ht="45" hidden="1" x14ac:dyDescent="0.25">
      <c r="A916" s="2" t="s">
        <v>996</v>
      </c>
      <c r="B916" s="3">
        <v>47794</v>
      </c>
      <c r="C916" s="4" t="s">
        <v>1180</v>
      </c>
      <c r="D916" s="62" t="e">
        <v>#N/A</v>
      </c>
      <c r="E916" s="55" t="e">
        <v>#N/A</v>
      </c>
      <c r="F916" s="55" t="e">
        <v>#N/A</v>
      </c>
      <c r="G916" s="55" t="e">
        <v>#N/A</v>
      </c>
      <c r="H916" s="55" t="e">
        <v>#N/A</v>
      </c>
      <c r="I916" s="55" t="e">
        <v>#N/A</v>
      </c>
      <c r="J916" s="55" t="e">
        <v>#N/A</v>
      </c>
      <c r="K916" s="55" t="e">
        <v>#N/A</v>
      </c>
    </row>
    <row r="917" spans="1:11" ht="75" hidden="1" x14ac:dyDescent="0.25">
      <c r="A917" s="2" t="s">
        <v>996</v>
      </c>
      <c r="B917" s="3">
        <v>47795</v>
      </c>
      <c r="C917" s="4" t="s">
        <v>1181</v>
      </c>
      <c r="D917" s="62" t="e">
        <v>#N/A</v>
      </c>
      <c r="E917" s="55" t="e">
        <v>#N/A</v>
      </c>
      <c r="F917" s="55" t="e">
        <v>#N/A</v>
      </c>
      <c r="G917" s="55" t="e">
        <v>#N/A</v>
      </c>
      <c r="H917" s="55" t="e">
        <v>#N/A</v>
      </c>
      <c r="I917" s="55" t="e">
        <v>#N/A</v>
      </c>
      <c r="J917" s="55" t="e">
        <v>#N/A</v>
      </c>
      <c r="K917" s="55" t="e">
        <v>#N/A</v>
      </c>
    </row>
    <row r="918" spans="1:11" ht="60" hidden="1" x14ac:dyDescent="0.25">
      <c r="A918" s="2" t="s">
        <v>996</v>
      </c>
      <c r="B918" s="3">
        <v>47796</v>
      </c>
      <c r="C918" s="4" t="s">
        <v>1182</v>
      </c>
      <c r="D918" s="62" t="e">
        <v>#N/A</v>
      </c>
      <c r="E918" s="55" t="e">
        <v>#N/A</v>
      </c>
      <c r="F918" s="55" t="e">
        <v>#N/A</v>
      </c>
      <c r="G918" s="55" t="e">
        <v>#N/A</v>
      </c>
      <c r="H918" s="55" t="e">
        <v>#N/A</v>
      </c>
      <c r="I918" s="55" t="e">
        <v>#N/A</v>
      </c>
      <c r="J918" s="55" t="e">
        <v>#N/A</v>
      </c>
      <c r="K918" s="55" t="e">
        <v>#N/A</v>
      </c>
    </row>
    <row r="919" spans="1:11" ht="45" hidden="1" x14ac:dyDescent="0.25">
      <c r="A919" s="2" t="s">
        <v>996</v>
      </c>
      <c r="B919" s="3">
        <v>47799</v>
      </c>
      <c r="C919" s="4" t="s">
        <v>1183</v>
      </c>
      <c r="D919" s="62" t="e">
        <v>#N/A</v>
      </c>
      <c r="E919" s="55" t="e">
        <v>#N/A</v>
      </c>
      <c r="F919" s="55" t="e">
        <v>#N/A</v>
      </c>
      <c r="G919" s="55" t="e">
        <v>#N/A</v>
      </c>
      <c r="H919" s="55" t="e">
        <v>#N/A</v>
      </c>
      <c r="I919" s="55" t="e">
        <v>#N/A</v>
      </c>
      <c r="J919" s="55" t="e">
        <v>#N/A</v>
      </c>
      <c r="K919" s="55" t="e">
        <v>#N/A</v>
      </c>
    </row>
    <row r="920" spans="1:11" ht="30" hidden="1" x14ac:dyDescent="0.25">
      <c r="A920" s="2" t="s">
        <v>996</v>
      </c>
      <c r="B920" s="3">
        <v>47811</v>
      </c>
      <c r="C920" s="4" t="s">
        <v>1184</v>
      </c>
      <c r="D920" s="62" t="e">
        <v>#N/A</v>
      </c>
      <c r="E920" s="55" t="e">
        <v>#N/A</v>
      </c>
      <c r="F920" s="55" t="e">
        <v>#N/A</v>
      </c>
      <c r="G920" s="55" t="e">
        <v>#N/A</v>
      </c>
      <c r="H920" s="55" t="e">
        <v>#N/A</v>
      </c>
      <c r="I920" s="55" t="e">
        <v>#N/A</v>
      </c>
      <c r="J920" s="55" t="e">
        <v>#N/A</v>
      </c>
      <c r="K920" s="55" t="e">
        <v>#N/A</v>
      </c>
    </row>
    <row r="921" spans="1:11" ht="30" hidden="1" x14ac:dyDescent="0.25">
      <c r="A921" s="2" t="s">
        <v>996</v>
      </c>
      <c r="B921" s="3">
        <v>47812</v>
      </c>
      <c r="C921" s="4" t="s">
        <v>1185</v>
      </c>
      <c r="D921" s="62" t="e">
        <v>#N/A</v>
      </c>
      <c r="E921" s="55" t="e">
        <v>#N/A</v>
      </c>
      <c r="F921" s="55" t="e">
        <v>#N/A</v>
      </c>
      <c r="G921" s="55" t="e">
        <v>#N/A</v>
      </c>
      <c r="H921" s="55" t="e">
        <v>#N/A</v>
      </c>
      <c r="I921" s="55" t="e">
        <v>#N/A</v>
      </c>
      <c r="J921" s="55" t="e">
        <v>#N/A</v>
      </c>
      <c r="K921" s="55" t="e">
        <v>#N/A</v>
      </c>
    </row>
    <row r="922" spans="1:11" ht="60" hidden="1" x14ac:dyDescent="0.25">
      <c r="A922" s="2" t="s">
        <v>996</v>
      </c>
      <c r="B922" s="3">
        <v>47820</v>
      </c>
      <c r="C922" s="4" t="s">
        <v>1186</v>
      </c>
      <c r="D922" s="62" t="e">
        <v>#N/A</v>
      </c>
      <c r="E922" s="55" t="e">
        <v>#N/A</v>
      </c>
      <c r="F922" s="55" t="e">
        <v>#N/A</v>
      </c>
      <c r="G922" s="55" t="e">
        <v>#N/A</v>
      </c>
      <c r="H922" s="55" t="e">
        <v>#N/A</v>
      </c>
      <c r="I922" s="55" t="e">
        <v>#N/A</v>
      </c>
      <c r="J922" s="55" t="e">
        <v>#N/A</v>
      </c>
      <c r="K922" s="55" t="e">
        <v>#N/A</v>
      </c>
    </row>
    <row r="923" spans="1:11" ht="45" hidden="1" x14ac:dyDescent="0.25">
      <c r="A923" s="2" t="s">
        <v>996</v>
      </c>
      <c r="B923" s="3">
        <v>47831</v>
      </c>
      <c r="C923" s="4" t="s">
        <v>1187</v>
      </c>
      <c r="D923" s="62" t="e">
        <v>#N/A</v>
      </c>
      <c r="E923" s="55" t="e">
        <v>#N/A</v>
      </c>
      <c r="F923" s="55" t="e">
        <v>#N/A</v>
      </c>
      <c r="G923" s="55" t="e">
        <v>#N/A</v>
      </c>
      <c r="H923" s="55" t="e">
        <v>#N/A</v>
      </c>
      <c r="I923" s="55" t="e">
        <v>#N/A</v>
      </c>
      <c r="J923" s="55" t="e">
        <v>#N/A</v>
      </c>
      <c r="K923" s="55" t="e">
        <v>#N/A</v>
      </c>
    </row>
    <row r="924" spans="1:11" ht="45" hidden="1" x14ac:dyDescent="0.25">
      <c r="A924" s="2" t="s">
        <v>996</v>
      </c>
      <c r="B924" s="3">
        <v>47832</v>
      </c>
      <c r="C924" s="4" t="s">
        <v>1188</v>
      </c>
      <c r="D924" s="62" t="e">
        <v>#N/A</v>
      </c>
      <c r="E924" s="55" t="e">
        <v>#N/A</v>
      </c>
      <c r="F924" s="55" t="e">
        <v>#N/A</v>
      </c>
      <c r="G924" s="55" t="e">
        <v>#N/A</v>
      </c>
      <c r="H924" s="55" t="e">
        <v>#N/A</v>
      </c>
      <c r="I924" s="55" t="e">
        <v>#N/A</v>
      </c>
      <c r="J924" s="55" t="e">
        <v>#N/A</v>
      </c>
      <c r="K924" s="55" t="e">
        <v>#N/A</v>
      </c>
    </row>
    <row r="925" spans="1:11" ht="60" hidden="1" x14ac:dyDescent="0.25">
      <c r="A925" s="2" t="s">
        <v>996</v>
      </c>
      <c r="B925" s="3">
        <v>47833</v>
      </c>
      <c r="C925" s="4" t="s">
        <v>1189</v>
      </c>
      <c r="D925" s="62" t="e">
        <v>#N/A</v>
      </c>
      <c r="E925" s="55" t="e">
        <v>#N/A</v>
      </c>
      <c r="F925" s="55" t="e">
        <v>#N/A</v>
      </c>
      <c r="G925" s="55" t="e">
        <v>#N/A</v>
      </c>
      <c r="H925" s="55" t="e">
        <v>#N/A</v>
      </c>
      <c r="I925" s="55" t="e">
        <v>#N/A</v>
      </c>
      <c r="J925" s="55" t="e">
        <v>#N/A</v>
      </c>
      <c r="K925" s="55" t="e">
        <v>#N/A</v>
      </c>
    </row>
    <row r="926" spans="1:11" ht="60" hidden="1" x14ac:dyDescent="0.25">
      <c r="A926" s="2" t="s">
        <v>996</v>
      </c>
      <c r="B926" s="3">
        <v>47901</v>
      </c>
      <c r="C926" s="4" t="s">
        <v>1190</v>
      </c>
      <c r="D926" s="62" t="e">
        <v>#N/A</v>
      </c>
      <c r="E926" s="55" t="e">
        <v>#N/A</v>
      </c>
      <c r="F926" s="55" t="e">
        <v>#N/A</v>
      </c>
      <c r="G926" s="55" t="s">
        <v>2090</v>
      </c>
      <c r="H926" s="55" t="e">
        <v>#N/A</v>
      </c>
      <c r="I926" s="55" t="e">
        <v>#N/A</v>
      </c>
      <c r="J926" s="55" t="e">
        <v>#N/A</v>
      </c>
      <c r="K926" s="55" t="e">
        <v>#N/A</v>
      </c>
    </row>
    <row r="927" spans="1:11" ht="45" hidden="1" x14ac:dyDescent="0.25">
      <c r="A927" s="2" t="s">
        <v>996</v>
      </c>
      <c r="B927" s="3">
        <v>47909</v>
      </c>
      <c r="C927" s="4" t="s">
        <v>1191</v>
      </c>
      <c r="D927" s="62" t="e">
        <v>#N/A</v>
      </c>
      <c r="E927" s="55" t="e">
        <v>#N/A</v>
      </c>
      <c r="F927" s="55" t="e">
        <v>#N/A</v>
      </c>
      <c r="G927" s="55" t="s">
        <v>2090</v>
      </c>
      <c r="H927" s="55" t="e">
        <v>#N/A</v>
      </c>
      <c r="I927" s="55" t="e">
        <v>#N/A</v>
      </c>
      <c r="J927" s="55" t="e">
        <v>#N/A</v>
      </c>
      <c r="K927" s="55" t="e">
        <v>#N/A</v>
      </c>
    </row>
    <row r="928" spans="1:11" ht="30" hidden="1" x14ac:dyDescent="0.25">
      <c r="A928" s="2" t="s">
        <v>16</v>
      </c>
      <c r="B928" s="3">
        <v>49111</v>
      </c>
      <c r="C928" s="4" t="s">
        <v>1192</v>
      </c>
      <c r="D928" s="62" t="e">
        <v>#N/A</v>
      </c>
      <c r="E928" s="55" t="e">
        <v>#N/A</v>
      </c>
      <c r="F928" s="55" t="e">
        <v>#N/A</v>
      </c>
      <c r="G928" s="55" t="e">
        <v>#N/A</v>
      </c>
      <c r="H928" s="55" t="e">
        <v>#N/A</v>
      </c>
      <c r="I928" s="55" t="e">
        <v>#N/A</v>
      </c>
      <c r="J928" s="55" t="e">
        <v>#N/A</v>
      </c>
      <c r="K928" s="55" t="e">
        <v>#N/A</v>
      </c>
    </row>
    <row r="929" spans="1:11" ht="60" hidden="1" x14ac:dyDescent="0.25">
      <c r="A929" s="2" t="s">
        <v>16</v>
      </c>
      <c r="B929" s="3">
        <v>49119</v>
      </c>
      <c r="C929" s="4" t="s">
        <v>1193</v>
      </c>
      <c r="D929" s="62" t="e">
        <v>#N/A</v>
      </c>
      <c r="E929" s="55" t="e">
        <v>#N/A</v>
      </c>
      <c r="F929" s="55" t="e">
        <v>#N/A</v>
      </c>
      <c r="G929" s="55" t="e">
        <v>#N/A</v>
      </c>
      <c r="H929" s="55" t="e">
        <v>#N/A</v>
      </c>
      <c r="I929" s="55" t="e">
        <v>#N/A</v>
      </c>
      <c r="J929" s="55" t="e">
        <v>#N/A</v>
      </c>
      <c r="K929" s="55" t="e">
        <v>#N/A</v>
      </c>
    </row>
    <row r="930" spans="1:11" ht="45" hidden="1" x14ac:dyDescent="0.25">
      <c r="A930" s="2" t="s">
        <v>16</v>
      </c>
      <c r="B930" s="3">
        <v>49120</v>
      </c>
      <c r="C930" s="4" t="s">
        <v>1194</v>
      </c>
      <c r="D930" s="62" t="e">
        <v>#N/A</v>
      </c>
      <c r="E930" s="55" t="e">
        <v>#N/A</v>
      </c>
      <c r="F930" s="55" t="e">
        <v>#N/A</v>
      </c>
      <c r="G930" s="55" t="e">
        <v>#N/A</v>
      </c>
      <c r="H930" s="55" t="e">
        <v>#N/A</v>
      </c>
      <c r="I930" s="55" t="e">
        <v>#N/A</v>
      </c>
      <c r="J930" s="55" t="e">
        <v>#N/A</v>
      </c>
      <c r="K930" s="55" t="e">
        <v>#N/A</v>
      </c>
    </row>
    <row r="931" spans="1:11" ht="30" hidden="1" x14ac:dyDescent="0.25">
      <c r="A931" s="2" t="s">
        <v>16</v>
      </c>
      <c r="B931" s="3">
        <v>49211</v>
      </c>
      <c r="C931" s="4" t="s">
        <v>1195</v>
      </c>
      <c r="D931" s="62" t="e">
        <v>#N/A</v>
      </c>
      <c r="E931" s="55" t="e">
        <v>#N/A</v>
      </c>
      <c r="F931" s="55" t="e">
        <v>#N/A</v>
      </c>
      <c r="G931" s="55" t="e">
        <v>#N/A</v>
      </c>
      <c r="H931" s="55" t="e">
        <v>#N/A</v>
      </c>
      <c r="I931" s="55" t="e">
        <v>#N/A</v>
      </c>
      <c r="J931" s="55" t="e">
        <v>#N/A</v>
      </c>
      <c r="K931" s="55" t="e">
        <v>#N/A</v>
      </c>
    </row>
    <row r="932" spans="1:11" ht="30" hidden="1" x14ac:dyDescent="0.25">
      <c r="A932" s="2" t="s">
        <v>16</v>
      </c>
      <c r="B932" s="3">
        <v>49212</v>
      </c>
      <c r="C932" s="4" t="s">
        <v>1196</v>
      </c>
      <c r="D932" s="62" t="e">
        <v>#N/A</v>
      </c>
      <c r="E932" s="55" t="e">
        <v>#N/A</v>
      </c>
      <c r="F932" s="55" t="e">
        <v>#N/A</v>
      </c>
      <c r="G932" s="55" t="e">
        <v>#N/A</v>
      </c>
      <c r="H932" s="55" t="e">
        <v>#N/A</v>
      </c>
      <c r="I932" s="55" t="e">
        <v>#N/A</v>
      </c>
      <c r="J932" s="55" t="e">
        <v>#N/A</v>
      </c>
      <c r="K932" s="55" t="e">
        <v>#N/A</v>
      </c>
    </row>
    <row r="933" spans="1:11" ht="30" hidden="1" x14ac:dyDescent="0.25">
      <c r="A933" s="2" t="s">
        <v>16</v>
      </c>
      <c r="B933" s="3">
        <v>49213</v>
      </c>
      <c r="C933" s="4" t="s">
        <v>1197</v>
      </c>
      <c r="D933" s="62" t="e">
        <v>#N/A</v>
      </c>
      <c r="E933" s="55" t="e">
        <v>#N/A</v>
      </c>
      <c r="F933" s="55" t="e">
        <v>#N/A</v>
      </c>
      <c r="G933" s="55" t="e">
        <v>#N/A</v>
      </c>
      <c r="H933" s="55" t="e">
        <v>#N/A</v>
      </c>
      <c r="I933" s="55" t="e">
        <v>#N/A</v>
      </c>
      <c r="J933" s="55" t="e">
        <v>#N/A</v>
      </c>
      <c r="K933" s="55" t="e">
        <v>#N/A</v>
      </c>
    </row>
    <row r="934" spans="1:11" ht="30" hidden="1" x14ac:dyDescent="0.25">
      <c r="A934" s="2" t="s">
        <v>16</v>
      </c>
      <c r="B934" s="3">
        <v>49214</v>
      </c>
      <c r="C934" s="4" t="s">
        <v>1198</v>
      </c>
      <c r="D934" s="62" t="e">
        <v>#N/A</v>
      </c>
      <c r="E934" s="55" t="e">
        <v>#N/A</v>
      </c>
      <c r="F934" s="55" t="e">
        <v>#N/A</v>
      </c>
      <c r="G934" s="55" t="e">
        <v>#N/A</v>
      </c>
      <c r="H934" s="55" t="e">
        <v>#N/A</v>
      </c>
      <c r="I934" s="55" t="e">
        <v>#N/A</v>
      </c>
      <c r="J934" s="55" t="e">
        <v>#N/A</v>
      </c>
      <c r="K934" s="55" t="e">
        <v>#N/A</v>
      </c>
    </row>
    <row r="935" spans="1:11" ht="60" hidden="1" x14ac:dyDescent="0.25">
      <c r="A935" s="2" t="s">
        <v>16</v>
      </c>
      <c r="B935" s="3">
        <v>49219</v>
      </c>
      <c r="C935" s="4" t="s">
        <v>1199</v>
      </c>
      <c r="D935" s="62" t="e">
        <v>#N/A</v>
      </c>
      <c r="E935" s="55" t="e">
        <v>#N/A</v>
      </c>
      <c r="F935" s="55" t="e">
        <v>#N/A</v>
      </c>
      <c r="G935" s="55" t="e">
        <v>#N/A</v>
      </c>
      <c r="H935" s="55" t="e">
        <v>#N/A</v>
      </c>
      <c r="I935" s="55" t="e">
        <v>#N/A</v>
      </c>
      <c r="J935" s="55" t="e">
        <v>#N/A</v>
      </c>
      <c r="K935" s="55" t="e">
        <v>#N/A</v>
      </c>
    </row>
    <row r="936" spans="1:11" ht="60" hidden="1" x14ac:dyDescent="0.25">
      <c r="A936" s="2" t="s">
        <v>16</v>
      </c>
      <c r="B936" s="3">
        <v>49221</v>
      </c>
      <c r="C936" s="4" t="s">
        <v>1200</v>
      </c>
      <c r="D936" s="62" t="e">
        <v>#N/A</v>
      </c>
      <c r="E936" s="55" t="e">
        <v>#N/A</v>
      </c>
      <c r="F936" s="55" t="e">
        <v>#N/A</v>
      </c>
      <c r="G936" s="55" t="e">
        <v>#N/A</v>
      </c>
      <c r="H936" s="55" t="e">
        <v>#N/A</v>
      </c>
      <c r="I936" s="55" t="e">
        <v>#N/A</v>
      </c>
      <c r="J936" s="55" t="e">
        <v>#N/A</v>
      </c>
      <c r="K936" s="55" t="e">
        <v>#N/A</v>
      </c>
    </row>
    <row r="937" spans="1:11" ht="45" hidden="1" x14ac:dyDescent="0.25">
      <c r="A937" s="2" t="s">
        <v>16</v>
      </c>
      <c r="B937" s="3">
        <v>49222</v>
      </c>
      <c r="C937" s="4" t="s">
        <v>1201</v>
      </c>
      <c r="D937" s="62" t="e">
        <v>#N/A</v>
      </c>
      <c r="E937" s="55" t="e">
        <v>#N/A</v>
      </c>
      <c r="F937" s="55" t="e">
        <v>#N/A</v>
      </c>
      <c r="G937" s="55" t="e">
        <v>#N/A</v>
      </c>
      <c r="H937" s="55" t="e">
        <v>#N/A</v>
      </c>
      <c r="I937" s="55" t="e">
        <v>#N/A</v>
      </c>
      <c r="J937" s="55" t="e">
        <v>#N/A</v>
      </c>
      <c r="K937" s="55" t="e">
        <v>#N/A</v>
      </c>
    </row>
    <row r="938" spans="1:11" ht="30" hidden="1" x14ac:dyDescent="0.25">
      <c r="A938" s="2" t="s">
        <v>16</v>
      </c>
      <c r="B938" s="3">
        <v>49223</v>
      </c>
      <c r="C938" s="4" t="s">
        <v>1202</v>
      </c>
      <c r="D938" s="62" t="e">
        <v>#N/A</v>
      </c>
      <c r="E938" s="55" t="e">
        <v>#N/A</v>
      </c>
      <c r="F938" s="55" t="e">
        <v>#N/A</v>
      </c>
      <c r="G938" s="55" t="e">
        <v>#N/A</v>
      </c>
      <c r="H938" s="55" t="e">
        <v>#N/A</v>
      </c>
      <c r="I938" s="55" t="e">
        <v>#N/A</v>
      </c>
      <c r="J938" s="55" t="e">
        <v>#N/A</v>
      </c>
      <c r="K938" s="55" t="e">
        <v>#N/A</v>
      </c>
    </row>
    <row r="939" spans="1:11" ht="45" hidden="1" x14ac:dyDescent="0.25">
      <c r="A939" s="2" t="s">
        <v>16</v>
      </c>
      <c r="B939" s="3">
        <v>49229</v>
      </c>
      <c r="C939" s="4" t="s">
        <v>1203</v>
      </c>
      <c r="D939" s="62" t="e">
        <v>#N/A</v>
      </c>
      <c r="E939" s="55" t="e">
        <v>#N/A</v>
      </c>
      <c r="F939" s="55" t="e">
        <v>#N/A</v>
      </c>
      <c r="G939" s="55" t="e">
        <v>#N/A</v>
      </c>
      <c r="H939" s="55" t="e">
        <v>#N/A</v>
      </c>
      <c r="I939" s="55" t="e">
        <v>#N/A</v>
      </c>
      <c r="J939" s="55" t="e">
        <v>#N/A</v>
      </c>
      <c r="K939" s="55" t="e">
        <v>#N/A</v>
      </c>
    </row>
    <row r="940" spans="1:11" ht="45" hidden="1" x14ac:dyDescent="0.25">
      <c r="A940" s="2" t="s">
        <v>16</v>
      </c>
      <c r="B940" s="3">
        <v>49231</v>
      </c>
      <c r="C940" s="4" t="s">
        <v>1204</v>
      </c>
      <c r="D940" s="62" t="e">
        <v>#N/A</v>
      </c>
      <c r="E940" s="55" t="e">
        <v>#N/A</v>
      </c>
      <c r="F940" s="55" t="e">
        <v>#N/A</v>
      </c>
      <c r="G940" s="55" t="e">
        <v>#N/A</v>
      </c>
      <c r="H940" s="55" t="e">
        <v>#N/A</v>
      </c>
      <c r="I940" s="55" t="e">
        <v>#N/A</v>
      </c>
      <c r="J940" s="55" t="e">
        <v>#N/A</v>
      </c>
      <c r="K940" s="55" t="e">
        <v>#N/A</v>
      </c>
    </row>
    <row r="941" spans="1:11" ht="45" hidden="1" x14ac:dyDescent="0.25">
      <c r="A941" s="2" t="s">
        <v>16</v>
      </c>
      <c r="B941" s="3">
        <v>49232</v>
      </c>
      <c r="C941" s="4" t="s">
        <v>1205</v>
      </c>
      <c r="D941" s="62" t="e">
        <v>#N/A</v>
      </c>
      <c r="E941" s="55" t="e">
        <v>#N/A</v>
      </c>
      <c r="F941" s="55" t="e">
        <v>#N/A</v>
      </c>
      <c r="G941" s="55" t="e">
        <v>#N/A</v>
      </c>
      <c r="H941" s="55" t="e">
        <v>#N/A</v>
      </c>
      <c r="I941" s="55" t="e">
        <v>#N/A</v>
      </c>
      <c r="J941" s="55" t="e">
        <v>#N/A</v>
      </c>
      <c r="K941" s="55" t="e">
        <v>#N/A</v>
      </c>
    </row>
    <row r="942" spans="1:11" ht="45" hidden="1" x14ac:dyDescent="0.25">
      <c r="A942" s="2" t="s">
        <v>16</v>
      </c>
      <c r="B942" s="3">
        <v>49233</v>
      </c>
      <c r="C942" s="4" t="s">
        <v>1206</v>
      </c>
      <c r="D942" s="62" t="e">
        <v>#N/A</v>
      </c>
      <c r="E942" s="55" t="e">
        <v>#N/A</v>
      </c>
      <c r="F942" s="55" t="e">
        <v>#N/A</v>
      </c>
      <c r="G942" s="55" t="e">
        <v>#N/A</v>
      </c>
      <c r="H942" s="55" t="e">
        <v>#N/A</v>
      </c>
      <c r="I942" s="55" t="e">
        <v>#N/A</v>
      </c>
      <c r="J942" s="55" t="e">
        <v>#N/A</v>
      </c>
      <c r="K942" s="55" t="e">
        <v>#N/A</v>
      </c>
    </row>
    <row r="943" spans="1:11" ht="30" hidden="1" x14ac:dyDescent="0.25">
      <c r="A943" s="2" t="s">
        <v>16</v>
      </c>
      <c r="B943" s="3">
        <v>49291</v>
      </c>
      <c r="C943" s="4" t="s">
        <v>1207</v>
      </c>
      <c r="D943" s="62" t="e">
        <v>#N/A</v>
      </c>
      <c r="E943" s="55" t="e">
        <v>#N/A</v>
      </c>
      <c r="F943" s="55" t="e">
        <v>#N/A</v>
      </c>
      <c r="G943" s="55" t="e">
        <v>#N/A</v>
      </c>
      <c r="H943" s="55" t="e">
        <v>#N/A</v>
      </c>
      <c r="I943" s="55" t="e">
        <v>#N/A</v>
      </c>
      <c r="J943" s="55" t="e">
        <v>#N/A</v>
      </c>
      <c r="K943" s="55" t="e">
        <v>#N/A</v>
      </c>
    </row>
    <row r="944" spans="1:11" ht="30" hidden="1" x14ac:dyDescent="0.25">
      <c r="A944" s="2" t="s">
        <v>16</v>
      </c>
      <c r="B944" s="3">
        <v>49292</v>
      </c>
      <c r="C944" s="4" t="s">
        <v>1208</v>
      </c>
      <c r="D944" s="62" t="e">
        <v>#N/A</v>
      </c>
      <c r="E944" s="55" t="e">
        <v>#N/A</v>
      </c>
      <c r="F944" s="55" t="e">
        <v>#N/A</v>
      </c>
      <c r="G944" s="55" t="e">
        <v>#N/A</v>
      </c>
      <c r="H944" s="55" t="e">
        <v>#N/A</v>
      </c>
      <c r="I944" s="55" t="e">
        <v>#N/A</v>
      </c>
      <c r="J944" s="55" t="e">
        <v>#N/A</v>
      </c>
      <c r="K944" s="55" t="e">
        <v>#N/A</v>
      </c>
    </row>
    <row r="945" spans="1:11" hidden="1" x14ac:dyDescent="0.25">
      <c r="A945" s="2" t="s">
        <v>16</v>
      </c>
      <c r="B945" s="3">
        <v>49293</v>
      </c>
      <c r="C945" s="4" t="s">
        <v>1209</v>
      </c>
      <c r="D945" s="62" t="e">
        <v>#N/A</v>
      </c>
      <c r="E945" s="55" t="e">
        <v>#N/A</v>
      </c>
      <c r="F945" s="55" t="e">
        <v>#N/A</v>
      </c>
      <c r="G945" s="55" t="e">
        <v>#N/A</v>
      </c>
      <c r="H945" s="55" t="e">
        <v>#N/A</v>
      </c>
      <c r="I945" s="55" t="e">
        <v>#N/A</v>
      </c>
      <c r="J945" s="55" t="e">
        <v>#N/A</v>
      </c>
      <c r="K945" s="55" t="e">
        <v>#N/A</v>
      </c>
    </row>
    <row r="946" spans="1:11" hidden="1" x14ac:dyDescent="0.25">
      <c r="A946" s="2" t="s">
        <v>16</v>
      </c>
      <c r="B946" s="3">
        <v>49294</v>
      </c>
      <c r="C946" s="4" t="s">
        <v>1210</v>
      </c>
      <c r="D946" s="62" t="e">
        <v>#N/A</v>
      </c>
      <c r="E946" s="55" t="e">
        <v>#N/A</v>
      </c>
      <c r="F946" s="55" t="e">
        <v>#N/A</v>
      </c>
      <c r="G946" s="55" t="e">
        <v>#N/A</v>
      </c>
      <c r="H946" s="55" t="e">
        <v>#N/A</v>
      </c>
      <c r="I946" s="55" t="e">
        <v>#N/A</v>
      </c>
      <c r="J946" s="55" t="e">
        <v>#N/A</v>
      </c>
      <c r="K946" s="55" t="e">
        <v>#N/A</v>
      </c>
    </row>
    <row r="947" spans="1:11" hidden="1" x14ac:dyDescent="0.25">
      <c r="A947" s="2" t="s">
        <v>16</v>
      </c>
      <c r="B947" s="3">
        <v>49295</v>
      </c>
      <c r="C947" s="4" t="s">
        <v>1211</v>
      </c>
      <c r="D947" s="62" t="e">
        <v>#N/A</v>
      </c>
      <c r="E947" s="55" t="e">
        <v>#N/A</v>
      </c>
      <c r="F947" s="55" t="e">
        <v>#N/A</v>
      </c>
      <c r="G947" s="55" t="e">
        <v>#N/A</v>
      </c>
      <c r="H947" s="55" t="e">
        <v>#N/A</v>
      </c>
      <c r="I947" s="55" t="e">
        <v>#N/A</v>
      </c>
      <c r="J947" s="55" t="e">
        <v>#N/A</v>
      </c>
      <c r="K947" s="55" t="e">
        <v>#N/A</v>
      </c>
    </row>
    <row r="948" spans="1:11" ht="30" hidden="1" x14ac:dyDescent="0.25">
      <c r="A948" s="2" t="s">
        <v>16</v>
      </c>
      <c r="B948" s="3">
        <v>49296</v>
      </c>
      <c r="C948" s="4" t="s">
        <v>1212</v>
      </c>
      <c r="D948" s="62" t="e">
        <v>#N/A</v>
      </c>
      <c r="E948" s="55" t="e">
        <v>#N/A</v>
      </c>
      <c r="F948" s="55" t="e">
        <v>#N/A</v>
      </c>
      <c r="G948" s="55" t="e">
        <v>#N/A</v>
      </c>
      <c r="H948" s="55" t="e">
        <v>#N/A</v>
      </c>
      <c r="I948" s="55" t="e">
        <v>#N/A</v>
      </c>
      <c r="J948" s="55" t="e">
        <v>#N/A</v>
      </c>
      <c r="K948" s="55" t="e">
        <v>#N/A</v>
      </c>
    </row>
    <row r="949" spans="1:11" ht="45" hidden="1" x14ac:dyDescent="0.25">
      <c r="A949" s="2" t="s">
        <v>16</v>
      </c>
      <c r="B949" s="3">
        <v>49297</v>
      </c>
      <c r="C949" s="4" t="s">
        <v>1213</v>
      </c>
      <c r="D949" s="62" t="e">
        <v>#N/A</v>
      </c>
      <c r="E949" s="55" t="e">
        <v>#N/A</v>
      </c>
      <c r="F949" s="55" t="e">
        <v>#N/A</v>
      </c>
      <c r="G949" s="55" t="e">
        <v>#N/A</v>
      </c>
      <c r="H949" s="55" t="e">
        <v>#N/A</v>
      </c>
      <c r="I949" s="55" t="e">
        <v>#N/A</v>
      </c>
      <c r="J949" s="55" t="e">
        <v>#N/A</v>
      </c>
      <c r="K949" s="55" t="e">
        <v>#N/A</v>
      </c>
    </row>
    <row r="950" spans="1:11" ht="60" hidden="1" x14ac:dyDescent="0.25">
      <c r="A950" s="2" t="s">
        <v>16</v>
      </c>
      <c r="B950" s="3">
        <v>49299</v>
      </c>
      <c r="C950" s="4" t="s">
        <v>1214</v>
      </c>
      <c r="D950" s="62" t="e">
        <v>#N/A</v>
      </c>
      <c r="E950" s="55" t="e">
        <v>#N/A</v>
      </c>
      <c r="F950" s="55" t="e">
        <v>#N/A</v>
      </c>
      <c r="G950" s="55" t="e">
        <v>#N/A</v>
      </c>
      <c r="H950" s="55" t="e">
        <v>#N/A</v>
      </c>
      <c r="I950" s="55" t="e">
        <v>#N/A</v>
      </c>
      <c r="J950" s="55" t="e">
        <v>#N/A</v>
      </c>
      <c r="K950" s="55" t="e">
        <v>#N/A</v>
      </c>
    </row>
    <row r="951" spans="1:11" ht="45" hidden="1" x14ac:dyDescent="0.25">
      <c r="A951" s="2" t="s">
        <v>16</v>
      </c>
      <c r="B951" s="3">
        <v>49300</v>
      </c>
      <c r="C951" s="4" t="s">
        <v>1215</v>
      </c>
      <c r="D951" s="62" t="e">
        <v>#N/A</v>
      </c>
      <c r="E951" s="55" t="e">
        <v>#N/A</v>
      </c>
      <c r="F951" s="55" t="e">
        <v>#N/A</v>
      </c>
      <c r="G951" s="55" t="e">
        <v>#N/A</v>
      </c>
      <c r="H951" s="55" t="e">
        <v>#N/A</v>
      </c>
      <c r="I951" s="55" t="e">
        <v>#N/A</v>
      </c>
      <c r="J951" s="55" t="e">
        <v>#N/A</v>
      </c>
      <c r="K951" s="55" t="e">
        <v>#N/A</v>
      </c>
    </row>
    <row r="952" spans="1:11" ht="45" hidden="1" x14ac:dyDescent="0.25">
      <c r="A952" s="2" t="s">
        <v>16</v>
      </c>
      <c r="B952" s="3">
        <v>50111</v>
      </c>
      <c r="C952" s="4" t="s">
        <v>1216</v>
      </c>
      <c r="D952" s="62" t="e">
        <v>#N/A</v>
      </c>
      <c r="E952" s="55" t="e">
        <v>#N/A</v>
      </c>
      <c r="F952" s="55" t="e">
        <v>#N/A</v>
      </c>
      <c r="G952" s="55" t="e">
        <v>#N/A</v>
      </c>
      <c r="H952" s="55" t="e">
        <v>#N/A</v>
      </c>
      <c r="I952" s="55" t="e">
        <v>#N/A</v>
      </c>
      <c r="J952" s="55" t="e">
        <v>#N/A</v>
      </c>
      <c r="K952" s="55" t="e">
        <v>#N/A</v>
      </c>
    </row>
    <row r="953" spans="1:11" ht="60" hidden="1" x14ac:dyDescent="0.25">
      <c r="A953" s="2" t="s">
        <v>16</v>
      </c>
      <c r="B953" s="3">
        <v>50112</v>
      </c>
      <c r="C953" s="4" t="s">
        <v>1217</v>
      </c>
      <c r="D953" s="62" t="e">
        <v>#N/A</v>
      </c>
      <c r="E953" s="55" t="e">
        <v>#N/A</v>
      </c>
      <c r="F953" s="55" t="e">
        <v>#N/A</v>
      </c>
      <c r="G953" s="55" t="e">
        <v>#N/A</v>
      </c>
      <c r="H953" s="55" t="e">
        <v>#N/A</v>
      </c>
      <c r="I953" s="55" t="e">
        <v>#N/A</v>
      </c>
      <c r="J953" s="55" t="e">
        <v>#N/A</v>
      </c>
      <c r="K953" s="55" t="e">
        <v>#N/A</v>
      </c>
    </row>
    <row r="954" spans="1:11" ht="45" hidden="1" x14ac:dyDescent="0.25">
      <c r="A954" s="2" t="s">
        <v>16</v>
      </c>
      <c r="B954" s="3">
        <v>50113</v>
      </c>
      <c r="C954" s="4" t="s">
        <v>1218</v>
      </c>
      <c r="D954" s="62" t="e">
        <v>#N/A</v>
      </c>
      <c r="E954" s="55" t="e">
        <v>#N/A</v>
      </c>
      <c r="F954" s="55" t="e">
        <v>#N/A</v>
      </c>
      <c r="G954" s="55" t="e">
        <v>#N/A</v>
      </c>
      <c r="H954" s="55" t="e">
        <v>#N/A</v>
      </c>
      <c r="I954" s="55" t="e">
        <v>#N/A</v>
      </c>
      <c r="J954" s="55" t="e">
        <v>#N/A</v>
      </c>
      <c r="K954" s="55" t="e">
        <v>#N/A</v>
      </c>
    </row>
    <row r="955" spans="1:11" ht="45" hidden="1" x14ac:dyDescent="0.25">
      <c r="A955" s="2" t="s">
        <v>16</v>
      </c>
      <c r="B955" s="3">
        <v>50114</v>
      </c>
      <c r="C955" s="4" t="s">
        <v>1219</v>
      </c>
      <c r="D955" s="62" t="e">
        <v>#N/A</v>
      </c>
      <c r="E955" s="55" t="e">
        <v>#N/A</v>
      </c>
      <c r="F955" s="55" t="e">
        <v>#N/A</v>
      </c>
      <c r="G955" s="55" t="e">
        <v>#N/A</v>
      </c>
      <c r="H955" s="55" t="e">
        <v>#N/A</v>
      </c>
      <c r="I955" s="55" t="e">
        <v>#N/A</v>
      </c>
      <c r="J955" s="55" t="e">
        <v>#N/A</v>
      </c>
      <c r="K955" s="55" t="e">
        <v>#N/A</v>
      </c>
    </row>
    <row r="956" spans="1:11" ht="45" hidden="1" x14ac:dyDescent="0.25">
      <c r="A956" s="2" t="s">
        <v>16</v>
      </c>
      <c r="B956" s="3">
        <v>50115</v>
      </c>
      <c r="C956" s="4" t="s">
        <v>1220</v>
      </c>
      <c r="D956" s="62" t="e">
        <v>#N/A</v>
      </c>
      <c r="E956" s="55" t="e">
        <v>#N/A</v>
      </c>
      <c r="F956" s="55" t="e">
        <v>#N/A</v>
      </c>
      <c r="G956" s="55" t="e">
        <v>#N/A</v>
      </c>
      <c r="H956" s="55" t="e">
        <v>#N/A</v>
      </c>
      <c r="I956" s="55" t="e">
        <v>#N/A</v>
      </c>
      <c r="J956" s="55" t="e">
        <v>#N/A</v>
      </c>
      <c r="K956" s="55" t="e">
        <v>#N/A</v>
      </c>
    </row>
    <row r="957" spans="1:11" ht="60" hidden="1" x14ac:dyDescent="0.25">
      <c r="A957" s="2" t="s">
        <v>16</v>
      </c>
      <c r="B957" s="3">
        <v>50121</v>
      </c>
      <c r="C957" s="4" t="s">
        <v>1221</v>
      </c>
      <c r="D957" s="62" t="e">
        <v>#N/A</v>
      </c>
      <c r="E957" s="55" t="e">
        <v>#N/A</v>
      </c>
      <c r="F957" s="55" t="e">
        <v>#N/A</v>
      </c>
      <c r="G957" s="55" t="e">
        <v>#N/A</v>
      </c>
      <c r="H957" s="55" t="e">
        <v>#N/A</v>
      </c>
      <c r="I957" s="55" t="e">
        <v>#N/A</v>
      </c>
      <c r="J957" s="55" t="e">
        <v>#N/A</v>
      </c>
      <c r="K957" s="55" t="e">
        <v>#N/A</v>
      </c>
    </row>
    <row r="958" spans="1:11" ht="60" hidden="1" x14ac:dyDescent="0.25">
      <c r="A958" s="2" t="s">
        <v>16</v>
      </c>
      <c r="B958" s="3">
        <v>50122</v>
      </c>
      <c r="C958" s="4" t="s">
        <v>1222</v>
      </c>
      <c r="D958" s="62" t="e">
        <v>#N/A</v>
      </c>
      <c r="E958" s="55" t="e">
        <v>#N/A</v>
      </c>
      <c r="F958" s="55" t="e">
        <v>#N/A</v>
      </c>
      <c r="G958" s="55" t="e">
        <v>#N/A</v>
      </c>
      <c r="H958" s="55" t="e">
        <v>#N/A</v>
      </c>
      <c r="I958" s="55" t="e">
        <v>#N/A</v>
      </c>
      <c r="J958" s="55" t="e">
        <v>#N/A</v>
      </c>
      <c r="K958" s="55" t="e">
        <v>#N/A</v>
      </c>
    </row>
    <row r="959" spans="1:11" ht="60" hidden="1" x14ac:dyDescent="0.25">
      <c r="A959" s="2" t="s">
        <v>16</v>
      </c>
      <c r="B959" s="3">
        <v>50123</v>
      </c>
      <c r="C959" s="4" t="s">
        <v>1223</v>
      </c>
      <c r="D959" s="62" t="e">
        <v>#N/A</v>
      </c>
      <c r="E959" s="55" t="e">
        <v>#N/A</v>
      </c>
      <c r="F959" s="55" t="e">
        <v>#N/A</v>
      </c>
      <c r="G959" s="55" t="e">
        <v>#N/A</v>
      </c>
      <c r="H959" s="55" t="e">
        <v>#N/A</v>
      </c>
      <c r="I959" s="55" t="e">
        <v>#N/A</v>
      </c>
      <c r="J959" s="55" t="e">
        <v>#N/A</v>
      </c>
      <c r="K959" s="55" t="e">
        <v>#N/A</v>
      </c>
    </row>
    <row r="960" spans="1:11" ht="60" hidden="1" x14ac:dyDescent="0.25">
      <c r="A960" s="2" t="s">
        <v>16</v>
      </c>
      <c r="B960" s="3">
        <v>50124</v>
      </c>
      <c r="C960" s="4" t="s">
        <v>1224</v>
      </c>
      <c r="D960" s="62" t="e">
        <v>#N/A</v>
      </c>
      <c r="E960" s="55" t="e">
        <v>#N/A</v>
      </c>
      <c r="F960" s="55" t="e">
        <v>#N/A</v>
      </c>
      <c r="G960" s="55" t="e">
        <v>#N/A</v>
      </c>
      <c r="H960" s="55" t="e">
        <v>#N/A</v>
      </c>
      <c r="I960" s="55" t="e">
        <v>#N/A</v>
      </c>
      <c r="J960" s="55" t="e">
        <v>#N/A</v>
      </c>
      <c r="K960" s="55" t="e">
        <v>#N/A</v>
      </c>
    </row>
    <row r="961" spans="1:11" ht="45" hidden="1" x14ac:dyDescent="0.25">
      <c r="A961" s="2" t="s">
        <v>16</v>
      </c>
      <c r="B961" s="3">
        <v>50125</v>
      </c>
      <c r="C961" s="4" t="s">
        <v>1225</v>
      </c>
      <c r="D961" s="62" t="e">
        <v>#N/A</v>
      </c>
      <c r="E961" s="55" t="e">
        <v>#N/A</v>
      </c>
      <c r="F961" s="55" t="e">
        <v>#N/A</v>
      </c>
      <c r="G961" s="55" t="e">
        <v>#N/A</v>
      </c>
      <c r="H961" s="55" t="e">
        <v>#N/A</v>
      </c>
      <c r="I961" s="55" t="e">
        <v>#N/A</v>
      </c>
      <c r="J961" s="55" t="e">
        <v>#N/A</v>
      </c>
      <c r="K961" s="55" t="e">
        <v>#N/A</v>
      </c>
    </row>
    <row r="962" spans="1:11" ht="45" hidden="1" x14ac:dyDescent="0.25">
      <c r="A962" s="2" t="s">
        <v>16</v>
      </c>
      <c r="B962" s="3">
        <v>50126</v>
      </c>
      <c r="C962" s="4" t="s">
        <v>1226</v>
      </c>
      <c r="D962" s="62" t="e">
        <v>#N/A</v>
      </c>
      <c r="E962" s="55" t="e">
        <v>#N/A</v>
      </c>
      <c r="F962" s="55" t="e">
        <v>#N/A</v>
      </c>
      <c r="G962" s="55" t="e">
        <v>#N/A</v>
      </c>
      <c r="H962" s="55" t="e">
        <v>#N/A</v>
      </c>
      <c r="I962" s="55" t="e">
        <v>#N/A</v>
      </c>
      <c r="J962" s="55" t="e">
        <v>#N/A</v>
      </c>
      <c r="K962" s="55" t="e">
        <v>#N/A</v>
      </c>
    </row>
    <row r="963" spans="1:11" ht="60" hidden="1" x14ac:dyDescent="0.25">
      <c r="A963" s="2" t="s">
        <v>16</v>
      </c>
      <c r="B963" s="3">
        <v>50127</v>
      </c>
      <c r="C963" s="4" t="s">
        <v>1227</v>
      </c>
      <c r="D963" s="62" t="e">
        <v>#N/A</v>
      </c>
      <c r="E963" s="55" t="e">
        <v>#N/A</v>
      </c>
      <c r="F963" s="55" t="e">
        <v>#N/A</v>
      </c>
      <c r="G963" s="55" t="e">
        <v>#N/A</v>
      </c>
      <c r="H963" s="55" t="e">
        <v>#N/A</v>
      </c>
      <c r="I963" s="55" t="e">
        <v>#N/A</v>
      </c>
      <c r="J963" s="55" t="e">
        <v>#N/A</v>
      </c>
      <c r="K963" s="55" t="e">
        <v>#N/A</v>
      </c>
    </row>
    <row r="964" spans="1:11" ht="75" hidden="1" x14ac:dyDescent="0.25">
      <c r="A964" s="2" t="s">
        <v>16</v>
      </c>
      <c r="B964" s="3">
        <v>50131</v>
      </c>
      <c r="C964" s="4" t="s">
        <v>1228</v>
      </c>
      <c r="D964" s="62" t="e">
        <v>#N/A</v>
      </c>
      <c r="E964" s="55" t="e">
        <v>#N/A</v>
      </c>
      <c r="F964" s="55" t="e">
        <v>#N/A</v>
      </c>
      <c r="G964" s="55" t="e">
        <v>#N/A</v>
      </c>
      <c r="H964" s="55" t="e">
        <v>#N/A</v>
      </c>
      <c r="I964" s="55" t="e">
        <v>#N/A</v>
      </c>
      <c r="J964" s="55" t="e">
        <v>#N/A</v>
      </c>
      <c r="K964" s="55" t="e">
        <v>#N/A</v>
      </c>
    </row>
    <row r="965" spans="1:11" ht="75" hidden="1" x14ac:dyDescent="0.25">
      <c r="A965" s="2" t="s">
        <v>16</v>
      </c>
      <c r="B965" s="3">
        <v>50132</v>
      </c>
      <c r="C965" s="4" t="s">
        <v>1229</v>
      </c>
      <c r="D965" s="62" t="e">
        <v>#N/A</v>
      </c>
      <c r="E965" s="55" t="e">
        <v>#N/A</v>
      </c>
      <c r="F965" s="55" t="e">
        <v>#N/A</v>
      </c>
      <c r="G965" s="55" t="e">
        <v>#N/A</v>
      </c>
      <c r="H965" s="55" t="e">
        <v>#N/A</v>
      </c>
      <c r="I965" s="55" t="e">
        <v>#N/A</v>
      </c>
      <c r="J965" s="55" t="e">
        <v>#N/A</v>
      </c>
      <c r="K965" s="55" t="e">
        <v>#N/A</v>
      </c>
    </row>
    <row r="966" spans="1:11" ht="75" hidden="1" x14ac:dyDescent="0.25">
      <c r="A966" s="2" t="s">
        <v>16</v>
      </c>
      <c r="B966" s="3">
        <v>50133</v>
      </c>
      <c r="C966" s="4" t="s">
        <v>1230</v>
      </c>
      <c r="D966" s="62" t="e">
        <v>#N/A</v>
      </c>
      <c r="E966" s="55" t="e">
        <v>#N/A</v>
      </c>
      <c r="F966" s="55" t="e">
        <v>#N/A</v>
      </c>
      <c r="G966" s="55" t="e">
        <v>#N/A</v>
      </c>
      <c r="H966" s="55" t="e">
        <v>#N/A</v>
      </c>
      <c r="I966" s="55" t="e">
        <v>#N/A</v>
      </c>
      <c r="J966" s="55" t="e">
        <v>#N/A</v>
      </c>
      <c r="K966" s="55" t="e">
        <v>#N/A</v>
      </c>
    </row>
    <row r="967" spans="1:11" ht="75" hidden="1" x14ac:dyDescent="0.25">
      <c r="A967" s="2" t="s">
        <v>16</v>
      </c>
      <c r="B967" s="3">
        <v>50134</v>
      </c>
      <c r="C967" s="4" t="s">
        <v>1231</v>
      </c>
      <c r="D967" s="62" t="e">
        <v>#N/A</v>
      </c>
      <c r="E967" s="55" t="e">
        <v>#N/A</v>
      </c>
      <c r="F967" s="55" t="e">
        <v>#N/A</v>
      </c>
      <c r="G967" s="55" t="e">
        <v>#N/A</v>
      </c>
      <c r="H967" s="55" t="e">
        <v>#N/A</v>
      </c>
      <c r="I967" s="55" t="e">
        <v>#N/A</v>
      </c>
      <c r="J967" s="55" t="e">
        <v>#N/A</v>
      </c>
      <c r="K967" s="55" t="e">
        <v>#N/A</v>
      </c>
    </row>
    <row r="968" spans="1:11" ht="75" hidden="1" x14ac:dyDescent="0.25">
      <c r="A968" s="2" t="s">
        <v>16</v>
      </c>
      <c r="B968" s="3">
        <v>50135</v>
      </c>
      <c r="C968" s="4" t="s">
        <v>1232</v>
      </c>
      <c r="D968" s="62" t="e">
        <v>#N/A</v>
      </c>
      <c r="E968" s="55" t="e">
        <v>#N/A</v>
      </c>
      <c r="F968" s="55" t="e">
        <v>#N/A</v>
      </c>
      <c r="G968" s="55" t="e">
        <v>#N/A</v>
      </c>
      <c r="H968" s="55" t="e">
        <v>#N/A</v>
      </c>
      <c r="I968" s="55" t="e">
        <v>#N/A</v>
      </c>
      <c r="J968" s="55" t="e">
        <v>#N/A</v>
      </c>
      <c r="K968" s="55" t="e">
        <v>#N/A</v>
      </c>
    </row>
    <row r="969" spans="1:11" ht="45" hidden="1" x14ac:dyDescent="0.25">
      <c r="A969" s="2" t="s">
        <v>16</v>
      </c>
      <c r="B969" s="3">
        <v>50139</v>
      </c>
      <c r="C969" s="4" t="s">
        <v>1233</v>
      </c>
      <c r="D969" s="62" t="e">
        <v>#N/A</v>
      </c>
      <c r="E969" s="55" t="e">
        <v>#N/A</v>
      </c>
      <c r="F969" s="55" t="e">
        <v>#N/A</v>
      </c>
      <c r="G969" s="55" t="e">
        <v>#N/A</v>
      </c>
      <c r="H969" s="55" t="e">
        <v>#N/A</v>
      </c>
      <c r="I969" s="55" t="e">
        <v>#N/A</v>
      </c>
      <c r="J969" s="55" t="e">
        <v>#N/A</v>
      </c>
      <c r="K969" s="55" t="e">
        <v>#N/A</v>
      </c>
    </row>
    <row r="970" spans="1:11" ht="75" hidden="1" x14ac:dyDescent="0.25">
      <c r="A970" s="2" t="s">
        <v>16</v>
      </c>
      <c r="B970" s="3">
        <v>50141</v>
      </c>
      <c r="C970" s="4" t="s">
        <v>1234</v>
      </c>
      <c r="D970" s="62" t="e">
        <v>#N/A</v>
      </c>
      <c r="E970" s="55" t="e">
        <v>#N/A</v>
      </c>
      <c r="F970" s="55" t="e">
        <v>#N/A</v>
      </c>
      <c r="G970" s="55" t="e">
        <v>#N/A</v>
      </c>
      <c r="H970" s="55" t="e">
        <v>#N/A</v>
      </c>
      <c r="I970" s="55" t="e">
        <v>#N/A</v>
      </c>
      <c r="J970" s="55" t="e">
        <v>#N/A</v>
      </c>
      <c r="K970" s="55" t="e">
        <v>#N/A</v>
      </c>
    </row>
    <row r="971" spans="1:11" ht="75" hidden="1" x14ac:dyDescent="0.25">
      <c r="A971" s="2" t="s">
        <v>16</v>
      </c>
      <c r="B971" s="3">
        <v>50142</v>
      </c>
      <c r="C971" s="4" t="s">
        <v>1229</v>
      </c>
      <c r="D971" s="62" t="e">
        <v>#N/A</v>
      </c>
      <c r="E971" s="55" t="e">
        <v>#N/A</v>
      </c>
      <c r="F971" s="55" t="e">
        <v>#N/A</v>
      </c>
      <c r="G971" s="55" t="e">
        <v>#N/A</v>
      </c>
      <c r="H971" s="55" t="e">
        <v>#N/A</v>
      </c>
      <c r="I971" s="55" t="e">
        <v>#N/A</v>
      </c>
      <c r="J971" s="55" t="e">
        <v>#N/A</v>
      </c>
      <c r="K971" s="55" t="e">
        <v>#N/A</v>
      </c>
    </row>
    <row r="972" spans="1:11" ht="75" hidden="1" x14ac:dyDescent="0.25">
      <c r="A972" s="2" t="s">
        <v>16</v>
      </c>
      <c r="B972" s="3">
        <v>50143</v>
      </c>
      <c r="C972" s="4" t="s">
        <v>1230</v>
      </c>
      <c r="D972" s="62" t="e">
        <v>#N/A</v>
      </c>
      <c r="E972" s="55" t="e">
        <v>#N/A</v>
      </c>
      <c r="F972" s="55" t="e">
        <v>#N/A</v>
      </c>
      <c r="G972" s="55" t="e">
        <v>#N/A</v>
      </c>
      <c r="H972" s="55" t="e">
        <v>#N/A</v>
      </c>
      <c r="I972" s="55" t="e">
        <v>#N/A</v>
      </c>
      <c r="J972" s="55" t="e">
        <v>#N/A</v>
      </c>
      <c r="K972" s="55" t="e">
        <v>#N/A</v>
      </c>
    </row>
    <row r="973" spans="1:11" ht="75" hidden="1" x14ac:dyDescent="0.25">
      <c r="A973" s="2" t="s">
        <v>16</v>
      </c>
      <c r="B973" s="3">
        <v>50144</v>
      </c>
      <c r="C973" s="4" t="s">
        <v>1231</v>
      </c>
      <c r="D973" s="62" t="e">
        <v>#N/A</v>
      </c>
      <c r="E973" s="55" t="e">
        <v>#N/A</v>
      </c>
      <c r="F973" s="55" t="e">
        <v>#N/A</v>
      </c>
      <c r="G973" s="55" t="e">
        <v>#N/A</v>
      </c>
      <c r="H973" s="55" t="e">
        <v>#N/A</v>
      </c>
      <c r="I973" s="55" t="e">
        <v>#N/A</v>
      </c>
      <c r="J973" s="55" t="e">
        <v>#N/A</v>
      </c>
      <c r="K973" s="55" t="e">
        <v>#N/A</v>
      </c>
    </row>
    <row r="974" spans="1:11" ht="75" hidden="1" x14ac:dyDescent="0.25">
      <c r="A974" s="2" t="s">
        <v>16</v>
      </c>
      <c r="B974" s="3">
        <v>50145</v>
      </c>
      <c r="C974" s="4" t="s">
        <v>1232</v>
      </c>
      <c r="D974" s="62" t="e">
        <v>#N/A</v>
      </c>
      <c r="E974" s="55" t="e">
        <v>#N/A</v>
      </c>
      <c r="F974" s="55" t="e">
        <v>#N/A</v>
      </c>
      <c r="G974" s="55" t="e">
        <v>#N/A</v>
      </c>
      <c r="H974" s="55" t="e">
        <v>#N/A</v>
      </c>
      <c r="I974" s="55" t="e">
        <v>#N/A</v>
      </c>
      <c r="J974" s="55" t="e">
        <v>#N/A</v>
      </c>
      <c r="K974" s="55" t="e">
        <v>#N/A</v>
      </c>
    </row>
    <row r="975" spans="1:11" ht="45" hidden="1" x14ac:dyDescent="0.25">
      <c r="A975" s="2" t="s">
        <v>16</v>
      </c>
      <c r="B975" s="3">
        <v>50149</v>
      </c>
      <c r="C975" s="4" t="s">
        <v>1235</v>
      </c>
      <c r="D975" s="62" t="e">
        <v>#N/A</v>
      </c>
      <c r="E975" s="55" t="e">
        <v>#N/A</v>
      </c>
      <c r="F975" s="55" t="e">
        <v>#N/A</v>
      </c>
      <c r="G975" s="55" t="e">
        <v>#N/A</v>
      </c>
      <c r="H975" s="55" t="e">
        <v>#N/A</v>
      </c>
      <c r="I975" s="55" t="e">
        <v>#N/A</v>
      </c>
      <c r="J975" s="55" t="e">
        <v>#N/A</v>
      </c>
      <c r="K975" s="55" t="e">
        <v>#N/A</v>
      </c>
    </row>
    <row r="976" spans="1:11" ht="60" hidden="1" x14ac:dyDescent="0.25">
      <c r="A976" s="2" t="s">
        <v>16</v>
      </c>
      <c r="B976" s="3">
        <v>50211</v>
      </c>
      <c r="C976" s="4" t="s">
        <v>1236</v>
      </c>
      <c r="D976" s="62" t="e">
        <v>#N/A</v>
      </c>
      <c r="E976" s="55" t="e">
        <v>#N/A</v>
      </c>
      <c r="F976" s="55" t="e">
        <v>#N/A</v>
      </c>
      <c r="G976" s="55" t="e">
        <v>#N/A</v>
      </c>
      <c r="H976" s="55" t="e">
        <v>#N/A</v>
      </c>
      <c r="I976" s="55" t="e">
        <v>#N/A</v>
      </c>
      <c r="J976" s="55" t="e">
        <v>#N/A</v>
      </c>
      <c r="K976" s="55" t="e">
        <v>#N/A</v>
      </c>
    </row>
    <row r="977" spans="1:11" ht="60" hidden="1" x14ac:dyDescent="0.25">
      <c r="A977" s="2" t="s">
        <v>16</v>
      </c>
      <c r="B977" s="3">
        <v>50212</v>
      </c>
      <c r="C977" s="4" t="s">
        <v>1237</v>
      </c>
      <c r="D977" s="62" t="e">
        <v>#N/A</v>
      </c>
      <c r="E977" s="55" t="e">
        <v>#N/A</v>
      </c>
      <c r="F977" s="55" t="e">
        <v>#N/A</v>
      </c>
      <c r="G977" s="55" t="e">
        <v>#N/A</v>
      </c>
      <c r="H977" s="55" t="e">
        <v>#N/A</v>
      </c>
      <c r="I977" s="55" t="e">
        <v>#N/A</v>
      </c>
      <c r="J977" s="55" t="e">
        <v>#N/A</v>
      </c>
      <c r="K977" s="55" t="e">
        <v>#N/A</v>
      </c>
    </row>
    <row r="978" spans="1:11" ht="45" hidden="1" x14ac:dyDescent="0.25">
      <c r="A978" s="2" t="s">
        <v>16</v>
      </c>
      <c r="B978" s="3">
        <v>50213</v>
      </c>
      <c r="C978" s="4" t="s">
        <v>1238</v>
      </c>
      <c r="D978" s="62" t="e">
        <v>#N/A</v>
      </c>
      <c r="E978" s="55" t="e">
        <v>#N/A</v>
      </c>
      <c r="F978" s="55" t="e">
        <v>#N/A</v>
      </c>
      <c r="G978" s="55" t="e">
        <v>#N/A</v>
      </c>
      <c r="H978" s="55" t="e">
        <v>#N/A</v>
      </c>
      <c r="I978" s="55" t="e">
        <v>#N/A</v>
      </c>
      <c r="J978" s="55" t="e">
        <v>#N/A</v>
      </c>
      <c r="K978" s="55" t="e">
        <v>#N/A</v>
      </c>
    </row>
    <row r="979" spans="1:11" ht="45" hidden="1" x14ac:dyDescent="0.25">
      <c r="A979" s="2" t="s">
        <v>16</v>
      </c>
      <c r="B979" s="3">
        <v>50221</v>
      </c>
      <c r="C979" s="4" t="s">
        <v>1239</v>
      </c>
      <c r="D979" s="62" t="e">
        <v>#N/A</v>
      </c>
      <c r="E979" s="55" t="e">
        <v>#N/A</v>
      </c>
      <c r="F979" s="55" t="e">
        <v>#N/A</v>
      </c>
      <c r="G979" s="55" t="e">
        <v>#N/A</v>
      </c>
      <c r="H979" s="55" t="e">
        <v>#N/A</v>
      </c>
      <c r="I979" s="55" t="e">
        <v>#N/A</v>
      </c>
      <c r="J979" s="55" t="e">
        <v>#N/A</v>
      </c>
      <c r="K979" s="55" t="e">
        <v>#N/A</v>
      </c>
    </row>
    <row r="980" spans="1:11" ht="45" hidden="1" x14ac:dyDescent="0.25">
      <c r="A980" s="2" t="s">
        <v>16</v>
      </c>
      <c r="B980" s="3">
        <v>50222</v>
      </c>
      <c r="C980" s="4" t="s">
        <v>1240</v>
      </c>
      <c r="D980" s="62" t="e">
        <v>#N/A</v>
      </c>
      <c r="E980" s="55" t="e">
        <v>#N/A</v>
      </c>
      <c r="F980" s="55" t="e">
        <v>#N/A</v>
      </c>
      <c r="G980" s="55" t="e">
        <v>#N/A</v>
      </c>
      <c r="H980" s="55" t="e">
        <v>#N/A</v>
      </c>
      <c r="I980" s="55" t="e">
        <v>#N/A</v>
      </c>
      <c r="J980" s="55" t="e">
        <v>#N/A</v>
      </c>
      <c r="K980" s="55" t="e">
        <v>#N/A</v>
      </c>
    </row>
    <row r="981" spans="1:11" ht="45" hidden="1" x14ac:dyDescent="0.25">
      <c r="A981" s="2" t="s">
        <v>16</v>
      </c>
      <c r="B981" s="3">
        <v>50223</v>
      </c>
      <c r="C981" s="4" t="s">
        <v>1241</v>
      </c>
      <c r="D981" s="62" t="e">
        <v>#N/A</v>
      </c>
      <c r="E981" s="55" t="e">
        <v>#N/A</v>
      </c>
      <c r="F981" s="55" t="e">
        <v>#N/A</v>
      </c>
      <c r="G981" s="55" t="e">
        <v>#N/A</v>
      </c>
      <c r="H981" s="55" t="e">
        <v>#N/A</v>
      </c>
      <c r="I981" s="55" t="e">
        <v>#N/A</v>
      </c>
      <c r="J981" s="55" t="e">
        <v>#N/A</v>
      </c>
      <c r="K981" s="55" t="e">
        <v>#N/A</v>
      </c>
    </row>
    <row r="982" spans="1:11" ht="45" hidden="1" x14ac:dyDescent="0.25">
      <c r="A982" s="2" t="s">
        <v>16</v>
      </c>
      <c r="B982" s="3">
        <v>51101</v>
      </c>
      <c r="C982" s="4" t="s">
        <v>1242</v>
      </c>
      <c r="D982" s="62" t="e">
        <v>#N/A</v>
      </c>
      <c r="E982" s="55" t="e">
        <v>#N/A</v>
      </c>
      <c r="F982" s="55" t="e">
        <v>#N/A</v>
      </c>
      <c r="G982" s="55" t="e">
        <v>#N/A</v>
      </c>
      <c r="H982" s="55" t="e">
        <v>#N/A</v>
      </c>
      <c r="I982" s="55" t="e">
        <v>#N/A</v>
      </c>
      <c r="J982" s="55" t="e">
        <v>#N/A</v>
      </c>
      <c r="K982" s="55" t="e">
        <v>#N/A</v>
      </c>
    </row>
    <row r="983" spans="1:11" ht="60" hidden="1" x14ac:dyDescent="0.25">
      <c r="A983" s="2" t="s">
        <v>16</v>
      </c>
      <c r="B983" s="3">
        <v>51102</v>
      </c>
      <c r="C983" s="4" t="s">
        <v>1243</v>
      </c>
      <c r="D983" s="62" t="e">
        <v>#N/A</v>
      </c>
      <c r="E983" s="55" t="e">
        <v>#N/A</v>
      </c>
      <c r="F983" s="55" t="e">
        <v>#N/A</v>
      </c>
      <c r="G983" s="55" t="e">
        <v>#N/A</v>
      </c>
      <c r="H983" s="55" t="e">
        <v>#N/A</v>
      </c>
      <c r="I983" s="55" t="e">
        <v>#N/A</v>
      </c>
      <c r="J983" s="55" t="e">
        <v>#N/A</v>
      </c>
      <c r="K983" s="55" t="e">
        <v>#N/A</v>
      </c>
    </row>
    <row r="984" spans="1:11" ht="45" hidden="1" x14ac:dyDescent="0.25">
      <c r="A984" s="2" t="s">
        <v>16</v>
      </c>
      <c r="B984" s="3">
        <v>51103</v>
      </c>
      <c r="C984" s="4" t="s">
        <v>1244</v>
      </c>
      <c r="D984" s="62" t="e">
        <v>#N/A</v>
      </c>
      <c r="E984" s="55" t="e">
        <v>#N/A</v>
      </c>
      <c r="F984" s="55" t="e">
        <v>#N/A</v>
      </c>
      <c r="G984" s="55" t="e">
        <v>#N/A</v>
      </c>
      <c r="H984" s="55" t="e">
        <v>#N/A</v>
      </c>
      <c r="I984" s="55" t="e">
        <v>#N/A</v>
      </c>
      <c r="J984" s="55" t="e">
        <v>#N/A</v>
      </c>
      <c r="K984" s="55" t="e">
        <v>#N/A</v>
      </c>
    </row>
    <row r="985" spans="1:11" ht="45" hidden="1" x14ac:dyDescent="0.25">
      <c r="A985" s="2" t="s">
        <v>16</v>
      </c>
      <c r="B985" s="3">
        <v>51201</v>
      </c>
      <c r="C985" s="4" t="s">
        <v>1245</v>
      </c>
      <c r="D985" s="62" t="e">
        <v>#N/A</v>
      </c>
      <c r="E985" s="55" t="e">
        <v>#N/A</v>
      </c>
      <c r="F985" s="55" t="e">
        <v>#N/A</v>
      </c>
      <c r="G985" s="55" t="e">
        <v>#N/A</v>
      </c>
      <c r="H985" s="55" t="e">
        <v>#N/A</v>
      </c>
      <c r="I985" s="55" t="e">
        <v>#N/A</v>
      </c>
      <c r="J985" s="55" t="e">
        <v>#N/A</v>
      </c>
      <c r="K985" s="55" t="e">
        <v>#N/A</v>
      </c>
    </row>
    <row r="986" spans="1:11" ht="60" hidden="1" x14ac:dyDescent="0.25">
      <c r="A986" s="2" t="s">
        <v>16</v>
      </c>
      <c r="B986" s="3">
        <v>51202</v>
      </c>
      <c r="C986" s="4" t="s">
        <v>1246</v>
      </c>
      <c r="D986" s="62" t="e">
        <v>#N/A</v>
      </c>
      <c r="E986" s="55" t="e">
        <v>#N/A</v>
      </c>
      <c r="F986" s="55" t="e">
        <v>#N/A</v>
      </c>
      <c r="G986" s="55" t="e">
        <v>#N/A</v>
      </c>
      <c r="H986" s="55" t="e">
        <v>#N/A</v>
      </c>
      <c r="I986" s="55" t="e">
        <v>#N/A</v>
      </c>
      <c r="J986" s="55" t="e">
        <v>#N/A</v>
      </c>
      <c r="K986" s="55" t="e">
        <v>#N/A</v>
      </c>
    </row>
    <row r="987" spans="1:11" ht="45" hidden="1" x14ac:dyDescent="0.25">
      <c r="A987" s="2" t="s">
        <v>16</v>
      </c>
      <c r="B987" s="3">
        <v>51203</v>
      </c>
      <c r="C987" s="4" t="s">
        <v>1247</v>
      </c>
      <c r="D987" s="62" t="e">
        <v>#N/A</v>
      </c>
      <c r="E987" s="55" t="e">
        <v>#N/A</v>
      </c>
      <c r="F987" s="55" t="e">
        <v>#N/A</v>
      </c>
      <c r="G987" s="55" t="e">
        <v>#N/A</v>
      </c>
      <c r="H987" s="55" t="e">
        <v>#N/A</v>
      </c>
      <c r="I987" s="55" t="e">
        <v>#N/A</v>
      </c>
      <c r="J987" s="55" t="e">
        <v>#N/A</v>
      </c>
      <c r="K987" s="55" t="e">
        <v>#N/A</v>
      </c>
    </row>
    <row r="988" spans="1:11" ht="30" hidden="1" x14ac:dyDescent="0.25">
      <c r="A988" s="2" t="s">
        <v>16</v>
      </c>
      <c r="B988" s="3">
        <v>52101</v>
      </c>
      <c r="C988" s="4" t="s">
        <v>1248</v>
      </c>
      <c r="D988" s="62" t="e">
        <v>#N/A</v>
      </c>
      <c r="E988" s="55" t="e">
        <v>#N/A</v>
      </c>
      <c r="F988" s="55" t="e">
        <v>#N/A</v>
      </c>
      <c r="G988" s="55" t="e">
        <v>#N/A</v>
      </c>
      <c r="H988" s="55" t="e">
        <v>#N/A</v>
      </c>
      <c r="I988" s="55" t="e">
        <v>#N/A</v>
      </c>
      <c r="J988" s="55" t="e">
        <v>#N/A</v>
      </c>
      <c r="K988" s="55" t="e">
        <v>#N/A</v>
      </c>
    </row>
    <row r="989" spans="1:11" ht="30" hidden="1" x14ac:dyDescent="0.25">
      <c r="A989" s="2" t="s">
        <v>16</v>
      </c>
      <c r="B989" s="3">
        <v>52102</v>
      </c>
      <c r="C989" s="4" t="s">
        <v>1249</v>
      </c>
      <c r="D989" s="62" t="e">
        <v>#N/A</v>
      </c>
      <c r="E989" s="55" t="e">
        <v>#N/A</v>
      </c>
      <c r="F989" s="55" t="e">
        <v>#N/A</v>
      </c>
      <c r="G989" s="55" t="e">
        <v>#N/A</v>
      </c>
      <c r="H989" s="55" t="e">
        <v>#N/A</v>
      </c>
      <c r="I989" s="55" t="e">
        <v>#N/A</v>
      </c>
      <c r="J989" s="55" t="e">
        <v>#N/A</v>
      </c>
      <c r="K989" s="55" t="e">
        <v>#N/A</v>
      </c>
    </row>
    <row r="990" spans="1:11" ht="30" hidden="1" x14ac:dyDescent="0.25">
      <c r="A990" s="2" t="s">
        <v>16</v>
      </c>
      <c r="B990" s="3">
        <v>52103</v>
      </c>
      <c r="C990" s="4" t="s">
        <v>1250</v>
      </c>
      <c r="D990" s="62" t="e">
        <v>#N/A</v>
      </c>
      <c r="E990" s="55" t="e">
        <v>#N/A</v>
      </c>
      <c r="F990" s="55" t="e">
        <v>#N/A</v>
      </c>
      <c r="G990" s="55" t="e">
        <v>#N/A</v>
      </c>
      <c r="H990" s="55" t="e">
        <v>#N/A</v>
      </c>
      <c r="I990" s="55" t="e">
        <v>#N/A</v>
      </c>
      <c r="J990" s="55" t="e">
        <v>#N/A</v>
      </c>
      <c r="K990" s="55" t="e">
        <v>#N/A</v>
      </c>
    </row>
    <row r="991" spans="1:11" ht="45" hidden="1" x14ac:dyDescent="0.25">
      <c r="A991" s="2" t="s">
        <v>16</v>
      </c>
      <c r="B991" s="3">
        <v>52104</v>
      </c>
      <c r="C991" s="4" t="s">
        <v>1251</v>
      </c>
      <c r="D991" s="62" t="e">
        <v>#N/A</v>
      </c>
      <c r="E991" s="55" t="e">
        <v>#N/A</v>
      </c>
      <c r="F991" s="55" t="e">
        <v>#N/A</v>
      </c>
      <c r="G991" s="55" t="e">
        <v>#N/A</v>
      </c>
      <c r="H991" s="55" t="e">
        <v>#N/A</v>
      </c>
      <c r="I991" s="55" t="e">
        <v>#N/A</v>
      </c>
      <c r="J991" s="55" t="e">
        <v>#N/A</v>
      </c>
      <c r="K991" s="55" t="e">
        <v>#N/A</v>
      </c>
    </row>
    <row r="992" spans="1:11" ht="60" hidden="1" x14ac:dyDescent="0.25">
      <c r="A992" s="2" t="s">
        <v>16</v>
      </c>
      <c r="B992" s="3">
        <v>52105</v>
      </c>
      <c r="C992" s="4" t="s">
        <v>1252</v>
      </c>
      <c r="D992" s="62" t="e">
        <v>#N/A</v>
      </c>
      <c r="E992" s="55" t="e">
        <v>#N/A</v>
      </c>
      <c r="F992" s="55" t="e">
        <v>#N/A</v>
      </c>
      <c r="G992" s="55" t="e">
        <v>#N/A</v>
      </c>
      <c r="H992" s="55" t="e">
        <v>#N/A</v>
      </c>
      <c r="I992" s="55" t="e">
        <v>#N/A</v>
      </c>
      <c r="J992" s="55" t="e">
        <v>#N/A</v>
      </c>
      <c r="K992" s="55" t="e">
        <v>#N/A</v>
      </c>
    </row>
    <row r="993" spans="1:11" ht="60" hidden="1" x14ac:dyDescent="0.25">
      <c r="A993" s="2" t="s">
        <v>16</v>
      </c>
      <c r="B993" s="3">
        <v>52106</v>
      </c>
      <c r="C993" s="4" t="s">
        <v>1253</v>
      </c>
      <c r="D993" s="62" t="e">
        <v>#N/A</v>
      </c>
      <c r="E993" s="55" t="e">
        <v>#N/A</v>
      </c>
      <c r="F993" s="55" t="e">
        <v>#N/A</v>
      </c>
      <c r="G993" s="55" t="e">
        <v>#N/A</v>
      </c>
      <c r="H993" s="55" t="e">
        <v>#N/A</v>
      </c>
      <c r="I993" s="55" t="e">
        <v>#N/A</v>
      </c>
      <c r="J993" s="55" t="e">
        <v>#N/A</v>
      </c>
      <c r="K993" s="55" t="e">
        <v>#N/A</v>
      </c>
    </row>
    <row r="994" spans="1:11" ht="45" hidden="1" x14ac:dyDescent="0.25">
      <c r="A994" s="2" t="s">
        <v>16</v>
      </c>
      <c r="B994" s="3">
        <v>52107</v>
      </c>
      <c r="C994" s="4" t="s">
        <v>1254</v>
      </c>
      <c r="D994" s="62" t="e">
        <v>#N/A</v>
      </c>
      <c r="E994" s="55" t="e">
        <v>#N/A</v>
      </c>
      <c r="F994" s="55" t="e">
        <v>#N/A</v>
      </c>
      <c r="G994" s="55" t="e">
        <v>#N/A</v>
      </c>
      <c r="H994" s="55" t="e">
        <v>#N/A</v>
      </c>
      <c r="I994" s="55" t="e">
        <v>#N/A</v>
      </c>
      <c r="J994" s="55" t="e">
        <v>#N/A</v>
      </c>
      <c r="K994" s="55" t="e">
        <v>#N/A</v>
      </c>
    </row>
    <row r="995" spans="1:11" ht="45" hidden="1" x14ac:dyDescent="0.25">
      <c r="A995" s="2" t="s">
        <v>16</v>
      </c>
      <c r="B995" s="3">
        <v>52109</v>
      </c>
      <c r="C995" s="4" t="s">
        <v>1255</v>
      </c>
      <c r="D995" s="62" t="e">
        <v>#N/A</v>
      </c>
      <c r="E995" s="55" t="e">
        <v>#N/A</v>
      </c>
      <c r="F995" s="55" t="e">
        <v>#N/A</v>
      </c>
      <c r="G995" s="55" t="e">
        <v>#N/A</v>
      </c>
      <c r="H995" s="55" t="e">
        <v>#N/A</v>
      </c>
      <c r="I995" s="55" t="e">
        <v>#N/A</v>
      </c>
      <c r="J995" s="55" t="e">
        <v>#N/A</v>
      </c>
      <c r="K995" s="55" t="e">
        <v>#N/A</v>
      </c>
    </row>
    <row r="996" spans="1:11" ht="30" hidden="1" x14ac:dyDescent="0.25">
      <c r="A996" s="2" t="s">
        <v>16</v>
      </c>
      <c r="B996" s="3">
        <v>52211</v>
      </c>
      <c r="C996" s="4" t="s">
        <v>1256</v>
      </c>
      <c r="D996" s="62" t="e">
        <v>#N/A</v>
      </c>
      <c r="E996" s="55" t="e">
        <v>#N/A</v>
      </c>
      <c r="F996" s="55" t="e">
        <v>#N/A</v>
      </c>
      <c r="G996" s="55" t="e">
        <v>#N/A</v>
      </c>
      <c r="H996" s="55" t="e">
        <v>#N/A</v>
      </c>
      <c r="I996" s="55" t="e">
        <v>#N/A</v>
      </c>
      <c r="J996" s="55" t="e">
        <v>#N/A</v>
      </c>
      <c r="K996" s="55" t="e">
        <v>#N/A</v>
      </c>
    </row>
    <row r="997" spans="1:11" ht="60" hidden="1" x14ac:dyDescent="0.25">
      <c r="A997" s="2" t="s">
        <v>16</v>
      </c>
      <c r="B997" s="3">
        <v>52212</v>
      </c>
      <c r="C997" s="4" t="s">
        <v>1257</v>
      </c>
      <c r="D997" s="62" t="e">
        <v>#N/A</v>
      </c>
      <c r="E997" s="55" t="e">
        <v>#N/A</v>
      </c>
      <c r="F997" s="55" t="e">
        <v>#N/A</v>
      </c>
      <c r="G997" s="55" t="e">
        <v>#N/A</v>
      </c>
      <c r="H997" s="55" t="e">
        <v>#N/A</v>
      </c>
      <c r="I997" s="55" t="e">
        <v>#N/A</v>
      </c>
      <c r="J997" s="55" t="e">
        <v>#N/A</v>
      </c>
      <c r="K997" s="55" t="e">
        <v>#N/A</v>
      </c>
    </row>
    <row r="998" spans="1:11" hidden="1" x14ac:dyDescent="0.25">
      <c r="A998" s="2" t="s">
        <v>16</v>
      </c>
      <c r="B998" s="3">
        <v>52213</v>
      </c>
      <c r="C998" s="4" t="s">
        <v>1258</v>
      </c>
      <c r="D998" s="62" t="e">
        <v>#N/A</v>
      </c>
      <c r="E998" s="55" t="e">
        <v>#N/A</v>
      </c>
      <c r="F998" s="55" t="e">
        <v>#N/A</v>
      </c>
      <c r="G998" s="55" t="e">
        <v>#N/A</v>
      </c>
      <c r="H998" s="55" t="e">
        <v>#N/A</v>
      </c>
      <c r="I998" s="55" t="e">
        <v>#N/A</v>
      </c>
      <c r="J998" s="55" t="e">
        <v>#N/A</v>
      </c>
      <c r="K998" s="55" t="e">
        <v>#N/A</v>
      </c>
    </row>
    <row r="999" spans="1:11" ht="60" hidden="1" x14ac:dyDescent="0.25">
      <c r="A999" s="2" t="s">
        <v>16</v>
      </c>
      <c r="B999" s="3">
        <v>52214</v>
      </c>
      <c r="C999" s="4" t="s">
        <v>1259</v>
      </c>
      <c r="D999" s="62" t="e">
        <v>#N/A</v>
      </c>
      <c r="E999" s="55" t="e">
        <v>#N/A</v>
      </c>
      <c r="F999" s="55" t="e">
        <v>#N/A</v>
      </c>
      <c r="G999" s="55" t="e">
        <v>#N/A</v>
      </c>
      <c r="H999" s="55" t="e">
        <v>#N/A</v>
      </c>
      <c r="I999" s="55" t="e">
        <v>#N/A</v>
      </c>
      <c r="J999" s="55" t="e">
        <v>#N/A</v>
      </c>
      <c r="K999" s="55" t="e">
        <v>#N/A</v>
      </c>
    </row>
    <row r="1000" spans="1:11" ht="60" hidden="1" x14ac:dyDescent="0.25">
      <c r="A1000" s="2" t="s">
        <v>16</v>
      </c>
      <c r="B1000" s="3">
        <v>52215</v>
      </c>
      <c r="C1000" s="4" t="s">
        <v>1260</v>
      </c>
      <c r="D1000" s="62" t="e">
        <v>#N/A</v>
      </c>
      <c r="E1000" s="55" t="e">
        <v>#N/A</v>
      </c>
      <c r="F1000" s="55" t="e">
        <v>#N/A</v>
      </c>
      <c r="G1000" s="55" t="e">
        <v>#N/A</v>
      </c>
      <c r="H1000" s="55" t="e">
        <v>#N/A</v>
      </c>
      <c r="I1000" s="55" t="e">
        <v>#N/A</v>
      </c>
      <c r="J1000" s="55" t="e">
        <v>#N/A</v>
      </c>
      <c r="K1000" s="55" t="e">
        <v>#N/A</v>
      </c>
    </row>
    <row r="1001" spans="1:11" ht="60" hidden="1" x14ac:dyDescent="0.25">
      <c r="A1001" s="2" t="s">
        <v>16</v>
      </c>
      <c r="B1001" s="3">
        <v>52219</v>
      </c>
      <c r="C1001" s="4" t="s">
        <v>1261</v>
      </c>
      <c r="D1001" s="62" t="e">
        <v>#N/A</v>
      </c>
      <c r="E1001" s="55" t="e">
        <v>#N/A</v>
      </c>
      <c r="F1001" s="55" t="e">
        <v>#N/A</v>
      </c>
      <c r="G1001" s="55" t="e">
        <v>#N/A</v>
      </c>
      <c r="H1001" s="55" t="e">
        <v>#N/A</v>
      </c>
      <c r="I1001" s="55" t="e">
        <v>#N/A</v>
      </c>
      <c r="J1001" s="55" t="e">
        <v>#N/A</v>
      </c>
      <c r="K1001" s="55" t="e">
        <v>#N/A</v>
      </c>
    </row>
    <row r="1002" spans="1:11" ht="60" hidden="1" x14ac:dyDescent="0.25">
      <c r="A1002" s="2" t="s">
        <v>16</v>
      </c>
      <c r="B1002" s="3">
        <v>52221</v>
      </c>
      <c r="C1002" s="4" t="s">
        <v>1262</v>
      </c>
      <c r="D1002" s="62" t="e">
        <v>#N/A</v>
      </c>
      <c r="E1002" s="55" t="e">
        <v>#N/A</v>
      </c>
      <c r="F1002" s="55" t="e">
        <v>#N/A</v>
      </c>
      <c r="G1002" s="55" t="e">
        <v>#N/A</v>
      </c>
      <c r="H1002" s="55" t="e">
        <v>#N/A</v>
      </c>
      <c r="I1002" s="55" t="e">
        <v>#N/A</v>
      </c>
      <c r="J1002" s="55" t="e">
        <v>#N/A</v>
      </c>
      <c r="K1002" s="55" t="e">
        <v>#N/A</v>
      </c>
    </row>
    <row r="1003" spans="1:11" ht="60" hidden="1" x14ac:dyDescent="0.25">
      <c r="A1003" s="2" t="s">
        <v>16</v>
      </c>
      <c r="B1003" s="3">
        <v>52222</v>
      </c>
      <c r="C1003" s="4" t="s">
        <v>1263</v>
      </c>
      <c r="D1003" s="62" t="e">
        <v>#N/A</v>
      </c>
      <c r="E1003" s="55" t="e">
        <v>#N/A</v>
      </c>
      <c r="F1003" s="55" t="e">
        <v>#N/A</v>
      </c>
      <c r="G1003" s="55" t="e">
        <v>#N/A</v>
      </c>
      <c r="H1003" s="55" t="e">
        <v>#N/A</v>
      </c>
      <c r="I1003" s="55" t="e">
        <v>#N/A</v>
      </c>
      <c r="J1003" s="55" t="e">
        <v>#N/A</v>
      </c>
      <c r="K1003" s="55" t="e">
        <v>#N/A</v>
      </c>
    </row>
    <row r="1004" spans="1:11" ht="60" hidden="1" x14ac:dyDescent="0.25">
      <c r="A1004" s="2" t="s">
        <v>16</v>
      </c>
      <c r="B1004" s="3">
        <v>52223</v>
      </c>
      <c r="C1004" s="4" t="s">
        <v>1264</v>
      </c>
      <c r="D1004" s="62" t="e">
        <v>#N/A</v>
      </c>
      <c r="E1004" s="55" t="e">
        <v>#N/A</v>
      </c>
      <c r="F1004" s="55" t="e">
        <v>#N/A</v>
      </c>
      <c r="G1004" s="55" t="e">
        <v>#N/A</v>
      </c>
      <c r="H1004" s="55" t="e">
        <v>#N/A</v>
      </c>
      <c r="I1004" s="55" t="e">
        <v>#N/A</v>
      </c>
      <c r="J1004" s="55" t="e">
        <v>#N/A</v>
      </c>
      <c r="K1004" s="55" t="e">
        <v>#N/A</v>
      </c>
    </row>
    <row r="1005" spans="1:11" ht="45" hidden="1" x14ac:dyDescent="0.25">
      <c r="A1005" s="2" t="s">
        <v>16</v>
      </c>
      <c r="B1005" s="3">
        <v>52224</v>
      </c>
      <c r="C1005" s="4" t="s">
        <v>1265</v>
      </c>
      <c r="D1005" s="62" t="e">
        <v>#N/A</v>
      </c>
      <c r="E1005" s="55" t="e">
        <v>#N/A</v>
      </c>
      <c r="F1005" s="55" t="e">
        <v>#N/A</v>
      </c>
      <c r="G1005" s="55" t="e">
        <v>#N/A</v>
      </c>
      <c r="H1005" s="55" t="e">
        <v>#N/A</v>
      </c>
      <c r="I1005" s="55" t="e">
        <v>#N/A</v>
      </c>
      <c r="J1005" s="55" t="e">
        <v>#N/A</v>
      </c>
      <c r="K1005" s="55" t="e">
        <v>#N/A</v>
      </c>
    </row>
    <row r="1006" spans="1:11" ht="30" hidden="1" x14ac:dyDescent="0.25">
      <c r="A1006" s="2" t="s">
        <v>16</v>
      </c>
      <c r="B1006" s="3">
        <v>52225</v>
      </c>
      <c r="C1006" s="4" t="s">
        <v>1266</v>
      </c>
      <c r="D1006" s="62" t="e">
        <v>#N/A</v>
      </c>
      <c r="E1006" s="55" t="e">
        <v>#N/A</v>
      </c>
      <c r="F1006" s="55" t="e">
        <v>#N/A</v>
      </c>
      <c r="G1006" s="55" t="e">
        <v>#N/A</v>
      </c>
      <c r="H1006" s="55" t="e">
        <v>#N/A</v>
      </c>
      <c r="I1006" s="55" t="e">
        <v>#N/A</v>
      </c>
      <c r="J1006" s="55" t="e">
        <v>#N/A</v>
      </c>
      <c r="K1006" s="55" t="e">
        <v>#N/A</v>
      </c>
    </row>
    <row r="1007" spans="1:11" ht="60" hidden="1" x14ac:dyDescent="0.25">
      <c r="A1007" s="2" t="s">
        <v>16</v>
      </c>
      <c r="B1007" s="3">
        <v>52226</v>
      </c>
      <c r="C1007" s="4" t="s">
        <v>1267</v>
      </c>
      <c r="D1007" s="62" t="e">
        <v>#N/A</v>
      </c>
      <c r="E1007" s="55" t="e">
        <v>#N/A</v>
      </c>
      <c r="F1007" s="55" t="e">
        <v>#N/A</v>
      </c>
      <c r="G1007" s="55" t="e">
        <v>#N/A</v>
      </c>
      <c r="H1007" s="55" t="e">
        <v>#N/A</v>
      </c>
      <c r="I1007" s="55" t="e">
        <v>#N/A</v>
      </c>
      <c r="J1007" s="55" t="e">
        <v>#N/A</v>
      </c>
      <c r="K1007" s="55" t="e">
        <v>#N/A</v>
      </c>
    </row>
    <row r="1008" spans="1:11" ht="30" hidden="1" x14ac:dyDescent="0.25">
      <c r="A1008" s="2" t="s">
        <v>16</v>
      </c>
      <c r="B1008" s="3">
        <v>52227</v>
      </c>
      <c r="C1008" s="4" t="s">
        <v>1268</v>
      </c>
      <c r="D1008" s="62" t="e">
        <v>#N/A</v>
      </c>
      <c r="E1008" s="55" t="e">
        <v>#N/A</v>
      </c>
      <c r="F1008" s="55" t="e">
        <v>#N/A</v>
      </c>
      <c r="G1008" s="55" t="e">
        <v>#N/A</v>
      </c>
      <c r="H1008" s="55" t="e">
        <v>#N/A</v>
      </c>
      <c r="I1008" s="55" t="e">
        <v>#N/A</v>
      </c>
      <c r="J1008" s="55" t="e">
        <v>#N/A</v>
      </c>
      <c r="K1008" s="55" t="e">
        <v>#N/A</v>
      </c>
    </row>
    <row r="1009" spans="1:11" ht="60" hidden="1" x14ac:dyDescent="0.25">
      <c r="A1009" s="2" t="s">
        <v>16</v>
      </c>
      <c r="B1009" s="3">
        <v>52229</v>
      </c>
      <c r="C1009" s="4" t="s">
        <v>1269</v>
      </c>
      <c r="D1009" s="62" t="e">
        <v>#N/A</v>
      </c>
      <c r="E1009" s="55" t="e">
        <v>#N/A</v>
      </c>
      <c r="F1009" s="55" t="e">
        <v>#N/A</v>
      </c>
      <c r="G1009" s="55" t="e">
        <v>#N/A</v>
      </c>
      <c r="H1009" s="55" t="e">
        <v>#N/A</v>
      </c>
      <c r="I1009" s="55" t="e">
        <v>#N/A</v>
      </c>
      <c r="J1009" s="55" t="e">
        <v>#N/A</v>
      </c>
      <c r="K1009" s="55" t="e">
        <v>#N/A</v>
      </c>
    </row>
    <row r="1010" spans="1:11" ht="30" hidden="1" x14ac:dyDescent="0.25">
      <c r="A1010" s="2" t="s">
        <v>16</v>
      </c>
      <c r="B1010" s="3">
        <v>52231</v>
      </c>
      <c r="C1010" s="4" t="s">
        <v>1270</v>
      </c>
      <c r="D1010" s="62" t="e">
        <v>#N/A</v>
      </c>
      <c r="E1010" s="55" t="e">
        <v>#N/A</v>
      </c>
      <c r="F1010" s="55" t="e">
        <v>#N/A</v>
      </c>
      <c r="G1010" s="55" t="e">
        <v>#N/A</v>
      </c>
      <c r="H1010" s="55" t="e">
        <v>#N/A</v>
      </c>
      <c r="I1010" s="55" t="e">
        <v>#N/A</v>
      </c>
      <c r="J1010" s="55" t="e">
        <v>#N/A</v>
      </c>
      <c r="K1010" s="55" t="e">
        <v>#N/A</v>
      </c>
    </row>
    <row r="1011" spans="1:11" ht="45" hidden="1" x14ac:dyDescent="0.25">
      <c r="A1011" s="2" t="s">
        <v>16</v>
      </c>
      <c r="B1011" s="3">
        <v>52232</v>
      </c>
      <c r="C1011" s="4" t="s">
        <v>1271</v>
      </c>
      <c r="D1011" s="62" t="e">
        <v>#N/A</v>
      </c>
      <c r="E1011" s="55" t="e">
        <v>#N/A</v>
      </c>
      <c r="F1011" s="55" t="e">
        <v>#N/A</v>
      </c>
      <c r="G1011" s="55" t="e">
        <v>#N/A</v>
      </c>
      <c r="H1011" s="55" t="e">
        <v>#N/A</v>
      </c>
      <c r="I1011" s="55" t="e">
        <v>#N/A</v>
      </c>
      <c r="J1011" s="55" t="e">
        <v>#N/A</v>
      </c>
      <c r="K1011" s="55" t="e">
        <v>#N/A</v>
      </c>
    </row>
    <row r="1012" spans="1:11" ht="60" hidden="1" x14ac:dyDescent="0.25">
      <c r="A1012" s="2" t="s">
        <v>16</v>
      </c>
      <c r="B1012" s="3">
        <v>52233</v>
      </c>
      <c r="C1012" s="4" t="s">
        <v>1272</v>
      </c>
      <c r="D1012" s="62" t="e">
        <v>#N/A</v>
      </c>
      <c r="E1012" s="55" t="e">
        <v>#N/A</v>
      </c>
      <c r="F1012" s="55" t="e">
        <v>#N/A</v>
      </c>
      <c r="G1012" s="55" t="e">
        <v>#N/A</v>
      </c>
      <c r="H1012" s="55" t="e">
        <v>#N/A</v>
      </c>
      <c r="I1012" s="55" t="e">
        <v>#N/A</v>
      </c>
      <c r="J1012" s="55" t="e">
        <v>#N/A</v>
      </c>
      <c r="K1012" s="55" t="e">
        <v>#N/A</v>
      </c>
    </row>
    <row r="1013" spans="1:11" ht="60" hidden="1" x14ac:dyDescent="0.25">
      <c r="A1013" s="2" t="s">
        <v>16</v>
      </c>
      <c r="B1013" s="3">
        <v>52234</v>
      </c>
      <c r="C1013" s="4" t="s">
        <v>1273</v>
      </c>
      <c r="D1013" s="62" t="e">
        <v>#N/A</v>
      </c>
      <c r="E1013" s="55" t="e">
        <v>#N/A</v>
      </c>
      <c r="F1013" s="55" t="e">
        <v>#N/A</v>
      </c>
      <c r="G1013" s="55" t="e">
        <v>#N/A</v>
      </c>
      <c r="H1013" s="55" t="e">
        <v>#N/A</v>
      </c>
      <c r="I1013" s="55" t="e">
        <v>#N/A</v>
      </c>
      <c r="J1013" s="55" t="e">
        <v>#N/A</v>
      </c>
      <c r="K1013" s="55" t="e">
        <v>#N/A</v>
      </c>
    </row>
    <row r="1014" spans="1:11" ht="45" hidden="1" x14ac:dyDescent="0.25">
      <c r="A1014" s="2" t="s">
        <v>16</v>
      </c>
      <c r="B1014" s="3">
        <v>52239</v>
      </c>
      <c r="C1014" s="4" t="s">
        <v>1274</v>
      </c>
      <c r="D1014" s="62" t="e">
        <v>#N/A</v>
      </c>
      <c r="E1014" s="55" t="e">
        <v>#N/A</v>
      </c>
      <c r="F1014" s="55" t="e">
        <v>#N/A</v>
      </c>
      <c r="G1014" s="55" t="e">
        <v>#N/A</v>
      </c>
      <c r="H1014" s="55" t="e">
        <v>#N/A</v>
      </c>
      <c r="I1014" s="55" t="e">
        <v>#N/A</v>
      </c>
      <c r="J1014" s="55" t="e">
        <v>#N/A</v>
      </c>
      <c r="K1014" s="55" t="e">
        <v>#N/A</v>
      </c>
    </row>
    <row r="1015" spans="1:11" ht="45" hidden="1" x14ac:dyDescent="0.25">
      <c r="A1015" s="2" t="s">
        <v>16</v>
      </c>
      <c r="B1015" s="3">
        <v>52240</v>
      </c>
      <c r="C1015" s="4" t="s">
        <v>1275</v>
      </c>
      <c r="D1015" s="62" t="e">
        <v>#N/A</v>
      </c>
      <c r="E1015" s="55" t="e">
        <v>#N/A</v>
      </c>
      <c r="F1015" s="55" t="e">
        <v>#N/A</v>
      </c>
      <c r="G1015" s="55" t="e">
        <v>#N/A</v>
      </c>
      <c r="H1015" s="55" t="e">
        <v>#N/A</v>
      </c>
      <c r="I1015" s="55" t="e">
        <v>#N/A</v>
      </c>
      <c r="J1015" s="55" t="e">
        <v>#N/A</v>
      </c>
      <c r="K1015" s="55" t="e">
        <v>#N/A</v>
      </c>
    </row>
    <row r="1016" spans="1:11" ht="30" hidden="1" x14ac:dyDescent="0.25">
      <c r="A1016" s="2" t="s">
        <v>16</v>
      </c>
      <c r="B1016" s="3">
        <v>52291</v>
      </c>
      <c r="C1016" s="4" t="s">
        <v>1276</v>
      </c>
      <c r="D1016" s="62" t="e">
        <v>#N/A</v>
      </c>
      <c r="E1016" s="55" t="e">
        <v>#N/A</v>
      </c>
      <c r="F1016" s="55" t="e">
        <v>#N/A</v>
      </c>
      <c r="G1016" s="55" t="e">
        <v>#N/A</v>
      </c>
      <c r="H1016" s="55" t="e">
        <v>#N/A</v>
      </c>
      <c r="I1016" s="55" t="e">
        <v>#N/A</v>
      </c>
      <c r="J1016" s="55" t="e">
        <v>#N/A</v>
      </c>
      <c r="K1016" s="55" t="e">
        <v>#N/A</v>
      </c>
    </row>
    <row r="1017" spans="1:11" ht="30" hidden="1" x14ac:dyDescent="0.25">
      <c r="A1017" s="2" t="s">
        <v>16</v>
      </c>
      <c r="B1017" s="3">
        <v>52292</v>
      </c>
      <c r="C1017" s="4" t="s">
        <v>1277</v>
      </c>
      <c r="D1017" s="62" t="e">
        <v>#N/A</v>
      </c>
      <c r="E1017" s="55" t="e">
        <v>#N/A</v>
      </c>
      <c r="F1017" s="55" t="e">
        <v>#N/A</v>
      </c>
      <c r="G1017" s="55" t="e">
        <v>#N/A</v>
      </c>
      <c r="H1017" s="55" t="e">
        <v>#N/A</v>
      </c>
      <c r="I1017" s="55" t="e">
        <v>#N/A</v>
      </c>
      <c r="J1017" s="55" t="e">
        <v>#N/A</v>
      </c>
      <c r="K1017" s="55" t="e">
        <v>#N/A</v>
      </c>
    </row>
    <row r="1018" spans="1:11" ht="60" hidden="1" x14ac:dyDescent="0.25">
      <c r="A1018" s="2" t="s">
        <v>16</v>
      </c>
      <c r="B1018" s="3">
        <v>52299</v>
      </c>
      <c r="C1018" s="4" t="s">
        <v>1278</v>
      </c>
      <c r="D1018" s="62" t="e">
        <v>#N/A</v>
      </c>
      <c r="E1018" s="55" t="e">
        <v>#N/A</v>
      </c>
      <c r="F1018" s="55" t="e">
        <v>#N/A</v>
      </c>
      <c r="G1018" s="55" t="e">
        <v>#N/A</v>
      </c>
      <c r="H1018" s="55" t="e">
        <v>#N/A</v>
      </c>
      <c r="I1018" s="55" t="e">
        <v>#N/A</v>
      </c>
      <c r="J1018" s="55" t="e">
        <v>#N/A</v>
      </c>
      <c r="K1018" s="55" t="e">
        <v>#N/A</v>
      </c>
    </row>
    <row r="1019" spans="1:11" ht="30" hidden="1" x14ac:dyDescent="0.25">
      <c r="A1019" s="2" t="s">
        <v>16</v>
      </c>
      <c r="B1019" s="3">
        <v>52311</v>
      </c>
      <c r="C1019" s="4" t="s">
        <v>1279</v>
      </c>
      <c r="D1019" s="62" t="e">
        <v>#N/A</v>
      </c>
      <c r="E1019" s="55" t="e">
        <v>#N/A</v>
      </c>
      <c r="F1019" s="55" t="e">
        <v>#N/A</v>
      </c>
      <c r="G1019" s="55" t="s">
        <v>2090</v>
      </c>
      <c r="H1019" s="55" t="e">
        <v>#N/A</v>
      </c>
      <c r="I1019" s="55" t="e">
        <v>#N/A</v>
      </c>
      <c r="J1019" s="55" t="e">
        <v>#N/A</v>
      </c>
      <c r="K1019" s="55" t="e">
        <v>#N/A</v>
      </c>
    </row>
    <row r="1020" spans="1:11" ht="45" hidden="1" x14ac:dyDescent="0.25">
      <c r="A1020" s="2" t="s">
        <v>16</v>
      </c>
      <c r="B1020" s="3">
        <v>52312</v>
      </c>
      <c r="C1020" s="4" t="s">
        <v>1280</v>
      </c>
      <c r="D1020" s="62" t="e">
        <v>#N/A</v>
      </c>
      <c r="E1020" s="55" t="e">
        <v>#N/A</v>
      </c>
      <c r="F1020" s="55" t="e">
        <v>#N/A</v>
      </c>
      <c r="G1020" s="55" t="s">
        <v>2090</v>
      </c>
      <c r="H1020" s="55" t="e">
        <v>#N/A</v>
      </c>
      <c r="I1020" s="55" t="e">
        <v>#N/A</v>
      </c>
      <c r="J1020" s="55" t="e">
        <v>#N/A</v>
      </c>
      <c r="K1020" s="55" t="e">
        <v>#N/A</v>
      </c>
    </row>
    <row r="1021" spans="1:11" ht="75" hidden="1" x14ac:dyDescent="0.25">
      <c r="A1021" s="2" t="s">
        <v>16</v>
      </c>
      <c r="B1021" s="3">
        <v>52313</v>
      </c>
      <c r="C1021" s="4" t="s">
        <v>1281</v>
      </c>
      <c r="D1021" s="62" t="e">
        <v>#N/A</v>
      </c>
      <c r="E1021" s="55" t="e">
        <v>#N/A</v>
      </c>
      <c r="F1021" s="55" t="e">
        <v>#N/A</v>
      </c>
      <c r="G1021" s="55" t="s">
        <v>2090</v>
      </c>
      <c r="H1021" s="55" t="e">
        <v>#N/A</v>
      </c>
      <c r="I1021" s="55" t="e">
        <v>#N/A</v>
      </c>
      <c r="J1021" s="55" t="e">
        <v>#N/A</v>
      </c>
      <c r="K1021" s="55" t="e">
        <v>#N/A</v>
      </c>
    </row>
    <row r="1022" spans="1:11" ht="60" hidden="1" x14ac:dyDescent="0.25">
      <c r="A1022" s="2" t="s">
        <v>16</v>
      </c>
      <c r="B1022" s="3">
        <v>52319</v>
      </c>
      <c r="C1022" s="4" t="s">
        <v>1282</v>
      </c>
      <c r="D1022" s="62" t="e">
        <v>#N/A</v>
      </c>
      <c r="E1022" s="55" t="e">
        <v>#N/A</v>
      </c>
      <c r="F1022" s="55" t="e">
        <v>#N/A</v>
      </c>
      <c r="G1022" s="55" t="s">
        <v>2090</v>
      </c>
      <c r="H1022" s="55" t="e">
        <v>#N/A</v>
      </c>
      <c r="I1022" s="55" t="e">
        <v>#N/A</v>
      </c>
      <c r="J1022" s="55" t="e">
        <v>#N/A</v>
      </c>
      <c r="K1022" s="55" t="e">
        <v>#N/A</v>
      </c>
    </row>
    <row r="1023" spans="1:11" ht="30" hidden="1" x14ac:dyDescent="0.25">
      <c r="A1023" s="2" t="s">
        <v>16</v>
      </c>
      <c r="B1023" s="3">
        <v>52321</v>
      </c>
      <c r="C1023" s="4" t="s">
        <v>1283</v>
      </c>
      <c r="D1023" s="62" t="e">
        <v>#N/A</v>
      </c>
      <c r="E1023" s="55" t="e">
        <v>#N/A</v>
      </c>
      <c r="F1023" s="55" t="e">
        <v>#N/A</v>
      </c>
      <c r="G1023" s="55" t="s">
        <v>2090</v>
      </c>
      <c r="H1023" s="55" t="e">
        <v>#N/A</v>
      </c>
      <c r="I1023" s="55" t="e">
        <v>#N/A</v>
      </c>
      <c r="J1023" s="55" t="e">
        <v>#N/A</v>
      </c>
      <c r="K1023" s="55" t="e">
        <v>#N/A</v>
      </c>
    </row>
    <row r="1024" spans="1:11" ht="45" hidden="1" x14ac:dyDescent="0.25">
      <c r="A1024" s="2" t="s">
        <v>16</v>
      </c>
      <c r="B1024" s="3">
        <v>52322</v>
      </c>
      <c r="C1024" s="4" t="s">
        <v>1284</v>
      </c>
      <c r="D1024" s="62" t="e">
        <v>#N/A</v>
      </c>
      <c r="E1024" s="55" t="e">
        <v>#N/A</v>
      </c>
      <c r="F1024" s="55" t="e">
        <v>#N/A</v>
      </c>
      <c r="G1024" s="55" t="s">
        <v>2090</v>
      </c>
      <c r="H1024" s="55" t="e">
        <v>#N/A</v>
      </c>
      <c r="I1024" s="55" t="e">
        <v>#N/A</v>
      </c>
      <c r="J1024" s="55" t="e">
        <v>#N/A</v>
      </c>
      <c r="K1024" s="55" t="e">
        <v>#N/A</v>
      </c>
    </row>
    <row r="1025" spans="1:11" ht="75" hidden="1" x14ac:dyDescent="0.25">
      <c r="A1025" s="2" t="s">
        <v>16</v>
      </c>
      <c r="B1025" s="3">
        <v>52323</v>
      </c>
      <c r="C1025" s="4" t="s">
        <v>1285</v>
      </c>
      <c r="D1025" s="62" t="e">
        <v>#N/A</v>
      </c>
      <c r="E1025" s="55" t="e">
        <v>#N/A</v>
      </c>
      <c r="F1025" s="55" t="e">
        <v>#N/A</v>
      </c>
      <c r="G1025" s="55" t="s">
        <v>2090</v>
      </c>
      <c r="H1025" s="55" t="e">
        <v>#N/A</v>
      </c>
      <c r="I1025" s="55" t="e">
        <v>#N/A</v>
      </c>
      <c r="J1025" s="55" t="e">
        <v>#N/A</v>
      </c>
      <c r="K1025" s="55" t="e">
        <v>#N/A</v>
      </c>
    </row>
    <row r="1026" spans="1:11" ht="60" hidden="1" x14ac:dyDescent="0.25">
      <c r="A1026" s="2" t="s">
        <v>16</v>
      </c>
      <c r="B1026" s="3">
        <v>52329</v>
      </c>
      <c r="C1026" s="4" t="s">
        <v>1286</v>
      </c>
      <c r="D1026" s="62" t="e">
        <v>#N/A</v>
      </c>
      <c r="E1026" s="55" t="e">
        <v>#N/A</v>
      </c>
      <c r="F1026" s="55" t="e">
        <v>#N/A</v>
      </c>
      <c r="G1026" s="55" t="s">
        <v>2090</v>
      </c>
      <c r="H1026" s="55" t="e">
        <v>#N/A</v>
      </c>
      <c r="I1026" s="55" t="e">
        <v>#N/A</v>
      </c>
      <c r="J1026" s="55" t="e">
        <v>#N/A</v>
      </c>
      <c r="K1026" s="55" t="e">
        <v>#N/A</v>
      </c>
    </row>
    <row r="1027" spans="1:11" hidden="1" x14ac:dyDescent="0.25">
      <c r="A1027" s="2" t="s">
        <v>16</v>
      </c>
      <c r="B1027" s="3">
        <v>53100</v>
      </c>
      <c r="C1027" s="4" t="s">
        <v>17</v>
      </c>
      <c r="D1027" s="62" t="e">
        <v>#N/A</v>
      </c>
      <c r="E1027" s="55" t="e">
        <v>#N/A</v>
      </c>
      <c r="F1027" s="55" t="e">
        <v>#N/A</v>
      </c>
      <c r="G1027" s="55" t="e">
        <v>#N/A</v>
      </c>
      <c r="H1027" s="55" t="e">
        <v>#N/A</v>
      </c>
      <c r="I1027" s="55" t="e">
        <v>#N/A</v>
      </c>
      <c r="J1027" s="55" t="e">
        <v>#N/A</v>
      </c>
      <c r="K1027" s="55" t="e">
        <v>#N/A</v>
      </c>
    </row>
    <row r="1028" spans="1:11" hidden="1" x14ac:dyDescent="0.25">
      <c r="A1028" s="2" t="s">
        <v>16</v>
      </c>
      <c r="B1028" s="3">
        <v>53200</v>
      </c>
      <c r="C1028" s="4" t="s">
        <v>18</v>
      </c>
      <c r="D1028" s="62" t="e">
        <v>#N/A</v>
      </c>
      <c r="E1028" s="55" t="e">
        <v>#N/A</v>
      </c>
      <c r="F1028" s="55" t="e">
        <v>#N/A</v>
      </c>
      <c r="G1028" s="55" t="e">
        <v>#N/A</v>
      </c>
      <c r="H1028" s="55" t="e">
        <v>#N/A</v>
      </c>
      <c r="I1028" s="55" t="e">
        <v>#N/A</v>
      </c>
      <c r="J1028" s="55" t="e">
        <v>#N/A</v>
      </c>
      <c r="K1028" s="55" t="e">
        <v>#N/A</v>
      </c>
    </row>
    <row r="1029" spans="1:11" ht="60" hidden="1" x14ac:dyDescent="0.25">
      <c r="A1029" s="2" t="s">
        <v>16</v>
      </c>
      <c r="B1029" s="3">
        <v>53301</v>
      </c>
      <c r="C1029" s="4" t="s">
        <v>1287</v>
      </c>
      <c r="D1029" s="62" t="e">
        <v>#N/A</v>
      </c>
      <c r="E1029" s="55" t="e">
        <v>#N/A</v>
      </c>
      <c r="F1029" s="55" t="e">
        <v>#N/A</v>
      </c>
      <c r="G1029" s="55" t="s">
        <v>2090</v>
      </c>
      <c r="H1029" s="55" t="e">
        <v>#N/A</v>
      </c>
      <c r="I1029" s="55" t="e">
        <v>#N/A</v>
      </c>
      <c r="J1029" s="55" t="e">
        <v>#N/A</v>
      </c>
      <c r="K1029" s="55" t="e">
        <v>#N/A</v>
      </c>
    </row>
    <row r="1030" spans="1:11" ht="45" hidden="1" x14ac:dyDescent="0.25">
      <c r="A1030" s="2" t="s">
        <v>16</v>
      </c>
      <c r="B1030" s="3">
        <v>53309</v>
      </c>
      <c r="C1030" s="4" t="s">
        <v>1288</v>
      </c>
      <c r="D1030" s="62" t="e">
        <v>#N/A</v>
      </c>
      <c r="E1030" s="55" t="e">
        <v>#N/A</v>
      </c>
      <c r="F1030" s="55" t="e">
        <v>#N/A</v>
      </c>
      <c r="G1030" s="55" t="s">
        <v>2090</v>
      </c>
      <c r="H1030" s="55" t="e">
        <v>#N/A</v>
      </c>
      <c r="I1030" s="55" t="e">
        <v>#N/A</v>
      </c>
      <c r="J1030" s="55" t="e">
        <v>#N/A</v>
      </c>
      <c r="K1030" s="55" t="e">
        <v>#N/A</v>
      </c>
    </row>
    <row r="1031" spans="1:11" ht="90" hidden="1" x14ac:dyDescent="0.25">
      <c r="A1031" s="2" t="s">
        <v>19</v>
      </c>
      <c r="B1031" s="3">
        <v>55101</v>
      </c>
      <c r="C1031" s="4" t="s">
        <v>20</v>
      </c>
      <c r="D1031" s="62" t="s">
        <v>1806</v>
      </c>
      <c r="E1031" s="55" t="s">
        <v>2415</v>
      </c>
      <c r="F1031" s="55" t="s">
        <v>111</v>
      </c>
      <c r="G1031" s="55" t="s">
        <v>2060</v>
      </c>
      <c r="H1031" s="55" t="s">
        <v>2285</v>
      </c>
      <c r="I1031" s="55" t="s">
        <v>2641</v>
      </c>
      <c r="J1031" s="55" t="s">
        <v>2560</v>
      </c>
      <c r="K1031" s="55" t="s">
        <v>2648</v>
      </c>
    </row>
    <row r="1032" spans="1:11" ht="30" hidden="1" x14ac:dyDescent="0.25">
      <c r="A1032" s="2" t="s">
        <v>19</v>
      </c>
      <c r="B1032" s="3">
        <v>55102</v>
      </c>
      <c r="C1032" s="4" t="s">
        <v>21</v>
      </c>
      <c r="D1032" s="62" t="s">
        <v>1807</v>
      </c>
      <c r="E1032" s="55" t="s">
        <v>2416</v>
      </c>
      <c r="F1032" s="55" t="s">
        <v>111</v>
      </c>
      <c r="G1032" s="55" t="s">
        <v>2091</v>
      </c>
      <c r="H1032" s="55" t="s">
        <v>2286</v>
      </c>
      <c r="I1032" s="55" t="s">
        <v>2642</v>
      </c>
      <c r="J1032" s="55" t="s">
        <v>2560</v>
      </c>
      <c r="K1032" s="55" t="s">
        <v>2649</v>
      </c>
    </row>
    <row r="1033" spans="1:11" ht="30" hidden="1" x14ac:dyDescent="0.25">
      <c r="A1033" s="2" t="s">
        <v>19</v>
      </c>
      <c r="B1033" s="3">
        <v>55103</v>
      </c>
      <c r="C1033" s="4" t="s">
        <v>22</v>
      </c>
      <c r="D1033" s="62" t="s">
        <v>1808</v>
      </c>
      <c r="E1033" s="55" t="s">
        <v>2417</v>
      </c>
      <c r="F1033" s="55" t="s">
        <v>111</v>
      </c>
      <c r="G1033" s="55"/>
      <c r="H1033" s="55" t="s">
        <v>2287</v>
      </c>
      <c r="I1033" s="55" t="s">
        <v>2643</v>
      </c>
      <c r="J1033" s="55" t="s">
        <v>2560</v>
      </c>
      <c r="K1033" s="55" t="s">
        <v>2650</v>
      </c>
    </row>
    <row r="1034" spans="1:11" ht="30" hidden="1" x14ac:dyDescent="0.25">
      <c r="A1034" s="2" t="s">
        <v>19</v>
      </c>
      <c r="B1034" s="3">
        <v>55104</v>
      </c>
      <c r="C1034" s="4" t="s">
        <v>23</v>
      </c>
      <c r="D1034" s="62" t="s">
        <v>1809</v>
      </c>
      <c r="E1034" s="55" t="s">
        <v>2418</v>
      </c>
      <c r="F1034" s="55" t="s">
        <v>111</v>
      </c>
      <c r="G1034" s="55"/>
      <c r="H1034" s="55" t="s">
        <v>2288</v>
      </c>
      <c r="I1034" s="55" t="s">
        <v>2467</v>
      </c>
      <c r="J1034" s="55" t="s">
        <v>2560</v>
      </c>
      <c r="K1034" s="55" t="s">
        <v>2596</v>
      </c>
    </row>
    <row r="1035" spans="1:11" ht="75" hidden="1" x14ac:dyDescent="0.25">
      <c r="A1035" s="2" t="s">
        <v>19</v>
      </c>
      <c r="B1035" s="3">
        <v>55105</v>
      </c>
      <c r="C1035" s="4" t="s">
        <v>24</v>
      </c>
      <c r="D1035" s="62" t="s">
        <v>1810</v>
      </c>
      <c r="E1035" s="55" t="s">
        <v>2065</v>
      </c>
      <c r="F1035" s="55" t="s">
        <v>111</v>
      </c>
      <c r="G1035" s="55"/>
      <c r="H1035" s="55" t="s">
        <v>2289</v>
      </c>
      <c r="I1035" s="55" t="s">
        <v>2468</v>
      </c>
      <c r="J1035" s="55" t="s">
        <v>2560</v>
      </c>
      <c r="K1035" s="55" t="s">
        <v>2597</v>
      </c>
    </row>
    <row r="1036" spans="1:11" ht="75" hidden="1" x14ac:dyDescent="0.25">
      <c r="A1036" s="2" t="s">
        <v>19</v>
      </c>
      <c r="B1036" s="3">
        <v>55106</v>
      </c>
      <c r="C1036" s="4" t="s">
        <v>25</v>
      </c>
      <c r="D1036" s="62" t="s">
        <v>1811</v>
      </c>
      <c r="E1036" s="55" t="s">
        <v>2066</v>
      </c>
      <c r="F1036" s="55" t="s">
        <v>111</v>
      </c>
      <c r="G1036" s="55"/>
      <c r="H1036" s="55" t="s">
        <v>2290</v>
      </c>
      <c r="I1036" s="55" t="s">
        <v>2469</v>
      </c>
      <c r="J1036" s="55" t="s">
        <v>2560</v>
      </c>
      <c r="K1036" s="55" t="s">
        <v>2598</v>
      </c>
    </row>
    <row r="1037" spans="1:11" ht="75" hidden="1" x14ac:dyDescent="0.25">
      <c r="A1037" s="2" t="s">
        <v>19</v>
      </c>
      <c r="B1037" s="3">
        <v>55201</v>
      </c>
      <c r="C1037" s="4" t="s">
        <v>26</v>
      </c>
      <c r="D1037" s="62" t="s">
        <v>1812</v>
      </c>
      <c r="E1037" s="55" t="s">
        <v>2067</v>
      </c>
      <c r="F1037" s="55" t="s">
        <v>111</v>
      </c>
      <c r="G1037" s="55"/>
      <c r="H1037" s="55" t="s">
        <v>2291</v>
      </c>
      <c r="I1037" s="55" t="s">
        <v>2470</v>
      </c>
      <c r="J1037" s="55" t="s">
        <v>2560</v>
      </c>
      <c r="K1037" s="55" t="s">
        <v>2599</v>
      </c>
    </row>
    <row r="1038" spans="1:11" ht="75" x14ac:dyDescent="0.25">
      <c r="A1038" s="2" t="s">
        <v>19</v>
      </c>
      <c r="B1038" s="3">
        <v>55202</v>
      </c>
      <c r="C1038" s="4" t="s">
        <v>1289</v>
      </c>
      <c r="D1038" s="62" t="s">
        <v>2040</v>
      </c>
      <c r="E1038" s="55" t="s">
        <v>2419</v>
      </c>
      <c r="F1038" s="55" t="s">
        <v>2056</v>
      </c>
      <c r="G1038" s="55"/>
      <c r="H1038" s="55" t="s">
        <v>2292</v>
      </c>
      <c r="I1038" s="55" t="s">
        <v>2471</v>
      </c>
      <c r="J1038" s="55" t="s">
        <v>2560</v>
      </c>
      <c r="K1038" s="55" t="s">
        <v>2600</v>
      </c>
    </row>
    <row r="1039" spans="1:11" ht="60" x14ac:dyDescent="0.25">
      <c r="A1039" s="2" t="s">
        <v>19</v>
      </c>
      <c r="B1039" s="3">
        <v>55203</v>
      </c>
      <c r="C1039" s="4" t="s">
        <v>1290</v>
      </c>
      <c r="D1039" s="62" t="s">
        <v>2041</v>
      </c>
      <c r="E1039" s="55" t="s">
        <v>2093</v>
      </c>
      <c r="F1039" s="55" t="s">
        <v>2056</v>
      </c>
      <c r="G1039" s="55"/>
      <c r="H1039" s="55" t="s">
        <v>2293</v>
      </c>
      <c r="I1039" s="55" t="s">
        <v>2472</v>
      </c>
      <c r="J1039" s="55" t="s">
        <v>2560</v>
      </c>
      <c r="K1039" s="55" t="s">
        <v>2601</v>
      </c>
    </row>
    <row r="1040" spans="1:11" ht="90" hidden="1" x14ac:dyDescent="0.25">
      <c r="A1040" s="2" t="s">
        <v>19</v>
      </c>
      <c r="B1040" s="3">
        <v>55204</v>
      </c>
      <c r="C1040" s="4" t="s">
        <v>1291</v>
      </c>
      <c r="D1040" s="62" t="s">
        <v>1939</v>
      </c>
      <c r="E1040" s="55" t="s">
        <v>2069</v>
      </c>
      <c r="F1040" s="55" t="s">
        <v>116</v>
      </c>
      <c r="G1040" s="55"/>
      <c r="H1040" s="55" t="s">
        <v>2294</v>
      </c>
      <c r="I1040" s="55" t="s">
        <v>2473</v>
      </c>
      <c r="J1040" s="55" t="s">
        <v>2560</v>
      </c>
      <c r="K1040" s="55" t="s">
        <v>2602</v>
      </c>
    </row>
    <row r="1041" spans="1:11" ht="90" hidden="1" x14ac:dyDescent="0.25">
      <c r="A1041" s="2" t="s">
        <v>19</v>
      </c>
      <c r="B1041" s="3">
        <v>55209</v>
      </c>
      <c r="C1041" s="4" t="s">
        <v>1292</v>
      </c>
      <c r="D1041" s="62" t="s">
        <v>1940</v>
      </c>
      <c r="E1041" s="55" t="s">
        <v>2070</v>
      </c>
      <c r="F1041" s="55" t="s">
        <v>116</v>
      </c>
      <c r="G1041" s="55"/>
      <c r="H1041" s="55" t="s">
        <v>2295</v>
      </c>
      <c r="I1041" s="55" t="s">
        <v>2474</v>
      </c>
      <c r="J1041" s="55" t="s">
        <v>2560</v>
      </c>
      <c r="K1041" s="55" t="s">
        <v>2603</v>
      </c>
    </row>
    <row r="1042" spans="1:11" ht="75" hidden="1" x14ac:dyDescent="0.25">
      <c r="A1042" s="2" t="s">
        <v>19</v>
      </c>
      <c r="B1042" s="3">
        <v>55300</v>
      </c>
      <c r="C1042" s="4" t="s">
        <v>1293</v>
      </c>
      <c r="D1042" s="62" t="s">
        <v>1941</v>
      </c>
      <c r="E1042" s="55" t="s">
        <v>2071</v>
      </c>
      <c r="F1042" s="55" t="s">
        <v>116</v>
      </c>
      <c r="G1042" s="55"/>
      <c r="H1042" s="55" t="s">
        <v>2296</v>
      </c>
      <c r="I1042" s="55" t="s">
        <v>2475</v>
      </c>
      <c r="J1042" s="55" t="s">
        <v>2560</v>
      </c>
      <c r="K1042" s="55" t="s">
        <v>2604</v>
      </c>
    </row>
    <row r="1043" spans="1:11" ht="75" hidden="1" x14ac:dyDescent="0.25">
      <c r="A1043" s="2" t="s">
        <v>19</v>
      </c>
      <c r="B1043" s="3">
        <v>55400</v>
      </c>
      <c r="C1043" s="4" t="s">
        <v>1294</v>
      </c>
      <c r="D1043" s="62" t="s">
        <v>2671</v>
      </c>
      <c r="E1043" s="55" t="s">
        <v>2094</v>
      </c>
      <c r="F1043" s="55" t="s">
        <v>116</v>
      </c>
      <c r="G1043" s="55" t="s">
        <v>2090</v>
      </c>
      <c r="H1043" s="55" t="s">
        <v>2297</v>
      </c>
      <c r="I1043" s="55" t="s">
        <v>2476</v>
      </c>
      <c r="J1043" s="55" t="s">
        <v>2560</v>
      </c>
      <c r="K1043" s="55" t="s">
        <v>2375</v>
      </c>
    </row>
    <row r="1044" spans="1:11" ht="90" hidden="1" x14ac:dyDescent="0.25">
      <c r="A1044" s="2" t="s">
        <v>19</v>
      </c>
      <c r="B1044" s="3">
        <v>55901</v>
      </c>
      <c r="C1044" s="4" t="s">
        <v>1295</v>
      </c>
      <c r="D1044" s="62" t="s">
        <v>1942</v>
      </c>
      <c r="E1044" s="55" t="s">
        <v>2072</v>
      </c>
      <c r="F1044" s="55" t="s">
        <v>116</v>
      </c>
      <c r="G1044" s="55"/>
      <c r="H1044" s="55" t="s">
        <v>2298</v>
      </c>
      <c r="I1044" s="55" t="s">
        <v>2477</v>
      </c>
      <c r="J1044" s="55" t="s">
        <v>2560</v>
      </c>
      <c r="K1044" s="55" t="s">
        <v>2605</v>
      </c>
    </row>
    <row r="1045" spans="1:11" ht="90" hidden="1" x14ac:dyDescent="0.25">
      <c r="A1045" s="2" t="s">
        <v>19</v>
      </c>
      <c r="B1045" s="3">
        <v>55909</v>
      </c>
      <c r="C1045" s="4" t="s">
        <v>1296</v>
      </c>
      <c r="D1045" s="62" t="s">
        <v>1943</v>
      </c>
      <c r="E1045" s="55" t="s">
        <v>2420</v>
      </c>
      <c r="F1045" s="55" t="s">
        <v>116</v>
      </c>
      <c r="G1045" s="55"/>
      <c r="H1045" s="55" t="s">
        <v>2299</v>
      </c>
      <c r="I1045" s="55" t="s">
        <v>2644</v>
      </c>
      <c r="J1045" s="55" t="s">
        <v>2560</v>
      </c>
      <c r="K1045" s="55" t="s">
        <v>2651</v>
      </c>
    </row>
    <row r="1046" spans="1:11" ht="165" hidden="1" x14ac:dyDescent="0.25">
      <c r="A1046" s="2" t="s">
        <v>19</v>
      </c>
      <c r="B1046" s="3">
        <v>56101</v>
      </c>
      <c r="C1046" s="4" t="s">
        <v>1297</v>
      </c>
      <c r="D1046" s="62" t="s">
        <v>1944</v>
      </c>
      <c r="E1046" s="55" t="s">
        <v>2074</v>
      </c>
      <c r="F1046" s="55" t="s">
        <v>116</v>
      </c>
      <c r="G1046" s="55"/>
      <c r="H1046" s="55" t="s">
        <v>2300</v>
      </c>
      <c r="I1046" s="55" t="s">
        <v>2478</v>
      </c>
      <c r="J1046" s="55" t="s">
        <v>2560</v>
      </c>
      <c r="K1046" s="55" t="s">
        <v>2606</v>
      </c>
    </row>
    <row r="1047" spans="1:11" ht="75" hidden="1" x14ac:dyDescent="0.25">
      <c r="A1047" s="2" t="s">
        <v>19</v>
      </c>
      <c r="B1047" s="3">
        <v>56102</v>
      </c>
      <c r="C1047" s="4" t="s">
        <v>1298</v>
      </c>
      <c r="D1047" s="62" t="s">
        <v>1945</v>
      </c>
      <c r="E1047" s="55" t="s">
        <v>2421</v>
      </c>
      <c r="F1047" s="55" t="s">
        <v>116</v>
      </c>
      <c r="G1047" s="55">
        <v>0</v>
      </c>
      <c r="H1047" s="55" t="s">
        <v>2301</v>
      </c>
      <c r="I1047" s="55" t="s">
        <v>2479</v>
      </c>
      <c r="J1047" s="55" t="s">
        <v>2560</v>
      </c>
      <c r="K1047" s="55" t="s">
        <v>2607</v>
      </c>
    </row>
    <row r="1048" spans="1:11" ht="75" hidden="1" x14ac:dyDescent="0.25">
      <c r="A1048" s="2" t="s">
        <v>19</v>
      </c>
      <c r="B1048" s="3">
        <v>56210</v>
      </c>
      <c r="C1048" s="4" t="s">
        <v>1299</v>
      </c>
      <c r="D1048" s="62" t="s">
        <v>1946</v>
      </c>
      <c r="E1048" s="55" t="s">
        <v>2076</v>
      </c>
      <c r="F1048" s="55" t="s">
        <v>116</v>
      </c>
      <c r="G1048" s="55">
        <v>0</v>
      </c>
      <c r="H1048" s="55" t="s">
        <v>2302</v>
      </c>
      <c r="I1048" s="55" t="s">
        <v>2480</v>
      </c>
      <c r="J1048" s="55" t="s">
        <v>2560</v>
      </c>
      <c r="K1048" s="55" t="s">
        <v>2608</v>
      </c>
    </row>
    <row r="1049" spans="1:11" ht="60" hidden="1" x14ac:dyDescent="0.25">
      <c r="A1049" s="2" t="s">
        <v>19</v>
      </c>
      <c r="B1049" s="3">
        <v>56290</v>
      </c>
      <c r="C1049" s="4" t="s">
        <v>1300</v>
      </c>
      <c r="D1049" s="62" t="s">
        <v>1947</v>
      </c>
      <c r="E1049" s="55" t="s">
        <v>2077</v>
      </c>
      <c r="F1049" s="55" t="s">
        <v>116</v>
      </c>
      <c r="G1049" s="55">
        <v>0</v>
      </c>
      <c r="H1049" s="55" t="s">
        <v>2303</v>
      </c>
      <c r="I1049" s="55" t="s">
        <v>2481</v>
      </c>
      <c r="J1049" s="55" t="s">
        <v>2560</v>
      </c>
      <c r="K1049" s="55" t="s">
        <v>2609</v>
      </c>
    </row>
    <row r="1050" spans="1:11" ht="30" hidden="1" x14ac:dyDescent="0.25">
      <c r="A1050" s="2" t="s">
        <v>19</v>
      </c>
      <c r="B1050" s="3">
        <v>56301</v>
      </c>
      <c r="C1050" s="4" t="s">
        <v>1301</v>
      </c>
      <c r="D1050" s="62" t="s">
        <v>1948</v>
      </c>
      <c r="E1050" s="55" t="s">
        <v>2078</v>
      </c>
      <c r="F1050" s="55" t="s">
        <v>116</v>
      </c>
      <c r="G1050" s="55">
        <v>0</v>
      </c>
      <c r="H1050" s="55" t="s">
        <v>2304</v>
      </c>
      <c r="I1050" s="55" t="s">
        <v>2482</v>
      </c>
      <c r="J1050" s="55" t="s">
        <v>2560</v>
      </c>
      <c r="K1050" s="55" t="s">
        <v>2652</v>
      </c>
    </row>
    <row r="1051" spans="1:11" ht="60" hidden="1" x14ac:dyDescent="0.25">
      <c r="A1051" s="2" t="s">
        <v>19</v>
      </c>
      <c r="B1051" s="3">
        <v>56302</v>
      </c>
      <c r="C1051" s="4" t="s">
        <v>1302</v>
      </c>
      <c r="D1051" s="62" t="s">
        <v>1949</v>
      </c>
      <c r="E1051" s="55" t="s">
        <v>2079</v>
      </c>
      <c r="F1051" s="55" t="s">
        <v>116</v>
      </c>
      <c r="G1051" s="55">
        <v>0</v>
      </c>
      <c r="H1051" s="55" t="s">
        <v>2305</v>
      </c>
      <c r="I1051" s="55" t="s">
        <v>2483</v>
      </c>
      <c r="J1051" s="55" t="s">
        <v>2560</v>
      </c>
      <c r="K1051" s="55" t="s">
        <v>2610</v>
      </c>
    </row>
    <row r="1052" spans="1:11" ht="165" hidden="1" x14ac:dyDescent="0.25">
      <c r="A1052" s="2" t="s">
        <v>19</v>
      </c>
      <c r="B1052" s="3">
        <v>56303</v>
      </c>
      <c r="C1052" s="4" t="s">
        <v>1303</v>
      </c>
      <c r="D1052" s="62" t="s">
        <v>2675</v>
      </c>
      <c r="E1052" s="55" t="s">
        <v>2676</v>
      </c>
      <c r="F1052" s="55" t="s">
        <v>116</v>
      </c>
      <c r="G1052" s="55">
        <v>0</v>
      </c>
      <c r="H1052" s="55" t="s">
        <v>2306</v>
      </c>
      <c r="I1052" s="55" t="s">
        <v>2484</v>
      </c>
      <c r="J1052" s="55" t="s">
        <v>2560</v>
      </c>
      <c r="K1052" s="55" t="s">
        <v>2653</v>
      </c>
    </row>
    <row r="1053" spans="1:11" ht="60" hidden="1" x14ac:dyDescent="0.25">
      <c r="A1053" s="2" t="s">
        <v>19</v>
      </c>
      <c r="B1053" s="3">
        <v>56304</v>
      </c>
      <c r="C1053" s="4" t="s">
        <v>1304</v>
      </c>
      <c r="D1053" s="62" t="s">
        <v>1951</v>
      </c>
      <c r="E1053" s="55" t="s">
        <v>2423</v>
      </c>
      <c r="F1053" s="55" t="s">
        <v>116</v>
      </c>
      <c r="G1053" s="55">
        <v>0</v>
      </c>
      <c r="H1053" s="55" t="s">
        <v>2307</v>
      </c>
      <c r="I1053" s="55" t="s">
        <v>2485</v>
      </c>
      <c r="J1053" s="55" t="s">
        <v>2560</v>
      </c>
      <c r="K1053" s="55" t="s">
        <v>2611</v>
      </c>
    </row>
    <row r="1054" spans="1:11" ht="120" hidden="1" x14ac:dyDescent="0.25">
      <c r="A1054" s="2" t="s">
        <v>19</v>
      </c>
      <c r="B1054" s="3">
        <v>56305</v>
      </c>
      <c r="C1054" s="4" t="s">
        <v>1305</v>
      </c>
      <c r="D1054" s="62" t="s">
        <v>1952</v>
      </c>
      <c r="E1054" s="55" t="s">
        <v>2082</v>
      </c>
      <c r="F1054" s="55" t="s">
        <v>116</v>
      </c>
      <c r="G1054" s="55">
        <v>0</v>
      </c>
      <c r="H1054" s="55" t="s">
        <v>2308</v>
      </c>
      <c r="I1054" s="55" t="s">
        <v>2486</v>
      </c>
      <c r="J1054" s="55" t="s">
        <v>2560</v>
      </c>
      <c r="K1054" s="55" t="s">
        <v>2612</v>
      </c>
    </row>
    <row r="1055" spans="1:11" ht="75" hidden="1" x14ac:dyDescent="0.25">
      <c r="A1055" s="2" t="s">
        <v>19</v>
      </c>
      <c r="B1055" s="3">
        <v>56306</v>
      </c>
      <c r="C1055" s="4" t="s">
        <v>1306</v>
      </c>
      <c r="D1055" s="62" t="s">
        <v>1953</v>
      </c>
      <c r="E1055" s="55" t="s">
        <v>2118</v>
      </c>
      <c r="F1055" s="55" t="s">
        <v>116</v>
      </c>
      <c r="G1055" s="55">
        <v>0</v>
      </c>
      <c r="H1055" s="55" t="s">
        <v>2309</v>
      </c>
      <c r="I1055" s="55" t="s">
        <v>2487</v>
      </c>
      <c r="J1055" s="55" t="s">
        <v>2560</v>
      </c>
      <c r="K1055" s="55" t="s">
        <v>2613</v>
      </c>
    </row>
    <row r="1056" spans="1:11" ht="75" hidden="1" x14ac:dyDescent="0.25">
      <c r="A1056" s="2" t="s">
        <v>19</v>
      </c>
      <c r="B1056" s="3">
        <v>56400</v>
      </c>
      <c r="C1056" s="4" t="s">
        <v>1307</v>
      </c>
      <c r="D1056" s="62" t="s">
        <v>2058</v>
      </c>
      <c r="E1056" s="55" t="s">
        <v>2095</v>
      </c>
      <c r="F1056" s="55" t="s">
        <v>116</v>
      </c>
      <c r="G1056" s="55" t="s">
        <v>2090</v>
      </c>
      <c r="H1056" s="55" t="s">
        <v>2310</v>
      </c>
      <c r="I1056" s="55" t="s">
        <v>2488</v>
      </c>
      <c r="J1056" s="55" t="s">
        <v>2560</v>
      </c>
      <c r="K1056" s="55" t="s">
        <v>2614</v>
      </c>
    </row>
    <row r="1057" spans="1:11" ht="75" x14ac:dyDescent="0.25">
      <c r="A1057" s="2" t="s">
        <v>27</v>
      </c>
      <c r="B1057" s="3">
        <v>58110</v>
      </c>
      <c r="C1057" s="4" t="s">
        <v>1308</v>
      </c>
      <c r="D1057" s="62" t="s">
        <v>2670</v>
      </c>
      <c r="E1057" s="55" t="s">
        <v>2198</v>
      </c>
      <c r="F1057" s="55" t="s">
        <v>2056</v>
      </c>
      <c r="G1057" s="55" t="s">
        <v>2090</v>
      </c>
      <c r="H1057" s="55" t="s">
        <v>2333</v>
      </c>
      <c r="I1057" s="55" t="s">
        <v>2204</v>
      </c>
      <c r="J1057" s="55" t="s">
        <v>2375</v>
      </c>
      <c r="K1057" s="55" t="s">
        <v>2655</v>
      </c>
    </row>
    <row r="1058" spans="1:11" ht="45" hidden="1" x14ac:dyDescent="0.25">
      <c r="A1058" s="2" t="s">
        <v>27</v>
      </c>
      <c r="B1058" s="3">
        <v>58120</v>
      </c>
      <c r="C1058" s="4" t="s">
        <v>28</v>
      </c>
      <c r="D1058" s="62" t="s">
        <v>1813</v>
      </c>
      <c r="E1058" s="55" t="s">
        <v>2199</v>
      </c>
      <c r="F1058" s="55" t="s">
        <v>111</v>
      </c>
      <c r="G1058" s="55" t="s">
        <v>2090</v>
      </c>
      <c r="H1058" s="55" t="s">
        <v>2334</v>
      </c>
      <c r="I1058" s="55" t="s">
        <v>2205</v>
      </c>
      <c r="J1058" s="55" t="s">
        <v>2375</v>
      </c>
      <c r="K1058" s="55" t="s">
        <v>2202</v>
      </c>
    </row>
    <row r="1059" spans="1:11" ht="45" x14ac:dyDescent="0.25">
      <c r="A1059" s="2" t="s">
        <v>27</v>
      </c>
      <c r="B1059" s="3">
        <v>58130</v>
      </c>
      <c r="C1059" s="4" t="s">
        <v>1309</v>
      </c>
      <c r="D1059" s="62" t="s">
        <v>2043</v>
      </c>
      <c r="E1059" s="55" t="s">
        <v>2425</v>
      </c>
      <c r="F1059" s="55" t="s">
        <v>2056</v>
      </c>
      <c r="G1059" s="55" t="s">
        <v>2090</v>
      </c>
      <c r="H1059" s="55" t="s">
        <v>2335</v>
      </c>
      <c r="I1059" s="55" t="s">
        <v>2206</v>
      </c>
      <c r="J1059" s="55" t="s">
        <v>2375</v>
      </c>
      <c r="K1059" s="55" t="s">
        <v>2637</v>
      </c>
    </row>
    <row r="1060" spans="1:11" ht="90" x14ac:dyDescent="0.25">
      <c r="A1060" s="2" t="s">
        <v>27</v>
      </c>
      <c r="B1060" s="3">
        <v>58190</v>
      </c>
      <c r="C1060" s="4" t="s">
        <v>1310</v>
      </c>
      <c r="D1060" s="62" t="s">
        <v>2044</v>
      </c>
      <c r="E1060" s="55" t="s">
        <v>2200</v>
      </c>
      <c r="F1060" s="55" t="s">
        <v>2056</v>
      </c>
      <c r="G1060" s="55" t="s">
        <v>2090</v>
      </c>
      <c r="H1060" s="55" t="s">
        <v>2185</v>
      </c>
      <c r="I1060" s="55" t="s">
        <v>2511</v>
      </c>
      <c r="J1060" s="55" t="s">
        <v>2375</v>
      </c>
      <c r="K1060" s="55" t="s">
        <v>2203</v>
      </c>
    </row>
    <row r="1061" spans="1:11" ht="60" hidden="1" x14ac:dyDescent="0.25">
      <c r="A1061" s="2" t="s">
        <v>27</v>
      </c>
      <c r="B1061" s="3">
        <v>58211</v>
      </c>
      <c r="C1061" s="4" t="s">
        <v>1311</v>
      </c>
      <c r="D1061" s="62" t="e">
        <v>#N/A</v>
      </c>
      <c r="E1061" s="55" t="s">
        <v>2201</v>
      </c>
      <c r="F1061" s="55" t="e">
        <v>#N/A</v>
      </c>
      <c r="G1061" s="55" t="s">
        <v>2090</v>
      </c>
      <c r="H1061" s="55" t="s">
        <v>2336</v>
      </c>
      <c r="I1061" s="55" t="s">
        <v>2243</v>
      </c>
      <c r="J1061" s="55" t="s">
        <v>2375</v>
      </c>
      <c r="K1061" s="55" t="s">
        <v>2201</v>
      </c>
    </row>
    <row r="1062" spans="1:11" ht="45" hidden="1" x14ac:dyDescent="0.25">
      <c r="A1062" s="2" t="s">
        <v>27</v>
      </c>
      <c r="B1062" s="3">
        <v>58219</v>
      </c>
      <c r="C1062" s="4" t="s">
        <v>1312</v>
      </c>
      <c r="D1062" s="62" t="e">
        <v>#N/A</v>
      </c>
      <c r="E1062" s="55" t="s">
        <v>2375</v>
      </c>
      <c r="F1062" s="55" t="e">
        <v>#N/A</v>
      </c>
      <c r="G1062" s="55" t="s">
        <v>2090</v>
      </c>
      <c r="H1062" s="55" t="s">
        <v>2337</v>
      </c>
      <c r="I1062" s="55" t="s">
        <v>2375</v>
      </c>
      <c r="J1062" s="55" t="s">
        <v>2375</v>
      </c>
      <c r="K1062" s="55" t="s">
        <v>2375</v>
      </c>
    </row>
    <row r="1063" spans="1:11" ht="45" hidden="1" x14ac:dyDescent="0.25">
      <c r="A1063" s="2" t="s">
        <v>27</v>
      </c>
      <c r="B1063" s="3">
        <v>58290</v>
      </c>
      <c r="C1063" s="4" t="s">
        <v>1313</v>
      </c>
      <c r="D1063" s="62" t="e">
        <v>#N/A</v>
      </c>
      <c r="E1063" s="55" t="s">
        <v>2375</v>
      </c>
      <c r="F1063" s="55" t="e">
        <v>#N/A</v>
      </c>
      <c r="G1063" s="55" t="s">
        <v>2090</v>
      </c>
      <c r="H1063" s="55" t="s">
        <v>2338</v>
      </c>
      <c r="I1063" s="55" t="s">
        <v>2375</v>
      </c>
      <c r="J1063" s="55" t="s">
        <v>2375</v>
      </c>
      <c r="K1063" s="55" t="s">
        <v>2375</v>
      </c>
    </row>
    <row r="1064" spans="1:11" ht="60" x14ac:dyDescent="0.25">
      <c r="A1064" s="2" t="s">
        <v>27</v>
      </c>
      <c r="B1064" s="3">
        <v>59111</v>
      </c>
      <c r="C1064" s="4" t="s">
        <v>1314</v>
      </c>
      <c r="D1064" s="62" t="s">
        <v>2045</v>
      </c>
      <c r="E1064" s="55" t="s">
        <v>2216</v>
      </c>
      <c r="F1064" s="55" t="s">
        <v>2056</v>
      </c>
      <c r="G1064" s="55" t="s">
        <v>2090</v>
      </c>
      <c r="H1064" s="55" t="s">
        <v>2339</v>
      </c>
      <c r="I1064" s="55" t="s">
        <v>2244</v>
      </c>
      <c r="J1064" s="55" t="s">
        <v>2375</v>
      </c>
      <c r="K1064" s="55" t="s">
        <v>2226</v>
      </c>
    </row>
    <row r="1065" spans="1:11" ht="75" hidden="1" x14ac:dyDescent="0.25">
      <c r="A1065" s="2" t="s">
        <v>27</v>
      </c>
      <c r="B1065" s="3">
        <v>59112</v>
      </c>
      <c r="C1065" s="4" t="s">
        <v>29</v>
      </c>
      <c r="D1065" s="62" t="s">
        <v>1954</v>
      </c>
      <c r="E1065" s="55" t="s">
        <v>2216</v>
      </c>
      <c r="F1065" s="55" t="s">
        <v>116</v>
      </c>
      <c r="G1065" s="55" t="s">
        <v>2090</v>
      </c>
      <c r="H1065" s="55" t="s">
        <v>2340</v>
      </c>
      <c r="I1065" s="55" t="s">
        <v>2233</v>
      </c>
      <c r="J1065" s="55" t="s">
        <v>2375</v>
      </c>
      <c r="K1065" s="55" t="s">
        <v>2226</v>
      </c>
    </row>
    <row r="1066" spans="1:11" ht="75" x14ac:dyDescent="0.25">
      <c r="A1066" s="2" t="s">
        <v>27</v>
      </c>
      <c r="B1066" s="3">
        <v>59121</v>
      </c>
      <c r="C1066" s="4" t="s">
        <v>1315</v>
      </c>
      <c r="D1066" s="62" t="s">
        <v>2046</v>
      </c>
      <c r="E1066" s="55" t="s">
        <v>2217</v>
      </c>
      <c r="F1066" s="55" t="s">
        <v>2056</v>
      </c>
      <c r="G1066" s="55" t="s">
        <v>2090</v>
      </c>
      <c r="H1066" s="55" t="s">
        <v>2341</v>
      </c>
      <c r="I1066" s="55" t="s">
        <v>2234</v>
      </c>
      <c r="J1066" s="55" t="s">
        <v>2375</v>
      </c>
      <c r="K1066" s="55" t="s">
        <v>2375</v>
      </c>
    </row>
    <row r="1067" spans="1:11" ht="75" x14ac:dyDescent="0.25">
      <c r="A1067" s="2" t="s">
        <v>27</v>
      </c>
      <c r="B1067" s="3">
        <v>59122</v>
      </c>
      <c r="C1067" s="4" t="s">
        <v>1316</v>
      </c>
      <c r="D1067" s="62" t="s">
        <v>2047</v>
      </c>
      <c r="E1067" s="55" t="s">
        <v>2218</v>
      </c>
      <c r="F1067" s="55" t="s">
        <v>2056</v>
      </c>
      <c r="G1067" s="55" t="s">
        <v>2090</v>
      </c>
      <c r="H1067" s="55" t="s">
        <v>2342</v>
      </c>
      <c r="I1067" s="55" t="s">
        <v>2234</v>
      </c>
      <c r="J1067" s="55" t="s">
        <v>2375</v>
      </c>
      <c r="K1067" s="55" t="s">
        <v>2375</v>
      </c>
    </row>
    <row r="1068" spans="1:11" ht="60" hidden="1" x14ac:dyDescent="0.25">
      <c r="A1068" s="2" t="s">
        <v>27</v>
      </c>
      <c r="B1068" s="3">
        <v>59131</v>
      </c>
      <c r="C1068" s="4" t="s">
        <v>1317</v>
      </c>
      <c r="D1068" s="62" t="e">
        <v>#N/A</v>
      </c>
      <c r="E1068" s="55" t="s">
        <v>2375</v>
      </c>
      <c r="F1068" s="55" t="e">
        <v>#N/A</v>
      </c>
      <c r="G1068" s="55" t="s">
        <v>2090</v>
      </c>
      <c r="H1068" s="55" t="s">
        <v>2343</v>
      </c>
      <c r="I1068" s="55" t="s">
        <v>2512</v>
      </c>
      <c r="J1068" s="55" t="s">
        <v>2375</v>
      </c>
      <c r="K1068" s="55" t="s">
        <v>2375</v>
      </c>
    </row>
    <row r="1069" spans="1:11" ht="60" hidden="1" x14ac:dyDescent="0.25">
      <c r="A1069" s="2" t="s">
        <v>27</v>
      </c>
      <c r="B1069" s="3">
        <v>59132</v>
      </c>
      <c r="C1069" s="4" t="s">
        <v>1318</v>
      </c>
      <c r="D1069" s="62" t="e">
        <v>#N/A</v>
      </c>
      <c r="E1069" s="55" t="s">
        <v>2426</v>
      </c>
      <c r="F1069" s="55" t="e">
        <v>#N/A</v>
      </c>
      <c r="G1069" s="55" t="s">
        <v>2090</v>
      </c>
      <c r="H1069" s="55" t="s">
        <v>2186</v>
      </c>
      <c r="I1069" s="55" t="s">
        <v>2512</v>
      </c>
      <c r="J1069" s="55" t="s">
        <v>2375</v>
      </c>
      <c r="K1069" s="55" t="s">
        <v>2375</v>
      </c>
    </row>
    <row r="1070" spans="1:11" ht="30" hidden="1" x14ac:dyDescent="0.25">
      <c r="A1070" s="2" t="s">
        <v>27</v>
      </c>
      <c r="B1070" s="3">
        <v>59140</v>
      </c>
      <c r="C1070" s="4" t="s">
        <v>30</v>
      </c>
      <c r="D1070" s="62" t="s">
        <v>1955</v>
      </c>
      <c r="E1070" s="55" t="s">
        <v>2427</v>
      </c>
      <c r="F1070" s="55" t="s">
        <v>116</v>
      </c>
      <c r="G1070" s="55" t="s">
        <v>2090</v>
      </c>
      <c r="H1070" s="55" t="s">
        <v>2344</v>
      </c>
      <c r="I1070" s="55" t="s">
        <v>2207</v>
      </c>
      <c r="J1070" s="55" t="s">
        <v>2375</v>
      </c>
      <c r="K1070" s="55" t="s">
        <v>2227</v>
      </c>
    </row>
    <row r="1071" spans="1:11" ht="45" hidden="1" x14ac:dyDescent="0.25">
      <c r="A1071" s="2" t="s">
        <v>27</v>
      </c>
      <c r="B1071" s="3">
        <v>59201</v>
      </c>
      <c r="C1071" s="4" t="s">
        <v>31</v>
      </c>
      <c r="D1071" s="62" t="s">
        <v>117</v>
      </c>
      <c r="E1071" s="55" t="s">
        <v>2375</v>
      </c>
      <c r="F1071" s="55" t="s">
        <v>116</v>
      </c>
      <c r="G1071" s="55" t="s">
        <v>2090</v>
      </c>
      <c r="H1071" s="55" t="s">
        <v>2345</v>
      </c>
      <c r="I1071" s="55" t="s">
        <v>2235</v>
      </c>
      <c r="J1071" s="55" t="s">
        <v>2375</v>
      </c>
      <c r="K1071" s="55" t="s">
        <v>2228</v>
      </c>
    </row>
    <row r="1072" spans="1:11" ht="45" x14ac:dyDescent="0.25">
      <c r="A1072" s="2" t="s">
        <v>27</v>
      </c>
      <c r="B1072" s="3">
        <v>59202</v>
      </c>
      <c r="C1072" s="4" t="s">
        <v>1319</v>
      </c>
      <c r="D1072" s="62" t="s">
        <v>2048</v>
      </c>
      <c r="E1072" s="55" t="s">
        <v>2375</v>
      </c>
      <c r="F1072" s="55" t="s">
        <v>2056</v>
      </c>
      <c r="G1072" s="55" t="s">
        <v>2090</v>
      </c>
      <c r="H1072" s="55" t="s">
        <v>2236</v>
      </c>
      <c r="I1072" s="55" t="s">
        <v>2513</v>
      </c>
      <c r="J1072" s="55" t="s">
        <v>2375</v>
      </c>
      <c r="K1072" s="55" t="s">
        <v>2229</v>
      </c>
    </row>
    <row r="1073" spans="1:11" ht="45" hidden="1" x14ac:dyDescent="0.25">
      <c r="A1073" s="2" t="s">
        <v>27</v>
      </c>
      <c r="B1073" s="3">
        <v>60101</v>
      </c>
      <c r="C1073" s="4" t="s">
        <v>32</v>
      </c>
      <c r="D1073" s="62" t="s">
        <v>1956</v>
      </c>
      <c r="E1073" s="55" t="s">
        <v>2428</v>
      </c>
      <c r="F1073" s="55" t="s">
        <v>116</v>
      </c>
      <c r="G1073" s="55" t="s">
        <v>2090</v>
      </c>
      <c r="H1073" s="55" t="s">
        <v>2187</v>
      </c>
      <c r="I1073" s="55" t="s">
        <v>2375</v>
      </c>
      <c r="J1073" s="55" t="s">
        <v>2375</v>
      </c>
      <c r="K1073" s="55" t="s">
        <v>2375</v>
      </c>
    </row>
    <row r="1074" spans="1:11" ht="45" x14ac:dyDescent="0.25">
      <c r="A1074" s="2" t="s">
        <v>27</v>
      </c>
      <c r="B1074" s="3">
        <v>60102</v>
      </c>
      <c r="C1074" s="4" t="s">
        <v>1320</v>
      </c>
      <c r="D1074" s="62" t="s">
        <v>2049</v>
      </c>
      <c r="E1074" s="55" t="s">
        <v>2429</v>
      </c>
      <c r="F1074" s="55" t="s">
        <v>2056</v>
      </c>
      <c r="G1074" s="55" t="s">
        <v>2090</v>
      </c>
      <c r="H1074" s="55" t="s">
        <v>2346</v>
      </c>
      <c r="I1074" s="55" t="s">
        <v>2375</v>
      </c>
      <c r="J1074" s="55" t="s">
        <v>2375</v>
      </c>
      <c r="K1074" s="55" t="s">
        <v>2375</v>
      </c>
    </row>
    <row r="1075" spans="1:11" ht="60" hidden="1" x14ac:dyDescent="0.25">
      <c r="A1075" s="2" t="s">
        <v>27</v>
      </c>
      <c r="B1075" s="3">
        <v>60103</v>
      </c>
      <c r="C1075" s="4" t="s">
        <v>1321</v>
      </c>
      <c r="D1075" s="62" t="e">
        <v>#N/A</v>
      </c>
      <c r="E1075" s="55" t="s">
        <v>2219</v>
      </c>
      <c r="F1075" s="55" t="e">
        <v>#N/A</v>
      </c>
      <c r="G1075" s="55" t="s">
        <v>2090</v>
      </c>
      <c r="H1075" s="55" t="s">
        <v>2188</v>
      </c>
      <c r="I1075" s="55" t="s">
        <v>2208</v>
      </c>
      <c r="J1075" s="55" t="s">
        <v>2375</v>
      </c>
      <c r="K1075" s="55" t="s">
        <v>2230</v>
      </c>
    </row>
    <row r="1076" spans="1:11" ht="60" hidden="1" x14ac:dyDescent="0.25">
      <c r="A1076" s="2" t="s">
        <v>27</v>
      </c>
      <c r="B1076" s="3">
        <v>60201</v>
      </c>
      <c r="C1076" s="4" t="s">
        <v>33</v>
      </c>
      <c r="D1076" s="62" t="s">
        <v>1814</v>
      </c>
      <c r="E1076" s="55" t="s">
        <v>2375</v>
      </c>
      <c r="F1076" s="55" t="s">
        <v>111</v>
      </c>
      <c r="G1076" s="55" t="s">
        <v>2090</v>
      </c>
      <c r="H1076" s="55" t="s">
        <v>2189</v>
      </c>
      <c r="I1076" s="55" t="s">
        <v>2375</v>
      </c>
      <c r="J1076" s="55" t="s">
        <v>2375</v>
      </c>
      <c r="K1076" s="55" t="s">
        <v>2375</v>
      </c>
    </row>
    <row r="1077" spans="1:11" ht="60" hidden="1" x14ac:dyDescent="0.25">
      <c r="A1077" s="2" t="s">
        <v>27</v>
      </c>
      <c r="B1077" s="3">
        <v>60202</v>
      </c>
      <c r="C1077" s="4" t="s">
        <v>1322</v>
      </c>
      <c r="D1077" s="62" t="e">
        <v>#N/A</v>
      </c>
      <c r="E1077" s="55" t="s">
        <v>2375</v>
      </c>
      <c r="F1077" s="55" t="e">
        <v>#N/A</v>
      </c>
      <c r="G1077" s="55" t="s">
        <v>2090</v>
      </c>
      <c r="H1077" s="55" t="s">
        <v>2190</v>
      </c>
      <c r="I1077" s="55" t="s">
        <v>2375</v>
      </c>
      <c r="J1077" s="55" t="s">
        <v>2375</v>
      </c>
      <c r="K1077" s="55" t="s">
        <v>2375</v>
      </c>
    </row>
    <row r="1078" spans="1:11" ht="60" hidden="1" x14ac:dyDescent="0.25">
      <c r="A1078" s="2" t="s">
        <v>27</v>
      </c>
      <c r="B1078" s="3">
        <v>60203</v>
      </c>
      <c r="C1078" s="4" t="s">
        <v>1323</v>
      </c>
      <c r="D1078" s="62" t="e">
        <v>#N/A</v>
      </c>
      <c r="E1078" s="55" t="s">
        <v>2375</v>
      </c>
      <c r="F1078" s="55" t="e">
        <v>#N/A</v>
      </c>
      <c r="G1078" s="55" t="s">
        <v>2090</v>
      </c>
      <c r="H1078" s="55" t="s">
        <v>2191</v>
      </c>
      <c r="I1078" s="55" t="s">
        <v>2208</v>
      </c>
      <c r="J1078" s="55" t="s">
        <v>2375</v>
      </c>
      <c r="K1078" s="55" t="s">
        <v>2231</v>
      </c>
    </row>
    <row r="1079" spans="1:11" ht="45" hidden="1" x14ac:dyDescent="0.25">
      <c r="A1079" s="2" t="s">
        <v>27</v>
      </c>
      <c r="B1079" s="3">
        <v>60311</v>
      </c>
      <c r="C1079" s="4" t="s">
        <v>34</v>
      </c>
      <c r="D1079" s="62" t="s">
        <v>1815</v>
      </c>
      <c r="E1079" s="55" t="s">
        <v>2430</v>
      </c>
      <c r="F1079" s="55" t="s">
        <v>111</v>
      </c>
      <c r="G1079" s="55" t="s">
        <v>2090</v>
      </c>
      <c r="H1079" s="55" t="s">
        <v>2237</v>
      </c>
      <c r="I1079" s="55" t="s">
        <v>2514</v>
      </c>
      <c r="J1079" s="55" t="s">
        <v>2375</v>
      </c>
      <c r="K1079" s="55" t="s">
        <v>2375</v>
      </c>
    </row>
    <row r="1080" spans="1:11" ht="30" hidden="1" x14ac:dyDescent="0.25">
      <c r="A1080" s="2" t="s">
        <v>27</v>
      </c>
      <c r="B1080" s="3">
        <v>60312</v>
      </c>
      <c r="C1080" s="4" t="s">
        <v>1324</v>
      </c>
      <c r="D1080" s="62" t="e">
        <v>#N/A</v>
      </c>
      <c r="E1080" s="55" t="s">
        <v>2375</v>
      </c>
      <c r="F1080" s="55" t="e">
        <v>#N/A</v>
      </c>
      <c r="G1080" s="55" t="s">
        <v>2090</v>
      </c>
      <c r="H1080" s="55" t="s">
        <v>2376</v>
      </c>
      <c r="I1080" s="55" t="s">
        <v>2515</v>
      </c>
      <c r="J1080" s="55" t="s">
        <v>2375</v>
      </c>
      <c r="K1080" s="55" t="s">
        <v>2375</v>
      </c>
    </row>
    <row r="1081" spans="1:11" ht="60" hidden="1" x14ac:dyDescent="0.25">
      <c r="A1081" s="2" t="s">
        <v>27</v>
      </c>
      <c r="B1081" s="3">
        <v>60390</v>
      </c>
      <c r="C1081" s="4" t="s">
        <v>1325</v>
      </c>
      <c r="D1081" s="62" t="e">
        <v>#N/A</v>
      </c>
      <c r="E1081" s="55" t="s">
        <v>2431</v>
      </c>
      <c r="F1081" s="55" t="e">
        <v>#N/A</v>
      </c>
      <c r="G1081" s="55" t="s">
        <v>2090</v>
      </c>
      <c r="H1081" s="55" t="s">
        <v>2347</v>
      </c>
      <c r="I1081" s="55" t="s">
        <v>2645</v>
      </c>
      <c r="J1081" s="55" t="s">
        <v>2375</v>
      </c>
      <c r="K1081" s="55" t="s">
        <v>2638</v>
      </c>
    </row>
    <row r="1082" spans="1:11" ht="45" hidden="1" x14ac:dyDescent="0.25">
      <c r="A1082" s="2" t="s">
        <v>35</v>
      </c>
      <c r="B1082" s="3">
        <v>61101</v>
      </c>
      <c r="C1082" s="4" t="s">
        <v>36</v>
      </c>
      <c r="D1082" s="62" t="s">
        <v>1957</v>
      </c>
      <c r="E1082" s="55" t="s">
        <v>2220</v>
      </c>
      <c r="F1082" s="55" t="s">
        <v>116</v>
      </c>
      <c r="G1082" s="55" t="s">
        <v>2090</v>
      </c>
      <c r="H1082" s="55" t="s">
        <v>2348</v>
      </c>
      <c r="I1082" s="55" t="s">
        <v>2238</v>
      </c>
      <c r="J1082" s="55" t="s">
        <v>2375</v>
      </c>
      <c r="K1082" s="55" t="s">
        <v>2375</v>
      </c>
    </row>
    <row r="1083" spans="1:11" ht="45" hidden="1" x14ac:dyDescent="0.25">
      <c r="A1083" s="2" t="s">
        <v>35</v>
      </c>
      <c r="B1083" s="3">
        <v>61102</v>
      </c>
      <c r="C1083" s="4" t="s">
        <v>37</v>
      </c>
      <c r="D1083" s="62" t="s">
        <v>1958</v>
      </c>
      <c r="E1083" s="55" t="s">
        <v>2375</v>
      </c>
      <c r="F1083" s="55" t="s">
        <v>116</v>
      </c>
      <c r="G1083" s="55" t="s">
        <v>2090</v>
      </c>
      <c r="H1083" s="55" t="s">
        <v>2349</v>
      </c>
      <c r="I1083" s="55" t="s">
        <v>2516</v>
      </c>
      <c r="J1083" s="55" t="s">
        <v>2375</v>
      </c>
      <c r="K1083" s="55" t="s">
        <v>2639</v>
      </c>
    </row>
    <row r="1084" spans="1:11" ht="60" hidden="1" x14ac:dyDescent="0.25">
      <c r="A1084" s="2" t="s">
        <v>35</v>
      </c>
      <c r="B1084" s="3">
        <v>61103</v>
      </c>
      <c r="C1084" s="4" t="s">
        <v>1326</v>
      </c>
      <c r="D1084" s="62" t="s">
        <v>1817</v>
      </c>
      <c r="E1084" s="55" t="s">
        <v>2375</v>
      </c>
      <c r="F1084" s="55" t="s">
        <v>111</v>
      </c>
      <c r="G1084" s="55" t="s">
        <v>2090</v>
      </c>
      <c r="H1084" s="55" t="s">
        <v>2350</v>
      </c>
      <c r="I1084" s="55" t="s">
        <v>2375</v>
      </c>
      <c r="J1084" s="55" t="s">
        <v>2375</v>
      </c>
      <c r="K1084" s="55" t="s">
        <v>2375</v>
      </c>
    </row>
    <row r="1085" spans="1:11" ht="75" hidden="1" x14ac:dyDescent="0.25">
      <c r="A1085" s="2" t="s">
        <v>35</v>
      </c>
      <c r="B1085" s="3">
        <v>61104</v>
      </c>
      <c r="C1085" s="4" t="s">
        <v>38</v>
      </c>
      <c r="D1085" s="62" t="s">
        <v>1959</v>
      </c>
      <c r="E1085" s="55" t="s">
        <v>2375</v>
      </c>
      <c r="F1085" s="55" t="s">
        <v>116</v>
      </c>
      <c r="G1085" s="55" t="s">
        <v>2090</v>
      </c>
      <c r="H1085" s="55" t="s">
        <v>2351</v>
      </c>
      <c r="I1085" s="55" t="s">
        <v>2375</v>
      </c>
      <c r="J1085" s="55" t="s">
        <v>2375</v>
      </c>
      <c r="K1085" s="55" t="s">
        <v>2375</v>
      </c>
    </row>
    <row r="1086" spans="1:11" ht="45" x14ac:dyDescent="0.25">
      <c r="A1086" s="2" t="s">
        <v>35</v>
      </c>
      <c r="B1086" s="3">
        <v>61105</v>
      </c>
      <c r="C1086" s="4" t="s">
        <v>1327</v>
      </c>
      <c r="D1086" s="62" t="s">
        <v>2050</v>
      </c>
      <c r="E1086" s="55" t="s">
        <v>2375</v>
      </c>
      <c r="F1086" s="55" t="s">
        <v>2056</v>
      </c>
      <c r="G1086" s="55" t="s">
        <v>2090</v>
      </c>
      <c r="H1086" s="55" t="s">
        <v>2352</v>
      </c>
      <c r="I1086" s="55" t="s">
        <v>2375</v>
      </c>
      <c r="J1086" s="55" t="s">
        <v>2375</v>
      </c>
      <c r="K1086" s="55" t="s">
        <v>2375</v>
      </c>
    </row>
    <row r="1087" spans="1:11" ht="45" hidden="1" x14ac:dyDescent="0.25">
      <c r="A1087" s="2" t="s">
        <v>35</v>
      </c>
      <c r="B1087" s="3">
        <v>61106</v>
      </c>
      <c r="C1087" s="4" t="s">
        <v>39</v>
      </c>
      <c r="D1087" s="62" t="s">
        <v>1960</v>
      </c>
      <c r="E1087" s="55" t="s">
        <v>2375</v>
      </c>
      <c r="F1087" s="55" t="s">
        <v>116</v>
      </c>
      <c r="G1087" s="55" t="s">
        <v>2090</v>
      </c>
      <c r="H1087" s="55" t="s">
        <v>2353</v>
      </c>
      <c r="I1087" s="55" t="s">
        <v>2375</v>
      </c>
      <c r="J1087" s="55" t="s">
        <v>2375</v>
      </c>
      <c r="K1087" s="55" t="s">
        <v>2375</v>
      </c>
    </row>
    <row r="1088" spans="1:11" ht="60" hidden="1" x14ac:dyDescent="0.25">
      <c r="A1088" s="2" t="s">
        <v>35</v>
      </c>
      <c r="B1088" s="3">
        <v>61107</v>
      </c>
      <c r="C1088" s="4" t="s">
        <v>1328</v>
      </c>
      <c r="D1088" s="62" t="e">
        <v>#N/A</v>
      </c>
      <c r="E1088" s="55" t="s">
        <v>2375</v>
      </c>
      <c r="F1088" s="55" t="e">
        <v>#N/A</v>
      </c>
      <c r="G1088" s="55" t="s">
        <v>2090</v>
      </c>
      <c r="H1088" s="55" t="s">
        <v>2354</v>
      </c>
      <c r="I1088" s="55" t="s">
        <v>2375</v>
      </c>
      <c r="J1088" s="55" t="s">
        <v>2375</v>
      </c>
      <c r="K1088" s="55" t="s">
        <v>2375</v>
      </c>
    </row>
    <row r="1089" spans="1:11" ht="30" hidden="1" x14ac:dyDescent="0.25">
      <c r="A1089" s="2" t="s">
        <v>35</v>
      </c>
      <c r="B1089" s="3">
        <v>61108</v>
      </c>
      <c r="C1089" s="4" t="s">
        <v>40</v>
      </c>
      <c r="D1089" s="62" t="s">
        <v>1816</v>
      </c>
      <c r="E1089" s="55" t="s">
        <v>2375</v>
      </c>
      <c r="F1089" s="55" t="s">
        <v>111</v>
      </c>
      <c r="G1089" s="55" t="s">
        <v>2090</v>
      </c>
      <c r="H1089" s="55" t="s">
        <v>2355</v>
      </c>
      <c r="I1089" s="55" t="s">
        <v>2375</v>
      </c>
      <c r="J1089" s="55" t="s">
        <v>2375</v>
      </c>
      <c r="K1089" s="55" t="s">
        <v>2375</v>
      </c>
    </row>
    <row r="1090" spans="1:11" ht="45" hidden="1" x14ac:dyDescent="0.25">
      <c r="A1090" s="2" t="s">
        <v>35</v>
      </c>
      <c r="B1090" s="3">
        <v>61201</v>
      </c>
      <c r="C1090" s="4" t="s">
        <v>1329</v>
      </c>
      <c r="D1090" s="62" t="e">
        <v>#N/A</v>
      </c>
      <c r="E1090" s="55" t="s">
        <v>2375</v>
      </c>
      <c r="F1090" s="55" t="e">
        <v>#N/A</v>
      </c>
      <c r="G1090" s="55" t="s">
        <v>2090</v>
      </c>
      <c r="H1090" s="55" t="s">
        <v>2356</v>
      </c>
      <c r="I1090" s="55" t="s">
        <v>2209</v>
      </c>
      <c r="J1090" s="55" t="s">
        <v>2375</v>
      </c>
      <c r="K1090" s="55" t="s">
        <v>2375</v>
      </c>
    </row>
    <row r="1091" spans="1:11" ht="120" hidden="1" x14ac:dyDescent="0.25">
      <c r="A1091" s="2" t="s">
        <v>35</v>
      </c>
      <c r="B1091" s="3">
        <v>61209</v>
      </c>
      <c r="C1091" s="4" t="s">
        <v>41</v>
      </c>
      <c r="D1091" s="62" t="s">
        <v>1961</v>
      </c>
      <c r="E1091" s="55" t="s">
        <v>2375</v>
      </c>
      <c r="F1091" s="55" t="s">
        <v>116</v>
      </c>
      <c r="G1091" s="55" t="s">
        <v>2090</v>
      </c>
      <c r="H1091" s="55" t="s">
        <v>2357</v>
      </c>
      <c r="I1091" s="55" t="s">
        <v>2375</v>
      </c>
      <c r="J1091" s="55" t="s">
        <v>2375</v>
      </c>
      <c r="K1091" s="55" t="s">
        <v>2232</v>
      </c>
    </row>
    <row r="1092" spans="1:11" ht="45" hidden="1" x14ac:dyDescent="0.25">
      <c r="A1092" s="2" t="s">
        <v>35</v>
      </c>
      <c r="B1092" s="3">
        <v>61901</v>
      </c>
      <c r="C1092" s="4" t="s">
        <v>1330</v>
      </c>
      <c r="D1092" s="62" t="e">
        <v>#N/A</v>
      </c>
      <c r="E1092" s="55" t="s">
        <v>2375</v>
      </c>
      <c r="F1092" s="55" t="e">
        <v>#N/A</v>
      </c>
      <c r="G1092" s="55" t="s">
        <v>2090</v>
      </c>
      <c r="H1092" s="55" t="s">
        <v>2358</v>
      </c>
      <c r="I1092" s="55" t="s">
        <v>2375</v>
      </c>
      <c r="J1092" s="55" t="s">
        <v>2375</v>
      </c>
      <c r="K1092" s="55" t="s">
        <v>2375</v>
      </c>
    </row>
    <row r="1093" spans="1:11" ht="45" hidden="1" x14ac:dyDescent="0.25">
      <c r="A1093" s="2" t="s">
        <v>35</v>
      </c>
      <c r="B1093" s="3">
        <v>61902</v>
      </c>
      <c r="C1093" s="4" t="s">
        <v>1331</v>
      </c>
      <c r="D1093" s="62" t="e">
        <v>#N/A</v>
      </c>
      <c r="E1093" s="55" t="s">
        <v>2375</v>
      </c>
      <c r="F1093" s="55" t="e">
        <v>#N/A</v>
      </c>
      <c r="G1093" s="55" t="s">
        <v>2090</v>
      </c>
      <c r="H1093" s="55" t="s">
        <v>2359</v>
      </c>
      <c r="I1093" s="55" t="s">
        <v>2375</v>
      </c>
      <c r="J1093" s="55" t="s">
        <v>2375</v>
      </c>
      <c r="K1093" s="55" t="s">
        <v>2375</v>
      </c>
    </row>
    <row r="1094" spans="1:11" ht="60" hidden="1" x14ac:dyDescent="0.25">
      <c r="A1094" s="2" t="s">
        <v>35</v>
      </c>
      <c r="B1094" s="3">
        <v>61903</v>
      </c>
      <c r="C1094" s="4" t="s">
        <v>1332</v>
      </c>
      <c r="D1094" s="62" t="e">
        <v>#N/A</v>
      </c>
      <c r="E1094" s="55" t="s">
        <v>2375</v>
      </c>
      <c r="F1094" s="55" t="e">
        <v>#N/A</v>
      </c>
      <c r="G1094" s="55" t="s">
        <v>2090</v>
      </c>
      <c r="H1094" s="55" t="s">
        <v>2360</v>
      </c>
      <c r="I1094" s="55" t="s">
        <v>2375</v>
      </c>
      <c r="J1094" s="55" t="s">
        <v>2375</v>
      </c>
      <c r="K1094" s="55" t="s">
        <v>2375</v>
      </c>
    </row>
    <row r="1095" spans="1:11" ht="60" hidden="1" x14ac:dyDescent="0.25">
      <c r="A1095" s="2" t="s">
        <v>35</v>
      </c>
      <c r="B1095" s="3">
        <v>61904</v>
      </c>
      <c r="C1095" s="4" t="s">
        <v>1333</v>
      </c>
      <c r="D1095" s="62" t="e">
        <v>#N/A</v>
      </c>
      <c r="E1095" s="55" t="s">
        <v>2375</v>
      </c>
      <c r="F1095" s="55" t="e">
        <v>#N/A</v>
      </c>
      <c r="G1095" s="55" t="s">
        <v>2090</v>
      </c>
      <c r="H1095" s="55" t="s">
        <v>2361</v>
      </c>
      <c r="I1095" s="55" t="s">
        <v>2375</v>
      </c>
      <c r="J1095" s="55" t="s">
        <v>2375</v>
      </c>
      <c r="K1095" s="55" t="s">
        <v>2375</v>
      </c>
    </row>
    <row r="1096" spans="1:11" ht="60" hidden="1" x14ac:dyDescent="0.25">
      <c r="A1096" s="2" t="s">
        <v>35</v>
      </c>
      <c r="B1096" s="3">
        <v>61905</v>
      </c>
      <c r="C1096" s="4" t="s">
        <v>42</v>
      </c>
      <c r="D1096" s="62" t="e">
        <v>#N/A</v>
      </c>
      <c r="E1096" s="55" t="s">
        <v>2375</v>
      </c>
      <c r="F1096" s="55" t="e">
        <v>#N/A</v>
      </c>
      <c r="G1096" s="55" t="s">
        <v>2090</v>
      </c>
      <c r="H1096" s="55" t="s">
        <v>2239</v>
      </c>
      <c r="I1096" s="55" t="s">
        <v>2210</v>
      </c>
      <c r="J1096" s="55" t="s">
        <v>2375</v>
      </c>
      <c r="K1096" s="55" t="s">
        <v>2375</v>
      </c>
    </row>
    <row r="1097" spans="1:11" ht="60" x14ac:dyDescent="0.25">
      <c r="A1097" s="2" t="s">
        <v>35</v>
      </c>
      <c r="B1097" s="3">
        <v>61909</v>
      </c>
      <c r="C1097" s="4" t="s">
        <v>1334</v>
      </c>
      <c r="D1097" s="62" t="s">
        <v>2051</v>
      </c>
      <c r="E1097" s="55" t="s">
        <v>2375</v>
      </c>
      <c r="F1097" s="55" t="s">
        <v>2056</v>
      </c>
      <c r="G1097" s="55" t="s">
        <v>2090</v>
      </c>
      <c r="H1097" s="55" t="s">
        <v>2245</v>
      </c>
      <c r="I1097" s="55" t="s">
        <v>2517</v>
      </c>
      <c r="J1097" s="55" t="s">
        <v>2375</v>
      </c>
      <c r="K1097" s="55" t="s">
        <v>2375</v>
      </c>
    </row>
    <row r="1098" spans="1:11" ht="60" hidden="1" x14ac:dyDescent="0.25">
      <c r="A1098" s="2" t="s">
        <v>35</v>
      </c>
      <c r="B1098" s="3">
        <v>62110</v>
      </c>
      <c r="C1098" s="4" t="s">
        <v>1335</v>
      </c>
      <c r="D1098" s="62" t="e">
        <v>#N/A</v>
      </c>
      <c r="E1098" s="55" t="s">
        <v>2375</v>
      </c>
      <c r="F1098" s="55" t="e">
        <v>#N/A</v>
      </c>
      <c r="G1098" s="55" t="s">
        <v>2090</v>
      </c>
      <c r="H1098" s="55" t="s">
        <v>2362</v>
      </c>
      <c r="I1098" s="55" t="s">
        <v>2211</v>
      </c>
      <c r="J1098" s="55" t="s">
        <v>2375</v>
      </c>
      <c r="K1098" s="55" t="s">
        <v>2375</v>
      </c>
    </row>
    <row r="1099" spans="1:11" ht="75" hidden="1" x14ac:dyDescent="0.25">
      <c r="A1099" s="2" t="s">
        <v>35</v>
      </c>
      <c r="B1099" s="3">
        <v>62191</v>
      </c>
      <c r="C1099" s="4" t="s">
        <v>1336</v>
      </c>
      <c r="D1099" s="62" t="e">
        <v>#N/A</v>
      </c>
      <c r="E1099" s="55" t="s">
        <v>2375</v>
      </c>
      <c r="F1099" s="55" t="e">
        <v>#N/A</v>
      </c>
      <c r="G1099" s="55" t="s">
        <v>2090</v>
      </c>
      <c r="H1099" s="55" t="s">
        <v>2363</v>
      </c>
      <c r="I1099" s="55" t="s">
        <v>2518</v>
      </c>
      <c r="J1099" s="55" t="s">
        <v>2375</v>
      </c>
      <c r="K1099" s="55" t="s">
        <v>2375</v>
      </c>
    </row>
    <row r="1100" spans="1:11" ht="60" hidden="1" x14ac:dyDescent="0.25">
      <c r="A1100" s="2" t="s">
        <v>35</v>
      </c>
      <c r="B1100" s="3">
        <v>62192</v>
      </c>
      <c r="C1100" s="4" t="s">
        <v>1337</v>
      </c>
      <c r="D1100" s="62" t="e">
        <v>#N/A</v>
      </c>
      <c r="E1100" s="55" t="s">
        <v>2375</v>
      </c>
      <c r="F1100" s="55" t="e">
        <v>#N/A</v>
      </c>
      <c r="G1100" s="55" t="s">
        <v>2090</v>
      </c>
      <c r="H1100" s="55" t="s">
        <v>2364</v>
      </c>
      <c r="I1100" s="55" t="s">
        <v>2519</v>
      </c>
      <c r="J1100" s="55" t="s">
        <v>2375</v>
      </c>
      <c r="K1100" s="55" t="s">
        <v>2375</v>
      </c>
    </row>
    <row r="1101" spans="1:11" ht="60" hidden="1" x14ac:dyDescent="0.25">
      <c r="A1101" s="2" t="s">
        <v>35</v>
      </c>
      <c r="B1101" s="3">
        <v>62193</v>
      </c>
      <c r="C1101" s="4" t="s">
        <v>1338</v>
      </c>
      <c r="D1101" s="62" t="e">
        <v>#N/A</v>
      </c>
      <c r="E1101" s="55" t="s">
        <v>2432</v>
      </c>
      <c r="F1101" s="55" t="e">
        <v>#N/A</v>
      </c>
      <c r="G1101" s="55" t="s">
        <v>2090</v>
      </c>
      <c r="H1101" s="55" t="s">
        <v>2365</v>
      </c>
      <c r="I1101" s="55" t="s">
        <v>2520</v>
      </c>
      <c r="J1101" s="55" t="s">
        <v>2375</v>
      </c>
      <c r="K1101" s="55" t="s">
        <v>2375</v>
      </c>
    </row>
    <row r="1102" spans="1:11" ht="60" hidden="1" x14ac:dyDescent="0.25">
      <c r="A1102" s="2" t="s">
        <v>35</v>
      </c>
      <c r="B1102" s="3">
        <v>62194</v>
      </c>
      <c r="C1102" s="4" t="s">
        <v>1339</v>
      </c>
      <c r="D1102" s="62" t="e">
        <v>#N/A</v>
      </c>
      <c r="E1102" s="55" t="s">
        <v>2221</v>
      </c>
      <c r="F1102" s="55" t="e">
        <v>#N/A</v>
      </c>
      <c r="G1102" s="55" t="s">
        <v>2090</v>
      </c>
      <c r="H1102" s="55" t="s">
        <v>2366</v>
      </c>
      <c r="I1102" s="55" t="s">
        <v>2240</v>
      </c>
      <c r="J1102" s="55" t="s">
        <v>2375</v>
      </c>
      <c r="K1102" s="55" t="s">
        <v>2375</v>
      </c>
    </row>
    <row r="1103" spans="1:11" ht="90" hidden="1" x14ac:dyDescent="0.25">
      <c r="A1103" s="2" t="s">
        <v>35</v>
      </c>
      <c r="B1103" s="3">
        <v>62199</v>
      </c>
      <c r="C1103" s="4" t="s">
        <v>43</v>
      </c>
      <c r="D1103" s="62" t="s">
        <v>1962</v>
      </c>
      <c r="E1103" s="55" t="s">
        <v>2375</v>
      </c>
      <c r="F1103" s="55" t="s">
        <v>116</v>
      </c>
      <c r="G1103" s="55" t="s">
        <v>2090</v>
      </c>
      <c r="H1103" s="55" t="s">
        <v>2367</v>
      </c>
      <c r="I1103" s="55" t="s">
        <v>2521</v>
      </c>
      <c r="J1103" s="55" t="s">
        <v>2375</v>
      </c>
      <c r="K1103" s="55" t="s">
        <v>2375</v>
      </c>
    </row>
    <row r="1104" spans="1:11" ht="60" x14ac:dyDescent="0.25">
      <c r="A1104" s="2" t="s">
        <v>35</v>
      </c>
      <c r="B1104" s="3">
        <v>62201</v>
      </c>
      <c r="C1104" s="4" t="s">
        <v>1340</v>
      </c>
      <c r="D1104" s="62" t="s">
        <v>2052</v>
      </c>
      <c r="E1104" s="55" t="s">
        <v>2433</v>
      </c>
      <c r="F1104" s="55" t="s">
        <v>2056</v>
      </c>
      <c r="G1104" s="55" t="s">
        <v>2090</v>
      </c>
      <c r="H1104" s="55" t="s">
        <v>2241</v>
      </c>
      <c r="I1104" s="55" t="s">
        <v>2522</v>
      </c>
      <c r="J1104" s="55" t="s">
        <v>2375</v>
      </c>
      <c r="K1104" s="55" t="s">
        <v>2375</v>
      </c>
    </row>
    <row r="1105" spans="1:11" ht="60" hidden="1" x14ac:dyDescent="0.25">
      <c r="A1105" s="2" t="s">
        <v>35</v>
      </c>
      <c r="B1105" s="3">
        <v>62202</v>
      </c>
      <c r="C1105" s="4" t="s">
        <v>1341</v>
      </c>
      <c r="D1105" s="62" t="e">
        <v>#N/A</v>
      </c>
      <c r="E1105" s="55" t="s">
        <v>2375</v>
      </c>
      <c r="F1105" s="55" t="e">
        <v>#N/A</v>
      </c>
      <c r="G1105" s="55" t="s">
        <v>2090</v>
      </c>
      <c r="H1105" s="55" t="s">
        <v>2368</v>
      </c>
      <c r="I1105" s="55" t="s">
        <v>2212</v>
      </c>
      <c r="J1105" s="55" t="s">
        <v>2375</v>
      </c>
      <c r="K1105" s="55" t="s">
        <v>2375</v>
      </c>
    </row>
    <row r="1106" spans="1:11" ht="75" hidden="1" x14ac:dyDescent="0.25">
      <c r="A1106" s="2" t="s">
        <v>35</v>
      </c>
      <c r="B1106" s="3">
        <v>62203</v>
      </c>
      <c r="C1106" s="4" t="s">
        <v>1342</v>
      </c>
      <c r="D1106" s="62" t="e">
        <v>#N/A</v>
      </c>
      <c r="E1106" s="55" t="s">
        <v>2375</v>
      </c>
      <c r="F1106" s="55" t="e">
        <v>#N/A</v>
      </c>
      <c r="G1106" s="55" t="s">
        <v>2090</v>
      </c>
      <c r="H1106" s="55" t="s">
        <v>2242</v>
      </c>
      <c r="I1106" s="55" t="s">
        <v>2523</v>
      </c>
      <c r="J1106" s="55" t="s">
        <v>2375</v>
      </c>
      <c r="K1106" s="55" t="s">
        <v>2640</v>
      </c>
    </row>
    <row r="1107" spans="1:11" ht="75" x14ac:dyDescent="0.25">
      <c r="A1107" s="2" t="s">
        <v>35</v>
      </c>
      <c r="B1107" s="3">
        <v>62204</v>
      </c>
      <c r="C1107" s="4" t="s">
        <v>1343</v>
      </c>
      <c r="D1107" s="62" t="s">
        <v>2053</v>
      </c>
      <c r="E1107" s="55" t="s">
        <v>2375</v>
      </c>
      <c r="F1107" s="55" t="s">
        <v>2056</v>
      </c>
      <c r="G1107" s="55" t="s">
        <v>2090</v>
      </c>
      <c r="H1107" s="55" t="s">
        <v>2369</v>
      </c>
      <c r="I1107" s="55" t="s">
        <v>2524</v>
      </c>
      <c r="J1107" s="55" t="s">
        <v>2375</v>
      </c>
      <c r="K1107" s="55" t="s">
        <v>2375</v>
      </c>
    </row>
    <row r="1108" spans="1:11" ht="75" hidden="1" x14ac:dyDescent="0.25">
      <c r="A1108" s="2" t="s">
        <v>35</v>
      </c>
      <c r="B1108" s="3">
        <v>62209</v>
      </c>
      <c r="C1108" s="4" t="s">
        <v>1344</v>
      </c>
      <c r="D1108" s="62" t="e">
        <v>#N/A</v>
      </c>
      <c r="E1108" s="55" t="s">
        <v>2434</v>
      </c>
      <c r="F1108" s="55" t="e">
        <v>#N/A</v>
      </c>
      <c r="G1108" s="55" t="s">
        <v>2090</v>
      </c>
      <c r="H1108" s="55" t="s">
        <v>2370</v>
      </c>
      <c r="I1108" s="55" t="s">
        <v>2525</v>
      </c>
      <c r="J1108" s="55" t="s">
        <v>2375</v>
      </c>
      <c r="K1108" s="55" t="s">
        <v>2375</v>
      </c>
    </row>
    <row r="1109" spans="1:11" ht="105" hidden="1" x14ac:dyDescent="0.25">
      <c r="A1109" s="2" t="s">
        <v>35</v>
      </c>
      <c r="B1109" s="3">
        <v>62900</v>
      </c>
      <c r="C1109" s="4" t="s">
        <v>44</v>
      </c>
      <c r="D1109" s="62" t="s">
        <v>1963</v>
      </c>
      <c r="E1109" s="55" t="s">
        <v>2222</v>
      </c>
      <c r="F1109" s="55" t="s">
        <v>116</v>
      </c>
      <c r="G1109" s="55" t="s">
        <v>2090</v>
      </c>
      <c r="H1109" s="55" t="s">
        <v>2371</v>
      </c>
      <c r="I1109" s="55" t="s">
        <v>2213</v>
      </c>
      <c r="J1109" s="55" t="s">
        <v>2375</v>
      </c>
      <c r="K1109" s="55" t="s">
        <v>2375</v>
      </c>
    </row>
    <row r="1110" spans="1:11" ht="75" hidden="1" x14ac:dyDescent="0.25">
      <c r="A1110" s="2" t="s">
        <v>35</v>
      </c>
      <c r="B1110" s="3">
        <v>63101</v>
      </c>
      <c r="C1110" s="4" t="s">
        <v>45</v>
      </c>
      <c r="D1110" s="62" t="s">
        <v>1964</v>
      </c>
      <c r="E1110" s="55" t="s">
        <v>2223</v>
      </c>
      <c r="F1110" s="55" t="s">
        <v>116</v>
      </c>
      <c r="G1110" s="55" t="s">
        <v>2090</v>
      </c>
      <c r="H1110" s="55" t="s">
        <v>2372</v>
      </c>
      <c r="I1110" s="55" t="s">
        <v>2214</v>
      </c>
      <c r="J1110" s="55" t="s">
        <v>2375</v>
      </c>
      <c r="K1110" s="55" t="s">
        <v>2375</v>
      </c>
    </row>
    <row r="1111" spans="1:11" ht="90" x14ac:dyDescent="0.25">
      <c r="A1111" s="2" t="s">
        <v>35</v>
      </c>
      <c r="B1111" s="3">
        <v>63102</v>
      </c>
      <c r="C1111" s="4" t="s">
        <v>1345</v>
      </c>
      <c r="D1111" s="62" t="s">
        <v>2054</v>
      </c>
      <c r="E1111" s="55" t="s">
        <v>2224</v>
      </c>
      <c r="F1111" s="55" t="s">
        <v>2056</v>
      </c>
      <c r="G1111" s="55" t="s">
        <v>2090</v>
      </c>
      <c r="H1111" s="55" t="s">
        <v>2373</v>
      </c>
      <c r="I1111" s="55" t="s">
        <v>2215</v>
      </c>
      <c r="J1111" s="55" t="s">
        <v>2375</v>
      </c>
      <c r="K1111" s="55" t="s">
        <v>2375</v>
      </c>
    </row>
    <row r="1112" spans="1:11" ht="60" x14ac:dyDescent="0.25">
      <c r="A1112" s="2" t="s">
        <v>35</v>
      </c>
      <c r="B1112" s="3">
        <v>63900</v>
      </c>
      <c r="C1112" s="4" t="s">
        <v>1346</v>
      </c>
      <c r="D1112" s="62" t="s">
        <v>2055</v>
      </c>
      <c r="E1112" s="55" t="s">
        <v>2225</v>
      </c>
      <c r="F1112" s="55" t="s">
        <v>2056</v>
      </c>
      <c r="G1112" s="55" t="s">
        <v>2090</v>
      </c>
      <c r="H1112" s="55" t="s">
        <v>2374</v>
      </c>
      <c r="I1112" s="55" t="s">
        <v>2526</v>
      </c>
      <c r="J1112" s="55" t="s">
        <v>2375</v>
      </c>
      <c r="K1112" s="55" t="s">
        <v>2375</v>
      </c>
    </row>
    <row r="1113" spans="1:11" ht="30" hidden="1" x14ac:dyDescent="0.25">
      <c r="A1113" s="2" t="s">
        <v>1347</v>
      </c>
      <c r="B1113" s="3">
        <v>64110</v>
      </c>
      <c r="C1113" s="4" t="s">
        <v>1348</v>
      </c>
      <c r="D1113" s="62" t="s">
        <v>1818</v>
      </c>
      <c r="E1113" s="55" t="e">
        <v>#N/A</v>
      </c>
      <c r="F1113" s="55" t="s">
        <v>111</v>
      </c>
      <c r="G1113" s="55">
        <v>0</v>
      </c>
      <c r="H1113" s="55" t="e">
        <v>#N/A</v>
      </c>
      <c r="I1113" s="55" t="e">
        <v>#N/A</v>
      </c>
      <c r="J1113" s="55" t="e">
        <v>#N/A</v>
      </c>
      <c r="K1113" s="55" t="e">
        <v>#N/A</v>
      </c>
    </row>
    <row r="1114" spans="1:11" ht="30" hidden="1" x14ac:dyDescent="0.25">
      <c r="A1114" s="2" t="s">
        <v>1347</v>
      </c>
      <c r="B1114" s="3">
        <v>64121</v>
      </c>
      <c r="C1114" s="4" t="s">
        <v>1349</v>
      </c>
      <c r="D1114" s="62" t="s">
        <v>1819</v>
      </c>
      <c r="E1114" s="55" t="e">
        <v>#N/A</v>
      </c>
      <c r="F1114" s="55" t="s">
        <v>111</v>
      </c>
      <c r="G1114" s="55">
        <v>0</v>
      </c>
      <c r="H1114" s="55" t="e">
        <v>#N/A</v>
      </c>
      <c r="I1114" s="55" t="e">
        <v>#N/A</v>
      </c>
      <c r="J1114" s="55" t="e">
        <v>#N/A</v>
      </c>
      <c r="K1114" s="55" t="e">
        <v>#N/A</v>
      </c>
    </row>
    <row r="1115" spans="1:11" ht="30" hidden="1" x14ac:dyDescent="0.25">
      <c r="A1115" s="2" t="s">
        <v>1347</v>
      </c>
      <c r="B1115" s="3">
        <v>64122</v>
      </c>
      <c r="C1115" s="4" t="s">
        <v>1350</v>
      </c>
      <c r="D1115" s="62" t="s">
        <v>1820</v>
      </c>
      <c r="E1115" s="55" t="e">
        <v>#N/A</v>
      </c>
      <c r="F1115" s="55" t="s">
        <v>111</v>
      </c>
      <c r="G1115" s="55">
        <v>0</v>
      </c>
      <c r="H1115" s="55" t="e">
        <v>#N/A</v>
      </c>
      <c r="I1115" s="55" t="e">
        <v>#N/A</v>
      </c>
      <c r="J1115" s="55" t="e">
        <v>#N/A</v>
      </c>
      <c r="K1115" s="55" t="e">
        <v>#N/A</v>
      </c>
    </row>
    <row r="1116" spans="1:11" ht="60" hidden="1" x14ac:dyDescent="0.25">
      <c r="A1116" s="2" t="s">
        <v>1347</v>
      </c>
      <c r="B1116" s="3">
        <v>64123</v>
      </c>
      <c r="C1116" s="4" t="s">
        <v>1351</v>
      </c>
      <c r="D1116" s="62" t="s">
        <v>1821</v>
      </c>
      <c r="E1116" s="55" t="e">
        <v>#N/A</v>
      </c>
      <c r="F1116" s="55" t="s">
        <v>111</v>
      </c>
      <c r="G1116" s="55">
        <v>0</v>
      </c>
      <c r="H1116" s="55" t="e">
        <v>#N/A</v>
      </c>
      <c r="I1116" s="55" t="e">
        <v>#N/A</v>
      </c>
      <c r="J1116" s="55" t="e">
        <v>#N/A</v>
      </c>
      <c r="K1116" s="55" t="e">
        <v>#N/A</v>
      </c>
    </row>
    <row r="1117" spans="1:11" ht="45" hidden="1" x14ac:dyDescent="0.25">
      <c r="A1117" s="2" t="s">
        <v>1347</v>
      </c>
      <c r="B1117" s="3">
        <v>64124</v>
      </c>
      <c r="C1117" s="4" t="s">
        <v>1352</v>
      </c>
      <c r="D1117" s="62" t="s">
        <v>1822</v>
      </c>
      <c r="E1117" s="55" t="e">
        <v>#N/A</v>
      </c>
      <c r="F1117" s="55" t="s">
        <v>111</v>
      </c>
      <c r="G1117" s="55">
        <v>0</v>
      </c>
      <c r="H1117" s="55" t="e">
        <v>#N/A</v>
      </c>
      <c r="I1117" s="55" t="e">
        <v>#N/A</v>
      </c>
      <c r="J1117" s="55" t="e">
        <v>#N/A</v>
      </c>
      <c r="K1117" s="55" t="e">
        <v>#N/A</v>
      </c>
    </row>
    <row r="1118" spans="1:11" ht="75" hidden="1" x14ac:dyDescent="0.25">
      <c r="A1118" s="2" t="s">
        <v>1347</v>
      </c>
      <c r="B1118" s="3">
        <v>64191</v>
      </c>
      <c r="C1118" s="4" t="s">
        <v>1353</v>
      </c>
      <c r="D1118" s="62" t="s">
        <v>1823</v>
      </c>
      <c r="E1118" s="55" t="e">
        <v>#N/A</v>
      </c>
      <c r="F1118" s="55" t="s">
        <v>111</v>
      </c>
      <c r="G1118" s="55">
        <v>0</v>
      </c>
      <c r="H1118" s="55" t="e">
        <v>#N/A</v>
      </c>
      <c r="I1118" s="55" t="e">
        <v>#N/A</v>
      </c>
      <c r="J1118" s="55" t="e">
        <v>#N/A</v>
      </c>
      <c r="K1118" s="55" t="e">
        <v>#N/A</v>
      </c>
    </row>
    <row r="1119" spans="1:11" ht="60" hidden="1" x14ac:dyDescent="0.25">
      <c r="A1119" s="2" t="s">
        <v>1347</v>
      </c>
      <c r="B1119" s="3">
        <v>64192</v>
      </c>
      <c r="C1119" s="4" t="s">
        <v>1354</v>
      </c>
      <c r="D1119" s="62" t="e">
        <v>#N/A</v>
      </c>
      <c r="E1119" s="55" t="e">
        <v>#N/A</v>
      </c>
      <c r="F1119" s="55" t="e">
        <v>#N/A</v>
      </c>
      <c r="G1119" s="55" t="e">
        <v>#N/A</v>
      </c>
      <c r="H1119" s="55" t="e">
        <v>#N/A</v>
      </c>
      <c r="I1119" s="55" t="e">
        <v>#N/A</v>
      </c>
      <c r="J1119" s="55" t="e">
        <v>#N/A</v>
      </c>
      <c r="K1119" s="55" t="e">
        <v>#N/A</v>
      </c>
    </row>
    <row r="1120" spans="1:11" ht="45" hidden="1" x14ac:dyDescent="0.25">
      <c r="A1120" s="2" t="s">
        <v>1347</v>
      </c>
      <c r="B1120" s="3">
        <v>64193</v>
      </c>
      <c r="C1120" s="4" t="s">
        <v>1355</v>
      </c>
      <c r="D1120" s="62" t="e">
        <v>#N/A</v>
      </c>
      <c r="E1120" s="55" t="e">
        <v>#N/A</v>
      </c>
      <c r="F1120" s="55" t="e">
        <v>#N/A</v>
      </c>
      <c r="G1120" s="55" t="e">
        <v>#N/A</v>
      </c>
      <c r="H1120" s="55" t="e">
        <v>#N/A</v>
      </c>
      <c r="I1120" s="55" t="e">
        <v>#N/A</v>
      </c>
      <c r="J1120" s="55" t="e">
        <v>#N/A</v>
      </c>
      <c r="K1120" s="55" t="e">
        <v>#N/A</v>
      </c>
    </row>
    <row r="1121" spans="1:11" ht="45" hidden="1" x14ac:dyDescent="0.25">
      <c r="A1121" s="2" t="s">
        <v>1347</v>
      </c>
      <c r="B1121" s="3">
        <v>64194</v>
      </c>
      <c r="C1121" s="4" t="s">
        <v>1356</v>
      </c>
      <c r="D1121" s="62" t="e">
        <v>#N/A</v>
      </c>
      <c r="E1121" s="55" t="e">
        <v>#N/A</v>
      </c>
      <c r="F1121" s="55" t="e">
        <v>#N/A</v>
      </c>
      <c r="G1121" s="55" t="e">
        <v>#N/A</v>
      </c>
      <c r="H1121" s="55" t="e">
        <v>#N/A</v>
      </c>
      <c r="I1121" s="55" t="e">
        <v>#N/A</v>
      </c>
      <c r="J1121" s="55" t="e">
        <v>#N/A</v>
      </c>
      <c r="K1121" s="55" t="e">
        <v>#N/A</v>
      </c>
    </row>
    <row r="1122" spans="1:11" ht="45" hidden="1" x14ac:dyDescent="0.25">
      <c r="A1122" s="2" t="s">
        <v>1347</v>
      </c>
      <c r="B1122" s="3">
        <v>64199</v>
      </c>
      <c r="C1122" s="4" t="s">
        <v>1357</v>
      </c>
      <c r="D1122" s="62" t="e">
        <v>#N/A</v>
      </c>
      <c r="E1122" s="55" t="e">
        <v>#N/A</v>
      </c>
      <c r="F1122" s="55" t="e">
        <v>#N/A</v>
      </c>
      <c r="G1122" s="55" t="e">
        <v>#N/A</v>
      </c>
      <c r="H1122" s="55" t="e">
        <v>#N/A</v>
      </c>
      <c r="I1122" s="55" t="e">
        <v>#N/A</v>
      </c>
      <c r="J1122" s="55" t="e">
        <v>#N/A</v>
      </c>
      <c r="K1122" s="55" t="e">
        <v>#N/A</v>
      </c>
    </row>
    <row r="1123" spans="1:11" ht="30" hidden="1" x14ac:dyDescent="0.25">
      <c r="A1123" s="2" t="s">
        <v>1347</v>
      </c>
      <c r="B1123" s="3">
        <v>64210</v>
      </c>
      <c r="C1123" s="4" t="s">
        <v>1358</v>
      </c>
      <c r="D1123" s="62" t="e">
        <v>#N/A</v>
      </c>
      <c r="E1123" s="55" t="e">
        <v>#N/A</v>
      </c>
      <c r="F1123" s="55" t="e">
        <v>#N/A</v>
      </c>
      <c r="G1123" s="55" t="e">
        <v>#N/A</v>
      </c>
      <c r="H1123" s="55" t="e">
        <v>#N/A</v>
      </c>
      <c r="I1123" s="55" t="e">
        <v>#N/A</v>
      </c>
      <c r="J1123" s="55" t="e">
        <v>#N/A</v>
      </c>
      <c r="K1123" s="55" t="e">
        <v>#N/A</v>
      </c>
    </row>
    <row r="1124" spans="1:11" ht="45" hidden="1" x14ac:dyDescent="0.25">
      <c r="A1124" s="2" t="s">
        <v>1347</v>
      </c>
      <c r="B1124" s="3">
        <v>64220</v>
      </c>
      <c r="C1124" s="4" t="s">
        <v>1359</v>
      </c>
      <c r="D1124" s="62" t="e">
        <v>#N/A</v>
      </c>
      <c r="E1124" s="55" t="e">
        <v>#N/A</v>
      </c>
      <c r="F1124" s="55" t="e">
        <v>#N/A</v>
      </c>
      <c r="G1124" s="55" t="e">
        <v>#N/A</v>
      </c>
      <c r="H1124" s="55" t="e">
        <v>#N/A</v>
      </c>
      <c r="I1124" s="55" t="e">
        <v>#N/A</v>
      </c>
      <c r="J1124" s="55" t="e">
        <v>#N/A</v>
      </c>
      <c r="K1124" s="55" t="e">
        <v>#N/A</v>
      </c>
    </row>
    <row r="1125" spans="1:11" ht="30" hidden="1" x14ac:dyDescent="0.25">
      <c r="A1125" s="2" t="s">
        <v>1347</v>
      </c>
      <c r="B1125" s="3">
        <v>64310</v>
      </c>
      <c r="C1125" s="4" t="s">
        <v>1360</v>
      </c>
      <c r="D1125" s="62" t="e">
        <v>#N/A</v>
      </c>
      <c r="E1125" s="55" t="e">
        <v>#N/A</v>
      </c>
      <c r="F1125" s="55" t="e">
        <v>#N/A</v>
      </c>
      <c r="G1125" s="55" t="e">
        <v>#N/A</v>
      </c>
      <c r="H1125" s="55" t="e">
        <v>#N/A</v>
      </c>
      <c r="I1125" s="55" t="e">
        <v>#N/A</v>
      </c>
      <c r="J1125" s="55" t="e">
        <v>#N/A</v>
      </c>
      <c r="K1125" s="55" t="e">
        <v>#N/A</v>
      </c>
    </row>
    <row r="1126" spans="1:11" ht="45" hidden="1" x14ac:dyDescent="0.25">
      <c r="A1126" s="2" t="s">
        <v>1347</v>
      </c>
      <c r="B1126" s="3">
        <v>64320</v>
      </c>
      <c r="C1126" s="4" t="s">
        <v>1361</v>
      </c>
      <c r="D1126" s="62" t="e">
        <v>#N/A</v>
      </c>
      <c r="E1126" s="55" t="e">
        <v>#N/A</v>
      </c>
      <c r="F1126" s="55" t="e">
        <v>#N/A</v>
      </c>
      <c r="G1126" s="55" t="e">
        <v>#N/A</v>
      </c>
      <c r="H1126" s="55" t="e">
        <v>#N/A</v>
      </c>
      <c r="I1126" s="55" t="e">
        <v>#N/A</v>
      </c>
      <c r="J1126" s="55" t="e">
        <v>#N/A</v>
      </c>
      <c r="K1126" s="55" t="e">
        <v>#N/A</v>
      </c>
    </row>
    <row r="1127" spans="1:11" ht="45" hidden="1" x14ac:dyDescent="0.25">
      <c r="A1127" s="2" t="s">
        <v>1347</v>
      </c>
      <c r="B1127" s="3">
        <v>64330</v>
      </c>
      <c r="C1127" s="4" t="s">
        <v>1362</v>
      </c>
      <c r="D1127" s="62" t="e">
        <v>#N/A</v>
      </c>
      <c r="E1127" s="55" t="e">
        <v>#N/A</v>
      </c>
      <c r="F1127" s="55" t="e">
        <v>#N/A</v>
      </c>
      <c r="G1127" s="55" t="e">
        <v>#N/A</v>
      </c>
      <c r="H1127" s="55" t="e">
        <v>#N/A</v>
      </c>
      <c r="I1127" s="55" t="e">
        <v>#N/A</v>
      </c>
      <c r="J1127" s="55" t="e">
        <v>#N/A</v>
      </c>
      <c r="K1127" s="55" t="e">
        <v>#N/A</v>
      </c>
    </row>
    <row r="1128" spans="1:11" ht="45" hidden="1" x14ac:dyDescent="0.25">
      <c r="A1128" s="2" t="s">
        <v>1347</v>
      </c>
      <c r="B1128" s="3">
        <v>64910</v>
      </c>
      <c r="C1128" s="4" t="s">
        <v>1363</v>
      </c>
      <c r="D1128" s="62" t="e">
        <v>#N/A</v>
      </c>
      <c r="E1128" s="55" t="e">
        <v>#N/A</v>
      </c>
      <c r="F1128" s="55" t="e">
        <v>#N/A</v>
      </c>
      <c r="G1128" s="55" t="e">
        <v>#N/A</v>
      </c>
      <c r="H1128" s="55" t="e">
        <v>#N/A</v>
      </c>
      <c r="I1128" s="55" t="e">
        <v>#N/A</v>
      </c>
      <c r="J1128" s="55" t="e">
        <v>#N/A</v>
      </c>
      <c r="K1128" s="55" t="e">
        <v>#N/A</v>
      </c>
    </row>
    <row r="1129" spans="1:11" ht="60" hidden="1" x14ac:dyDescent="0.25">
      <c r="A1129" s="2" t="s">
        <v>1347</v>
      </c>
      <c r="B1129" s="3">
        <v>64920</v>
      </c>
      <c r="C1129" s="4" t="s">
        <v>1364</v>
      </c>
      <c r="D1129" s="62" t="e">
        <v>#N/A</v>
      </c>
      <c r="E1129" s="55" t="e">
        <v>#N/A</v>
      </c>
      <c r="F1129" s="55" t="e">
        <v>#N/A</v>
      </c>
      <c r="G1129" s="55" t="e">
        <v>#N/A</v>
      </c>
      <c r="H1129" s="55" t="e">
        <v>#N/A</v>
      </c>
      <c r="I1129" s="55" t="e">
        <v>#N/A</v>
      </c>
      <c r="J1129" s="55" t="e">
        <v>#N/A</v>
      </c>
      <c r="K1129" s="55" t="e">
        <v>#N/A</v>
      </c>
    </row>
    <row r="1130" spans="1:11" ht="30" hidden="1" x14ac:dyDescent="0.25">
      <c r="A1130" s="2" t="s">
        <v>1347</v>
      </c>
      <c r="B1130" s="3">
        <v>64930</v>
      </c>
      <c r="C1130" s="4" t="s">
        <v>1365</v>
      </c>
      <c r="D1130" s="62" t="e">
        <v>#N/A</v>
      </c>
      <c r="E1130" s="55" t="e">
        <v>#N/A</v>
      </c>
      <c r="F1130" s="55" t="e">
        <v>#N/A</v>
      </c>
      <c r="G1130" s="55" t="e">
        <v>#N/A</v>
      </c>
      <c r="H1130" s="55" t="e">
        <v>#N/A</v>
      </c>
      <c r="I1130" s="55" t="e">
        <v>#N/A</v>
      </c>
      <c r="J1130" s="55" t="e">
        <v>#N/A</v>
      </c>
      <c r="K1130" s="55" t="e">
        <v>#N/A</v>
      </c>
    </row>
    <row r="1131" spans="1:11" ht="30" hidden="1" x14ac:dyDescent="0.25">
      <c r="A1131" s="2" t="s">
        <v>1347</v>
      </c>
      <c r="B1131" s="3">
        <v>64940</v>
      </c>
      <c r="C1131" s="4" t="s">
        <v>1366</v>
      </c>
      <c r="D1131" s="62" t="e">
        <v>#N/A</v>
      </c>
      <c r="E1131" s="55" t="e">
        <v>#N/A</v>
      </c>
      <c r="F1131" s="55" t="e">
        <v>#N/A</v>
      </c>
      <c r="G1131" s="55" t="e">
        <v>#N/A</v>
      </c>
      <c r="H1131" s="55" t="e">
        <v>#N/A</v>
      </c>
      <c r="I1131" s="55" t="e">
        <v>#N/A</v>
      </c>
      <c r="J1131" s="55" t="e">
        <v>#N/A</v>
      </c>
      <c r="K1131" s="55" t="e">
        <v>#N/A</v>
      </c>
    </row>
    <row r="1132" spans="1:11" ht="45" hidden="1" x14ac:dyDescent="0.25">
      <c r="A1132" s="2" t="s">
        <v>1347</v>
      </c>
      <c r="B1132" s="3">
        <v>64951</v>
      </c>
      <c r="C1132" s="4" t="s">
        <v>1367</v>
      </c>
      <c r="D1132" s="62" t="e">
        <v>#N/A</v>
      </c>
      <c r="E1132" s="55" t="e">
        <v>#N/A</v>
      </c>
      <c r="F1132" s="55" t="e">
        <v>#N/A</v>
      </c>
      <c r="G1132" s="55" t="e">
        <v>#N/A</v>
      </c>
      <c r="H1132" s="55" t="e">
        <v>#N/A</v>
      </c>
      <c r="I1132" s="55" t="e">
        <v>#N/A</v>
      </c>
      <c r="J1132" s="55" t="e">
        <v>#N/A</v>
      </c>
      <c r="K1132" s="55" t="e">
        <v>#N/A</v>
      </c>
    </row>
    <row r="1133" spans="1:11" ht="45" hidden="1" x14ac:dyDescent="0.25">
      <c r="A1133" s="2" t="s">
        <v>1347</v>
      </c>
      <c r="B1133" s="3">
        <v>64952</v>
      </c>
      <c r="C1133" s="4" t="s">
        <v>1368</v>
      </c>
      <c r="D1133" s="62" t="e">
        <v>#N/A</v>
      </c>
      <c r="E1133" s="55" t="e">
        <v>#N/A</v>
      </c>
      <c r="F1133" s="55" t="e">
        <v>#N/A</v>
      </c>
      <c r="G1133" s="55" t="e">
        <v>#N/A</v>
      </c>
      <c r="H1133" s="55" t="e">
        <v>#N/A</v>
      </c>
      <c r="I1133" s="55" t="e">
        <v>#N/A</v>
      </c>
      <c r="J1133" s="55" t="e">
        <v>#N/A</v>
      </c>
      <c r="K1133" s="55" t="e">
        <v>#N/A</v>
      </c>
    </row>
    <row r="1134" spans="1:11" ht="30" hidden="1" x14ac:dyDescent="0.25">
      <c r="A1134" s="2" t="s">
        <v>1347</v>
      </c>
      <c r="B1134" s="3">
        <v>64953</v>
      </c>
      <c r="C1134" s="4" t="s">
        <v>1369</v>
      </c>
      <c r="D1134" s="62" t="s">
        <v>1824</v>
      </c>
      <c r="E1134" s="55" t="e">
        <v>#N/A</v>
      </c>
      <c r="F1134" s="55" t="s">
        <v>111</v>
      </c>
      <c r="G1134" s="55">
        <v>0</v>
      </c>
      <c r="H1134" s="55" t="e">
        <v>#N/A</v>
      </c>
      <c r="I1134" s="55" t="e">
        <v>#N/A</v>
      </c>
      <c r="J1134" s="55" t="e">
        <v>#N/A</v>
      </c>
      <c r="K1134" s="55" t="e">
        <v>#N/A</v>
      </c>
    </row>
    <row r="1135" spans="1:11" ht="30" hidden="1" x14ac:dyDescent="0.25">
      <c r="A1135" s="2" t="s">
        <v>1347</v>
      </c>
      <c r="B1135" s="3">
        <v>64954</v>
      </c>
      <c r="C1135" s="4" t="s">
        <v>1370</v>
      </c>
      <c r="D1135" s="62" t="s">
        <v>1825</v>
      </c>
      <c r="E1135" s="55" t="e">
        <v>#N/A</v>
      </c>
      <c r="F1135" s="55" t="s">
        <v>111</v>
      </c>
      <c r="G1135" s="55">
        <v>0</v>
      </c>
      <c r="H1135" s="55" t="e">
        <v>#N/A</v>
      </c>
      <c r="I1135" s="55" t="e">
        <v>#N/A</v>
      </c>
      <c r="J1135" s="55" t="e">
        <v>#N/A</v>
      </c>
      <c r="K1135" s="55" t="e">
        <v>#N/A</v>
      </c>
    </row>
    <row r="1136" spans="1:11" ht="45" hidden="1" x14ac:dyDescent="0.25">
      <c r="A1136" s="2" t="s">
        <v>1347</v>
      </c>
      <c r="B1136" s="3">
        <v>64955</v>
      </c>
      <c r="C1136" s="4" t="s">
        <v>1371</v>
      </c>
      <c r="D1136" s="62" t="e">
        <v>#N/A</v>
      </c>
      <c r="E1136" s="55" t="e">
        <v>#N/A</v>
      </c>
      <c r="F1136" s="55" t="e">
        <v>#N/A</v>
      </c>
      <c r="G1136" s="55" t="e">
        <v>#N/A</v>
      </c>
      <c r="H1136" s="55" t="e">
        <v>#N/A</v>
      </c>
      <c r="I1136" s="55" t="e">
        <v>#N/A</v>
      </c>
      <c r="J1136" s="55" t="e">
        <v>#N/A</v>
      </c>
      <c r="K1136" s="55" t="e">
        <v>#N/A</v>
      </c>
    </row>
    <row r="1137" spans="1:11" ht="45" hidden="1" x14ac:dyDescent="0.25">
      <c r="A1137" s="2" t="s">
        <v>1347</v>
      </c>
      <c r="B1137" s="3">
        <v>64959</v>
      </c>
      <c r="C1137" s="4" t="s">
        <v>1372</v>
      </c>
      <c r="D1137" s="62" t="e">
        <v>#N/A</v>
      </c>
      <c r="E1137" s="55" t="e">
        <v>#N/A</v>
      </c>
      <c r="F1137" s="55" t="e">
        <v>#N/A</v>
      </c>
      <c r="G1137" s="55" t="e">
        <v>#N/A</v>
      </c>
      <c r="H1137" s="55" t="e">
        <v>#N/A</v>
      </c>
      <c r="I1137" s="55" t="e">
        <v>#N/A</v>
      </c>
      <c r="J1137" s="55" t="e">
        <v>#N/A</v>
      </c>
      <c r="K1137" s="55" t="e">
        <v>#N/A</v>
      </c>
    </row>
    <row r="1138" spans="1:11" ht="45" hidden="1" x14ac:dyDescent="0.25">
      <c r="A1138" s="2" t="s">
        <v>1347</v>
      </c>
      <c r="B1138" s="3">
        <v>64991</v>
      </c>
      <c r="C1138" s="4" t="s">
        <v>1373</v>
      </c>
      <c r="D1138" s="62" t="e">
        <v>#N/A</v>
      </c>
      <c r="E1138" s="55" t="e">
        <v>#N/A</v>
      </c>
      <c r="F1138" s="55" t="e">
        <v>#N/A</v>
      </c>
      <c r="G1138" s="55" t="e">
        <v>#N/A</v>
      </c>
      <c r="H1138" s="55" t="e">
        <v>#N/A</v>
      </c>
      <c r="I1138" s="55" t="e">
        <v>#N/A</v>
      </c>
      <c r="J1138" s="55" t="e">
        <v>#N/A</v>
      </c>
      <c r="K1138" s="55" t="e">
        <v>#N/A</v>
      </c>
    </row>
    <row r="1139" spans="1:11" ht="30" hidden="1" x14ac:dyDescent="0.25">
      <c r="A1139" s="2" t="s">
        <v>1347</v>
      </c>
      <c r="B1139" s="3">
        <v>64992</v>
      </c>
      <c r="C1139" s="4" t="s">
        <v>1374</v>
      </c>
      <c r="D1139" s="62" t="e">
        <v>#N/A</v>
      </c>
      <c r="E1139" s="55" t="e">
        <v>#N/A</v>
      </c>
      <c r="F1139" s="55" t="e">
        <v>#N/A</v>
      </c>
      <c r="G1139" s="55" t="e">
        <v>#N/A</v>
      </c>
      <c r="H1139" s="55" t="e">
        <v>#N/A</v>
      </c>
      <c r="I1139" s="55" t="e">
        <v>#N/A</v>
      </c>
      <c r="J1139" s="55" t="e">
        <v>#N/A</v>
      </c>
      <c r="K1139" s="55" t="e">
        <v>#N/A</v>
      </c>
    </row>
    <row r="1140" spans="1:11" ht="60" hidden="1" x14ac:dyDescent="0.25">
      <c r="A1140" s="2" t="s">
        <v>1347</v>
      </c>
      <c r="B1140" s="3">
        <v>64993</v>
      </c>
      <c r="C1140" s="4" t="s">
        <v>1375</v>
      </c>
      <c r="D1140" s="62" t="e">
        <v>#N/A</v>
      </c>
      <c r="E1140" s="55" t="e">
        <v>#N/A</v>
      </c>
      <c r="F1140" s="55" t="e">
        <v>#N/A</v>
      </c>
      <c r="G1140" s="55" t="e">
        <v>#N/A</v>
      </c>
      <c r="H1140" s="55" t="e">
        <v>#N/A</v>
      </c>
      <c r="I1140" s="55" t="e">
        <v>#N/A</v>
      </c>
      <c r="J1140" s="55" t="e">
        <v>#N/A</v>
      </c>
      <c r="K1140" s="55" t="e">
        <v>#N/A</v>
      </c>
    </row>
    <row r="1141" spans="1:11" ht="45" hidden="1" x14ac:dyDescent="0.25">
      <c r="A1141" s="2" t="s">
        <v>1347</v>
      </c>
      <c r="B1141" s="3">
        <v>64994</v>
      </c>
      <c r="C1141" s="4" t="s">
        <v>1376</v>
      </c>
      <c r="D1141" s="62" t="e">
        <v>#N/A</v>
      </c>
      <c r="E1141" s="55" t="e">
        <v>#N/A</v>
      </c>
      <c r="F1141" s="55" t="e">
        <v>#N/A</v>
      </c>
      <c r="G1141" s="55" t="e">
        <v>#N/A</v>
      </c>
      <c r="H1141" s="55" t="e">
        <v>#N/A</v>
      </c>
      <c r="I1141" s="55" t="e">
        <v>#N/A</v>
      </c>
      <c r="J1141" s="55" t="e">
        <v>#N/A</v>
      </c>
      <c r="K1141" s="55" t="e">
        <v>#N/A</v>
      </c>
    </row>
    <row r="1142" spans="1:11" ht="45" hidden="1" x14ac:dyDescent="0.25">
      <c r="A1142" s="2" t="s">
        <v>1347</v>
      </c>
      <c r="B1142" s="3">
        <v>64995</v>
      </c>
      <c r="C1142" s="4" t="s">
        <v>1377</v>
      </c>
      <c r="D1142" s="62" t="e">
        <v>#N/A</v>
      </c>
      <c r="E1142" s="55" t="e">
        <v>#N/A</v>
      </c>
      <c r="F1142" s="55" t="e">
        <v>#N/A</v>
      </c>
      <c r="G1142" s="55" t="e">
        <v>#N/A</v>
      </c>
      <c r="H1142" s="55" t="e">
        <v>#N/A</v>
      </c>
      <c r="I1142" s="55" t="e">
        <v>#N/A</v>
      </c>
      <c r="J1142" s="55" t="e">
        <v>#N/A</v>
      </c>
      <c r="K1142" s="55" t="e">
        <v>#N/A</v>
      </c>
    </row>
    <row r="1143" spans="1:11" ht="45" hidden="1" x14ac:dyDescent="0.25">
      <c r="A1143" s="2" t="s">
        <v>1347</v>
      </c>
      <c r="B1143" s="3">
        <v>64996</v>
      </c>
      <c r="C1143" s="4" t="s">
        <v>1378</v>
      </c>
      <c r="D1143" s="62" t="e">
        <v>#N/A</v>
      </c>
      <c r="E1143" s="55" t="e">
        <v>#N/A</v>
      </c>
      <c r="F1143" s="55" t="e">
        <v>#N/A</v>
      </c>
      <c r="G1143" s="55" t="e">
        <v>#N/A</v>
      </c>
      <c r="H1143" s="55" t="e">
        <v>#N/A</v>
      </c>
      <c r="I1143" s="55" t="e">
        <v>#N/A</v>
      </c>
      <c r="J1143" s="55" t="e">
        <v>#N/A</v>
      </c>
      <c r="K1143" s="55" t="e">
        <v>#N/A</v>
      </c>
    </row>
    <row r="1144" spans="1:11" ht="45" hidden="1" x14ac:dyDescent="0.25">
      <c r="A1144" s="2" t="s">
        <v>1347</v>
      </c>
      <c r="B1144" s="3">
        <v>64997</v>
      </c>
      <c r="C1144" s="4" t="s">
        <v>1379</v>
      </c>
      <c r="D1144" s="62" t="e">
        <v>#N/A</v>
      </c>
      <c r="E1144" s="55" t="e">
        <v>#N/A</v>
      </c>
      <c r="F1144" s="55" t="e">
        <v>#N/A</v>
      </c>
      <c r="G1144" s="55" t="e">
        <v>#N/A</v>
      </c>
      <c r="H1144" s="55" t="e">
        <v>#N/A</v>
      </c>
      <c r="I1144" s="55" t="e">
        <v>#N/A</v>
      </c>
      <c r="J1144" s="55" t="e">
        <v>#N/A</v>
      </c>
      <c r="K1144" s="55" t="e">
        <v>#N/A</v>
      </c>
    </row>
    <row r="1145" spans="1:11" ht="60" hidden="1" x14ac:dyDescent="0.25">
      <c r="A1145" s="2" t="s">
        <v>1347</v>
      </c>
      <c r="B1145" s="3">
        <v>64999</v>
      </c>
      <c r="C1145" s="4" t="s">
        <v>1380</v>
      </c>
      <c r="D1145" s="62" t="e">
        <v>#N/A</v>
      </c>
      <c r="E1145" s="55" t="e">
        <v>#N/A</v>
      </c>
      <c r="F1145" s="55" t="e">
        <v>#N/A</v>
      </c>
      <c r="G1145" s="55" t="e">
        <v>#N/A</v>
      </c>
      <c r="H1145" s="55" t="e">
        <v>#N/A</v>
      </c>
      <c r="I1145" s="55" t="e">
        <v>#N/A</v>
      </c>
      <c r="J1145" s="55" t="e">
        <v>#N/A</v>
      </c>
      <c r="K1145" s="55" t="e">
        <v>#N/A</v>
      </c>
    </row>
    <row r="1146" spans="1:11" ht="30" hidden="1" x14ac:dyDescent="0.25">
      <c r="A1146" s="2" t="s">
        <v>1347</v>
      </c>
      <c r="B1146" s="3">
        <v>65111</v>
      </c>
      <c r="C1146" s="4" t="s">
        <v>1381</v>
      </c>
      <c r="D1146" s="62" t="e">
        <v>#N/A</v>
      </c>
      <c r="E1146" s="55" t="e">
        <v>#N/A</v>
      </c>
      <c r="F1146" s="55" t="e">
        <v>#N/A</v>
      </c>
      <c r="G1146" s="55" t="e">
        <v>#N/A</v>
      </c>
      <c r="H1146" s="55" t="e">
        <v>#N/A</v>
      </c>
      <c r="I1146" s="55" t="e">
        <v>#N/A</v>
      </c>
      <c r="J1146" s="55" t="e">
        <v>#N/A</v>
      </c>
      <c r="K1146" s="55" t="e">
        <v>#N/A</v>
      </c>
    </row>
    <row r="1147" spans="1:11" ht="30" hidden="1" x14ac:dyDescent="0.25">
      <c r="A1147" s="2" t="s">
        <v>1347</v>
      </c>
      <c r="B1147" s="3">
        <v>65112</v>
      </c>
      <c r="C1147" s="4" t="s">
        <v>1382</v>
      </c>
      <c r="D1147" s="62" t="e">
        <v>#N/A</v>
      </c>
      <c r="E1147" s="55" t="e">
        <v>#N/A</v>
      </c>
      <c r="F1147" s="55" t="e">
        <v>#N/A</v>
      </c>
      <c r="G1147" s="55" t="e">
        <v>#N/A</v>
      </c>
      <c r="H1147" s="55" t="e">
        <v>#N/A</v>
      </c>
      <c r="I1147" s="55" t="e">
        <v>#N/A</v>
      </c>
      <c r="J1147" s="55" t="e">
        <v>#N/A</v>
      </c>
      <c r="K1147" s="55" t="e">
        <v>#N/A</v>
      </c>
    </row>
    <row r="1148" spans="1:11" ht="30" hidden="1" x14ac:dyDescent="0.25">
      <c r="A1148" s="2" t="s">
        <v>1347</v>
      </c>
      <c r="B1148" s="3">
        <v>65121</v>
      </c>
      <c r="C1148" s="4" t="s">
        <v>1383</v>
      </c>
      <c r="D1148" s="62" t="e">
        <v>#N/A</v>
      </c>
      <c r="E1148" s="55" t="e">
        <v>#N/A</v>
      </c>
      <c r="F1148" s="55" t="e">
        <v>#N/A</v>
      </c>
      <c r="G1148" s="55" t="e">
        <v>#N/A</v>
      </c>
      <c r="H1148" s="55" t="e">
        <v>#N/A</v>
      </c>
      <c r="I1148" s="55" t="e">
        <v>#N/A</v>
      </c>
      <c r="J1148" s="55" t="e">
        <v>#N/A</v>
      </c>
      <c r="K1148" s="55" t="e">
        <v>#N/A</v>
      </c>
    </row>
    <row r="1149" spans="1:11" ht="30" hidden="1" x14ac:dyDescent="0.25">
      <c r="A1149" s="2" t="s">
        <v>1347</v>
      </c>
      <c r="B1149" s="3">
        <v>65122</v>
      </c>
      <c r="C1149" s="4" t="s">
        <v>1384</v>
      </c>
      <c r="D1149" s="62" t="e">
        <v>#N/A</v>
      </c>
      <c r="E1149" s="55" t="e">
        <v>#N/A</v>
      </c>
      <c r="F1149" s="55" t="e">
        <v>#N/A</v>
      </c>
      <c r="G1149" s="55" t="e">
        <v>#N/A</v>
      </c>
      <c r="H1149" s="55" t="e">
        <v>#N/A</v>
      </c>
      <c r="I1149" s="55" t="e">
        <v>#N/A</v>
      </c>
      <c r="J1149" s="55" t="e">
        <v>#N/A</v>
      </c>
      <c r="K1149" s="55" t="e">
        <v>#N/A</v>
      </c>
    </row>
    <row r="1150" spans="1:11" ht="60" hidden="1" x14ac:dyDescent="0.25">
      <c r="A1150" s="2" t="s">
        <v>1347</v>
      </c>
      <c r="B1150" s="3">
        <v>65123</v>
      </c>
      <c r="C1150" s="4" t="s">
        <v>1385</v>
      </c>
      <c r="D1150" s="62" t="e">
        <v>#N/A</v>
      </c>
      <c r="E1150" s="55" t="e">
        <v>#N/A</v>
      </c>
      <c r="F1150" s="55" t="e">
        <v>#N/A</v>
      </c>
      <c r="G1150" s="55" t="e">
        <v>#N/A</v>
      </c>
      <c r="H1150" s="55" t="e">
        <v>#N/A</v>
      </c>
      <c r="I1150" s="55" t="e">
        <v>#N/A</v>
      </c>
      <c r="J1150" s="55" t="e">
        <v>#N/A</v>
      </c>
      <c r="K1150" s="55" t="e">
        <v>#N/A</v>
      </c>
    </row>
    <row r="1151" spans="1:11" ht="30" hidden="1" x14ac:dyDescent="0.25">
      <c r="A1151" s="2" t="s">
        <v>1347</v>
      </c>
      <c r="B1151" s="3">
        <v>65131</v>
      </c>
      <c r="C1151" s="4" t="s">
        <v>1386</v>
      </c>
      <c r="D1151" s="62" t="e">
        <v>#N/A</v>
      </c>
      <c r="E1151" s="55" t="e">
        <v>#N/A</v>
      </c>
      <c r="F1151" s="55" t="e">
        <v>#N/A</v>
      </c>
      <c r="G1151" s="55" t="e">
        <v>#N/A</v>
      </c>
      <c r="H1151" s="55" t="e">
        <v>#N/A</v>
      </c>
      <c r="I1151" s="55" t="e">
        <v>#N/A</v>
      </c>
      <c r="J1151" s="55" t="e">
        <v>#N/A</v>
      </c>
      <c r="K1151" s="55" t="e">
        <v>#N/A</v>
      </c>
    </row>
    <row r="1152" spans="1:11" hidden="1" x14ac:dyDescent="0.25">
      <c r="A1152" s="2" t="s">
        <v>1347</v>
      </c>
      <c r="B1152" s="3">
        <v>65132</v>
      </c>
      <c r="C1152" s="4" t="s">
        <v>1387</v>
      </c>
      <c r="D1152" s="62" t="e">
        <v>#N/A</v>
      </c>
      <c r="E1152" s="55" t="e">
        <v>#N/A</v>
      </c>
      <c r="F1152" s="55" t="e">
        <v>#N/A</v>
      </c>
      <c r="G1152" s="55" t="e">
        <v>#N/A</v>
      </c>
      <c r="H1152" s="55" t="e">
        <v>#N/A</v>
      </c>
      <c r="I1152" s="55" t="e">
        <v>#N/A</v>
      </c>
      <c r="J1152" s="55" t="e">
        <v>#N/A</v>
      </c>
      <c r="K1152" s="55" t="e">
        <v>#N/A</v>
      </c>
    </row>
    <row r="1153" spans="1:11" ht="30" hidden="1" x14ac:dyDescent="0.25">
      <c r="A1153" s="2" t="s">
        <v>1347</v>
      </c>
      <c r="B1153" s="3">
        <v>65201</v>
      </c>
      <c r="C1153" s="4" t="s">
        <v>1388</v>
      </c>
      <c r="D1153" s="62" t="e">
        <v>#N/A</v>
      </c>
      <c r="E1153" s="55" t="e">
        <v>#N/A</v>
      </c>
      <c r="F1153" s="55" t="e">
        <v>#N/A</v>
      </c>
      <c r="G1153" s="55" t="e">
        <v>#N/A</v>
      </c>
      <c r="H1153" s="55" t="e">
        <v>#N/A</v>
      </c>
      <c r="I1153" s="55" t="e">
        <v>#N/A</v>
      </c>
      <c r="J1153" s="55" t="e">
        <v>#N/A</v>
      </c>
      <c r="K1153" s="55" t="e">
        <v>#N/A</v>
      </c>
    </row>
    <row r="1154" spans="1:11" hidden="1" x14ac:dyDescent="0.25">
      <c r="A1154" s="2" t="s">
        <v>1347</v>
      </c>
      <c r="B1154" s="3">
        <v>65202</v>
      </c>
      <c r="C1154" s="4" t="s">
        <v>1389</v>
      </c>
      <c r="D1154" s="62" t="e">
        <v>#N/A</v>
      </c>
      <c r="E1154" s="55" t="e">
        <v>#N/A</v>
      </c>
      <c r="F1154" s="55" t="e">
        <v>#N/A</v>
      </c>
      <c r="G1154" s="55" t="e">
        <v>#N/A</v>
      </c>
      <c r="H1154" s="55" t="e">
        <v>#N/A</v>
      </c>
      <c r="I1154" s="55" t="e">
        <v>#N/A</v>
      </c>
      <c r="J1154" s="55" t="e">
        <v>#N/A</v>
      </c>
      <c r="K1154" s="55" t="e">
        <v>#N/A</v>
      </c>
    </row>
    <row r="1155" spans="1:11" ht="30" hidden="1" x14ac:dyDescent="0.25">
      <c r="A1155" s="2" t="s">
        <v>1347</v>
      </c>
      <c r="B1155" s="3">
        <v>65203</v>
      </c>
      <c r="C1155" s="4" t="s">
        <v>1390</v>
      </c>
      <c r="D1155" s="62" t="e">
        <v>#N/A</v>
      </c>
      <c r="E1155" s="55" t="e">
        <v>#N/A</v>
      </c>
      <c r="F1155" s="55" t="e">
        <v>#N/A</v>
      </c>
      <c r="G1155" s="55" t="e">
        <v>#N/A</v>
      </c>
      <c r="H1155" s="55" t="e">
        <v>#N/A</v>
      </c>
      <c r="I1155" s="55" t="e">
        <v>#N/A</v>
      </c>
      <c r="J1155" s="55" t="e">
        <v>#N/A</v>
      </c>
      <c r="K1155" s="55" t="e">
        <v>#N/A</v>
      </c>
    </row>
    <row r="1156" spans="1:11" ht="30" hidden="1" x14ac:dyDescent="0.25">
      <c r="A1156" s="2" t="s">
        <v>1347</v>
      </c>
      <c r="B1156" s="3">
        <v>65204</v>
      </c>
      <c r="C1156" s="4" t="s">
        <v>1391</v>
      </c>
      <c r="D1156" s="62" t="e">
        <v>#N/A</v>
      </c>
      <c r="E1156" s="55" t="e">
        <v>#N/A</v>
      </c>
      <c r="F1156" s="55" t="e">
        <v>#N/A</v>
      </c>
      <c r="G1156" s="55" t="e">
        <v>#N/A</v>
      </c>
      <c r="H1156" s="55" t="e">
        <v>#N/A</v>
      </c>
      <c r="I1156" s="55" t="e">
        <v>#N/A</v>
      </c>
      <c r="J1156" s="55" t="e">
        <v>#N/A</v>
      </c>
      <c r="K1156" s="55" t="e">
        <v>#N/A</v>
      </c>
    </row>
    <row r="1157" spans="1:11" ht="45" hidden="1" x14ac:dyDescent="0.25">
      <c r="A1157" s="2" t="s">
        <v>1347</v>
      </c>
      <c r="B1157" s="3">
        <v>65301</v>
      </c>
      <c r="C1157" s="4" t="s">
        <v>1392</v>
      </c>
      <c r="D1157" s="62" t="e">
        <v>#N/A</v>
      </c>
      <c r="E1157" s="55" t="e">
        <v>#N/A</v>
      </c>
      <c r="F1157" s="55" t="e">
        <v>#N/A</v>
      </c>
      <c r="G1157" s="55" t="e">
        <v>#N/A</v>
      </c>
      <c r="H1157" s="55" t="e">
        <v>#N/A</v>
      </c>
      <c r="I1157" s="55" t="e">
        <v>#N/A</v>
      </c>
      <c r="J1157" s="55" t="e">
        <v>#N/A</v>
      </c>
      <c r="K1157" s="55" t="e">
        <v>#N/A</v>
      </c>
    </row>
    <row r="1158" spans="1:11" ht="45" hidden="1" x14ac:dyDescent="0.25">
      <c r="A1158" s="2" t="s">
        <v>1347</v>
      </c>
      <c r="B1158" s="3">
        <v>65302</v>
      </c>
      <c r="C1158" s="4" t="s">
        <v>1393</v>
      </c>
      <c r="D1158" s="62" t="e">
        <v>#N/A</v>
      </c>
      <c r="E1158" s="55" t="e">
        <v>#N/A</v>
      </c>
      <c r="F1158" s="55" t="e">
        <v>#N/A</v>
      </c>
      <c r="G1158" s="55" t="e">
        <v>#N/A</v>
      </c>
      <c r="H1158" s="55" t="e">
        <v>#N/A</v>
      </c>
      <c r="I1158" s="55" t="e">
        <v>#N/A</v>
      </c>
      <c r="J1158" s="55" t="e">
        <v>#N/A</v>
      </c>
      <c r="K1158" s="55" t="e">
        <v>#N/A</v>
      </c>
    </row>
    <row r="1159" spans="1:11" ht="60" hidden="1" x14ac:dyDescent="0.25">
      <c r="A1159" s="2" t="s">
        <v>1347</v>
      </c>
      <c r="B1159" s="3">
        <v>65303</v>
      </c>
      <c r="C1159" s="4" t="s">
        <v>1394</v>
      </c>
      <c r="D1159" s="62" t="e">
        <v>#N/A</v>
      </c>
      <c r="E1159" s="55" t="e">
        <v>#N/A</v>
      </c>
      <c r="F1159" s="55" t="e">
        <v>#N/A</v>
      </c>
      <c r="G1159" s="55" t="e">
        <v>#N/A</v>
      </c>
      <c r="H1159" s="55" t="e">
        <v>#N/A</v>
      </c>
      <c r="I1159" s="55" t="e">
        <v>#N/A</v>
      </c>
      <c r="J1159" s="55" t="e">
        <v>#N/A</v>
      </c>
      <c r="K1159" s="55" t="e">
        <v>#N/A</v>
      </c>
    </row>
    <row r="1160" spans="1:11" ht="45" hidden="1" x14ac:dyDescent="0.25">
      <c r="A1160" s="2" t="s">
        <v>1347</v>
      </c>
      <c r="B1160" s="3">
        <v>65304</v>
      </c>
      <c r="C1160" s="4" t="s">
        <v>1395</v>
      </c>
      <c r="D1160" s="62" t="e">
        <v>#N/A</v>
      </c>
      <c r="E1160" s="55" t="e">
        <v>#N/A</v>
      </c>
      <c r="F1160" s="55" t="e">
        <v>#N/A</v>
      </c>
      <c r="G1160" s="55" t="e">
        <v>#N/A</v>
      </c>
      <c r="H1160" s="55" t="e">
        <v>#N/A</v>
      </c>
      <c r="I1160" s="55" t="e">
        <v>#N/A</v>
      </c>
      <c r="J1160" s="55" t="e">
        <v>#N/A</v>
      </c>
      <c r="K1160" s="55" t="e">
        <v>#N/A</v>
      </c>
    </row>
    <row r="1161" spans="1:11" ht="45" hidden="1" x14ac:dyDescent="0.25">
      <c r="A1161" s="2" t="s">
        <v>1347</v>
      </c>
      <c r="B1161" s="3">
        <v>66111</v>
      </c>
      <c r="C1161" s="4" t="s">
        <v>1396</v>
      </c>
      <c r="D1161" s="62" t="e">
        <v>#N/A</v>
      </c>
      <c r="E1161" s="55" t="e">
        <v>#N/A</v>
      </c>
      <c r="F1161" s="55" t="e">
        <v>#N/A</v>
      </c>
      <c r="G1161" s="55" t="e">
        <v>#N/A</v>
      </c>
      <c r="H1161" s="55" t="e">
        <v>#N/A</v>
      </c>
      <c r="I1161" s="55" t="e">
        <v>#N/A</v>
      </c>
      <c r="J1161" s="55" t="e">
        <v>#N/A</v>
      </c>
      <c r="K1161" s="55" t="e">
        <v>#N/A</v>
      </c>
    </row>
    <row r="1162" spans="1:11" hidden="1" x14ac:dyDescent="0.25">
      <c r="A1162" s="2" t="s">
        <v>1347</v>
      </c>
      <c r="B1162" s="3">
        <v>66112</v>
      </c>
      <c r="C1162" s="4" t="s">
        <v>1397</v>
      </c>
      <c r="D1162" s="62" t="e">
        <v>#N/A</v>
      </c>
      <c r="E1162" s="55" t="e">
        <v>#N/A</v>
      </c>
      <c r="F1162" s="55" t="e">
        <v>#N/A</v>
      </c>
      <c r="G1162" s="55" t="e">
        <v>#N/A</v>
      </c>
      <c r="H1162" s="55" t="e">
        <v>#N/A</v>
      </c>
      <c r="I1162" s="55" t="e">
        <v>#N/A</v>
      </c>
      <c r="J1162" s="55" t="e">
        <v>#N/A</v>
      </c>
      <c r="K1162" s="55" t="e">
        <v>#N/A</v>
      </c>
    </row>
    <row r="1163" spans="1:11" ht="45" hidden="1" x14ac:dyDescent="0.25">
      <c r="A1163" s="2" t="s">
        <v>1347</v>
      </c>
      <c r="B1163" s="3">
        <v>66113</v>
      </c>
      <c r="C1163" s="4" t="s">
        <v>1398</v>
      </c>
      <c r="D1163" s="62" t="e">
        <v>#N/A</v>
      </c>
      <c r="E1163" s="55" t="e">
        <v>#N/A</v>
      </c>
      <c r="F1163" s="55" t="e">
        <v>#N/A</v>
      </c>
      <c r="G1163" s="55" t="e">
        <v>#N/A</v>
      </c>
      <c r="H1163" s="55" t="e">
        <v>#N/A</v>
      </c>
      <c r="I1163" s="55" t="e">
        <v>#N/A</v>
      </c>
      <c r="J1163" s="55" t="e">
        <v>#N/A</v>
      </c>
      <c r="K1163" s="55" t="e">
        <v>#N/A</v>
      </c>
    </row>
    <row r="1164" spans="1:11" ht="60" hidden="1" x14ac:dyDescent="0.25">
      <c r="A1164" s="2" t="s">
        <v>1347</v>
      </c>
      <c r="B1164" s="3">
        <v>66114</v>
      </c>
      <c r="C1164" s="4" t="s">
        <v>1399</v>
      </c>
      <c r="D1164" s="62" t="e">
        <v>#N/A</v>
      </c>
      <c r="E1164" s="55" t="e">
        <v>#N/A</v>
      </c>
      <c r="F1164" s="55" t="e">
        <v>#N/A</v>
      </c>
      <c r="G1164" s="55" t="e">
        <v>#N/A</v>
      </c>
      <c r="H1164" s="55" t="e">
        <v>#N/A</v>
      </c>
      <c r="I1164" s="55" t="e">
        <v>#N/A</v>
      </c>
      <c r="J1164" s="55" t="e">
        <v>#N/A</v>
      </c>
      <c r="K1164" s="55" t="e">
        <v>#N/A</v>
      </c>
    </row>
    <row r="1165" spans="1:11" ht="60" hidden="1" x14ac:dyDescent="0.25">
      <c r="A1165" s="2" t="s">
        <v>1347</v>
      </c>
      <c r="B1165" s="3">
        <v>66115</v>
      </c>
      <c r="C1165" s="4" t="s">
        <v>1400</v>
      </c>
      <c r="D1165" s="62" t="e">
        <v>#N/A</v>
      </c>
      <c r="E1165" s="55" t="e">
        <v>#N/A</v>
      </c>
      <c r="F1165" s="55" t="e">
        <v>#N/A</v>
      </c>
      <c r="G1165" s="55" t="e">
        <v>#N/A</v>
      </c>
      <c r="H1165" s="55" t="e">
        <v>#N/A</v>
      </c>
      <c r="I1165" s="55" t="e">
        <v>#N/A</v>
      </c>
      <c r="J1165" s="55" t="e">
        <v>#N/A</v>
      </c>
      <c r="K1165" s="55" t="e">
        <v>#N/A</v>
      </c>
    </row>
    <row r="1166" spans="1:11" ht="60" hidden="1" x14ac:dyDescent="0.25">
      <c r="A1166" s="2" t="s">
        <v>1347</v>
      </c>
      <c r="B1166" s="3">
        <v>66116</v>
      </c>
      <c r="C1166" s="4" t="s">
        <v>1401</v>
      </c>
      <c r="D1166" s="62" t="e">
        <v>#N/A</v>
      </c>
      <c r="E1166" s="55" t="e">
        <v>#N/A</v>
      </c>
      <c r="F1166" s="55" t="e">
        <v>#N/A</v>
      </c>
      <c r="G1166" s="55" t="e">
        <v>#N/A</v>
      </c>
      <c r="H1166" s="55" t="e">
        <v>#N/A</v>
      </c>
      <c r="I1166" s="55" t="e">
        <v>#N/A</v>
      </c>
      <c r="J1166" s="55" t="e">
        <v>#N/A</v>
      </c>
      <c r="K1166" s="55" t="e">
        <v>#N/A</v>
      </c>
    </row>
    <row r="1167" spans="1:11" ht="30" hidden="1" x14ac:dyDescent="0.25">
      <c r="A1167" s="2" t="s">
        <v>1347</v>
      </c>
      <c r="B1167" s="3">
        <v>66117</v>
      </c>
      <c r="C1167" s="4" t="s">
        <v>1402</v>
      </c>
      <c r="D1167" s="62" t="e">
        <v>#N/A</v>
      </c>
      <c r="E1167" s="55" t="e">
        <v>#N/A</v>
      </c>
      <c r="F1167" s="55" t="e">
        <v>#N/A</v>
      </c>
      <c r="G1167" s="55" t="e">
        <v>#N/A</v>
      </c>
      <c r="H1167" s="55" t="e">
        <v>#N/A</v>
      </c>
      <c r="I1167" s="55" t="e">
        <v>#N/A</v>
      </c>
      <c r="J1167" s="55" t="e">
        <v>#N/A</v>
      </c>
      <c r="K1167" s="55" t="e">
        <v>#N/A</v>
      </c>
    </row>
    <row r="1168" spans="1:11" ht="60" hidden="1" x14ac:dyDescent="0.25">
      <c r="A1168" s="2" t="s">
        <v>1347</v>
      </c>
      <c r="B1168" s="3">
        <v>66119</v>
      </c>
      <c r="C1168" s="4" t="s">
        <v>1403</v>
      </c>
      <c r="D1168" s="62" t="e">
        <v>#N/A</v>
      </c>
      <c r="E1168" s="55" t="e">
        <v>#N/A</v>
      </c>
      <c r="F1168" s="55" t="e">
        <v>#N/A</v>
      </c>
      <c r="G1168" s="55" t="e">
        <v>#N/A</v>
      </c>
      <c r="H1168" s="55" t="e">
        <v>#N/A</v>
      </c>
      <c r="I1168" s="55" t="e">
        <v>#N/A</v>
      </c>
      <c r="J1168" s="55" t="e">
        <v>#N/A</v>
      </c>
      <c r="K1168" s="55" t="e">
        <v>#N/A</v>
      </c>
    </row>
    <row r="1169" spans="1:11" ht="30" hidden="1" x14ac:dyDescent="0.25">
      <c r="A1169" s="2" t="s">
        <v>1347</v>
      </c>
      <c r="B1169" s="3">
        <v>66121</v>
      </c>
      <c r="C1169" s="4" t="s">
        <v>1404</v>
      </c>
      <c r="D1169" s="62" t="e">
        <v>#N/A</v>
      </c>
      <c r="E1169" s="55" t="e">
        <v>#N/A</v>
      </c>
      <c r="F1169" s="55" t="e">
        <v>#N/A</v>
      </c>
      <c r="G1169" s="55" t="e">
        <v>#N/A</v>
      </c>
      <c r="H1169" s="55" t="e">
        <v>#N/A</v>
      </c>
      <c r="I1169" s="55" t="e">
        <v>#N/A</v>
      </c>
      <c r="J1169" s="55" t="e">
        <v>#N/A</v>
      </c>
      <c r="K1169" s="55" t="e">
        <v>#N/A</v>
      </c>
    </row>
    <row r="1170" spans="1:11" ht="60" hidden="1" x14ac:dyDescent="0.25">
      <c r="A1170" s="2" t="s">
        <v>1347</v>
      </c>
      <c r="B1170" s="3">
        <v>66122</v>
      </c>
      <c r="C1170" s="4" t="s">
        <v>1405</v>
      </c>
      <c r="D1170" s="62" t="e">
        <v>#N/A</v>
      </c>
      <c r="E1170" s="55" t="e">
        <v>#N/A</v>
      </c>
      <c r="F1170" s="55" t="e">
        <v>#N/A</v>
      </c>
      <c r="G1170" s="55" t="e">
        <v>#N/A</v>
      </c>
      <c r="H1170" s="55" t="e">
        <v>#N/A</v>
      </c>
      <c r="I1170" s="55" t="e">
        <v>#N/A</v>
      </c>
      <c r="J1170" s="55" t="e">
        <v>#N/A</v>
      </c>
      <c r="K1170" s="55" t="e">
        <v>#N/A</v>
      </c>
    </row>
    <row r="1171" spans="1:11" ht="30" hidden="1" x14ac:dyDescent="0.25">
      <c r="A1171" s="2" t="s">
        <v>1347</v>
      </c>
      <c r="B1171" s="3">
        <v>66123</v>
      </c>
      <c r="C1171" s="4" t="s">
        <v>1406</v>
      </c>
      <c r="D1171" s="62" t="e">
        <v>#N/A</v>
      </c>
      <c r="E1171" s="55" t="e">
        <v>#N/A</v>
      </c>
      <c r="F1171" s="55" t="e">
        <v>#N/A</v>
      </c>
      <c r="G1171" s="55" t="e">
        <v>#N/A</v>
      </c>
      <c r="H1171" s="55" t="e">
        <v>#N/A</v>
      </c>
      <c r="I1171" s="55" t="e">
        <v>#N/A</v>
      </c>
      <c r="J1171" s="55" t="e">
        <v>#N/A</v>
      </c>
      <c r="K1171" s="55" t="e">
        <v>#N/A</v>
      </c>
    </row>
    <row r="1172" spans="1:11" ht="45" hidden="1" x14ac:dyDescent="0.25">
      <c r="A1172" s="2" t="s">
        <v>1347</v>
      </c>
      <c r="B1172" s="3">
        <v>66124</v>
      </c>
      <c r="C1172" s="4" t="s">
        <v>1407</v>
      </c>
      <c r="D1172" s="62" t="e">
        <v>#N/A</v>
      </c>
      <c r="E1172" s="55" t="e">
        <v>#N/A</v>
      </c>
      <c r="F1172" s="55" t="e">
        <v>#N/A</v>
      </c>
      <c r="G1172" s="55" t="e">
        <v>#N/A</v>
      </c>
      <c r="H1172" s="55" t="e">
        <v>#N/A</v>
      </c>
      <c r="I1172" s="55" t="e">
        <v>#N/A</v>
      </c>
      <c r="J1172" s="55" t="e">
        <v>#N/A</v>
      </c>
      <c r="K1172" s="55" t="e">
        <v>#N/A</v>
      </c>
    </row>
    <row r="1173" spans="1:11" ht="60" hidden="1" x14ac:dyDescent="0.25">
      <c r="A1173" s="2" t="s">
        <v>1347</v>
      </c>
      <c r="B1173" s="3">
        <v>66125</v>
      </c>
      <c r="C1173" s="4" t="s">
        <v>1408</v>
      </c>
      <c r="D1173" s="62" t="e">
        <v>#N/A</v>
      </c>
      <c r="E1173" s="55" t="e">
        <v>#N/A</v>
      </c>
      <c r="F1173" s="55" t="e">
        <v>#N/A</v>
      </c>
      <c r="G1173" s="55" t="e">
        <v>#N/A</v>
      </c>
      <c r="H1173" s="55" t="e">
        <v>#N/A</v>
      </c>
      <c r="I1173" s="55" t="e">
        <v>#N/A</v>
      </c>
      <c r="J1173" s="55" t="e">
        <v>#N/A</v>
      </c>
      <c r="K1173" s="55" t="e">
        <v>#N/A</v>
      </c>
    </row>
    <row r="1174" spans="1:11" ht="45" hidden="1" x14ac:dyDescent="0.25">
      <c r="A1174" s="2" t="s">
        <v>1347</v>
      </c>
      <c r="B1174" s="3">
        <v>66126</v>
      </c>
      <c r="C1174" s="4" t="s">
        <v>1409</v>
      </c>
      <c r="D1174" s="62" t="e">
        <v>#N/A</v>
      </c>
      <c r="E1174" s="55" t="e">
        <v>#N/A</v>
      </c>
      <c r="F1174" s="55" t="e">
        <v>#N/A</v>
      </c>
      <c r="G1174" s="55" t="e">
        <v>#N/A</v>
      </c>
      <c r="H1174" s="55" t="e">
        <v>#N/A</v>
      </c>
      <c r="I1174" s="55" t="e">
        <v>#N/A</v>
      </c>
      <c r="J1174" s="55" t="e">
        <v>#N/A</v>
      </c>
      <c r="K1174" s="55" t="e">
        <v>#N/A</v>
      </c>
    </row>
    <row r="1175" spans="1:11" ht="30" hidden="1" x14ac:dyDescent="0.25">
      <c r="A1175" s="2" t="s">
        <v>1347</v>
      </c>
      <c r="B1175" s="3">
        <v>66127</v>
      </c>
      <c r="C1175" s="4" t="s">
        <v>1410</v>
      </c>
      <c r="D1175" s="62" t="e">
        <v>#N/A</v>
      </c>
      <c r="E1175" s="55" t="e">
        <v>#N/A</v>
      </c>
      <c r="F1175" s="55" t="e">
        <v>#N/A</v>
      </c>
      <c r="G1175" s="55" t="e">
        <v>#N/A</v>
      </c>
      <c r="H1175" s="55" t="e">
        <v>#N/A</v>
      </c>
      <c r="I1175" s="55" t="e">
        <v>#N/A</v>
      </c>
      <c r="J1175" s="55" t="e">
        <v>#N/A</v>
      </c>
      <c r="K1175" s="55" t="e">
        <v>#N/A</v>
      </c>
    </row>
    <row r="1176" spans="1:11" ht="45" hidden="1" x14ac:dyDescent="0.25">
      <c r="A1176" s="2" t="s">
        <v>1347</v>
      </c>
      <c r="B1176" s="3">
        <v>66129</v>
      </c>
      <c r="C1176" s="4" t="s">
        <v>1411</v>
      </c>
      <c r="D1176" s="62" t="e">
        <v>#N/A</v>
      </c>
      <c r="E1176" s="55" t="e">
        <v>#N/A</v>
      </c>
      <c r="F1176" s="55" t="e">
        <v>#N/A</v>
      </c>
      <c r="G1176" s="55" t="e">
        <v>#N/A</v>
      </c>
      <c r="H1176" s="55" t="e">
        <v>#N/A</v>
      </c>
      <c r="I1176" s="55" t="e">
        <v>#N/A</v>
      </c>
      <c r="J1176" s="55" t="e">
        <v>#N/A</v>
      </c>
      <c r="K1176" s="55" t="e">
        <v>#N/A</v>
      </c>
    </row>
    <row r="1177" spans="1:11" ht="45" hidden="1" x14ac:dyDescent="0.25">
      <c r="A1177" s="2" t="s">
        <v>1347</v>
      </c>
      <c r="B1177" s="3">
        <v>66131</v>
      </c>
      <c r="C1177" s="4" t="s">
        <v>1412</v>
      </c>
      <c r="D1177" s="62" t="e">
        <v>#N/A</v>
      </c>
      <c r="E1177" s="55" t="e">
        <v>#N/A</v>
      </c>
      <c r="F1177" s="55" t="e">
        <v>#N/A</v>
      </c>
      <c r="G1177" s="55" t="e">
        <v>#N/A</v>
      </c>
      <c r="H1177" s="55" t="e">
        <v>#N/A</v>
      </c>
      <c r="I1177" s="55" t="e">
        <v>#N/A</v>
      </c>
      <c r="J1177" s="55" t="e">
        <v>#N/A</v>
      </c>
      <c r="K1177" s="55" t="e">
        <v>#N/A</v>
      </c>
    </row>
    <row r="1178" spans="1:11" ht="60" hidden="1" x14ac:dyDescent="0.25">
      <c r="A1178" s="2" t="s">
        <v>1347</v>
      </c>
      <c r="B1178" s="3">
        <v>66132</v>
      </c>
      <c r="C1178" s="4" t="s">
        <v>1413</v>
      </c>
      <c r="D1178" s="62" t="e">
        <v>#N/A</v>
      </c>
      <c r="E1178" s="55" t="e">
        <v>#N/A</v>
      </c>
      <c r="F1178" s="55" t="e">
        <v>#N/A</v>
      </c>
      <c r="G1178" s="55" t="e">
        <v>#N/A</v>
      </c>
      <c r="H1178" s="55" t="e">
        <v>#N/A</v>
      </c>
      <c r="I1178" s="55" t="e">
        <v>#N/A</v>
      </c>
      <c r="J1178" s="55" t="e">
        <v>#N/A</v>
      </c>
      <c r="K1178" s="55" t="e">
        <v>#N/A</v>
      </c>
    </row>
    <row r="1179" spans="1:11" ht="45" hidden="1" x14ac:dyDescent="0.25">
      <c r="A1179" s="2" t="s">
        <v>1347</v>
      </c>
      <c r="B1179" s="3">
        <v>66133</v>
      </c>
      <c r="C1179" s="4" t="s">
        <v>1414</v>
      </c>
      <c r="D1179" s="62" t="e">
        <v>#N/A</v>
      </c>
      <c r="E1179" s="55" t="e">
        <v>#N/A</v>
      </c>
      <c r="F1179" s="55" t="e">
        <v>#N/A</v>
      </c>
      <c r="G1179" s="55" t="e">
        <v>#N/A</v>
      </c>
      <c r="H1179" s="55" t="e">
        <v>#N/A</v>
      </c>
      <c r="I1179" s="55" t="e">
        <v>#N/A</v>
      </c>
      <c r="J1179" s="55" t="e">
        <v>#N/A</v>
      </c>
      <c r="K1179" s="55" t="e">
        <v>#N/A</v>
      </c>
    </row>
    <row r="1180" spans="1:11" ht="30" hidden="1" x14ac:dyDescent="0.25">
      <c r="A1180" s="2" t="s">
        <v>1347</v>
      </c>
      <c r="B1180" s="3">
        <v>66141</v>
      </c>
      <c r="C1180" s="4" t="s">
        <v>1415</v>
      </c>
      <c r="D1180" s="62" t="e">
        <v>#N/A</v>
      </c>
      <c r="E1180" s="55" t="e">
        <v>#N/A</v>
      </c>
      <c r="F1180" s="55" t="e">
        <v>#N/A</v>
      </c>
      <c r="G1180" s="55" t="e">
        <v>#N/A</v>
      </c>
      <c r="H1180" s="55" t="e">
        <v>#N/A</v>
      </c>
      <c r="I1180" s="55" t="e">
        <v>#N/A</v>
      </c>
      <c r="J1180" s="55" t="e">
        <v>#N/A</v>
      </c>
      <c r="K1180" s="55" t="e">
        <v>#N/A</v>
      </c>
    </row>
    <row r="1181" spans="1:11" ht="45" hidden="1" x14ac:dyDescent="0.25">
      <c r="A1181" s="2" t="s">
        <v>1347</v>
      </c>
      <c r="B1181" s="3">
        <v>66142</v>
      </c>
      <c r="C1181" s="4" t="s">
        <v>1416</v>
      </c>
      <c r="D1181" s="62" t="e">
        <v>#N/A</v>
      </c>
      <c r="E1181" s="55" t="e">
        <v>#N/A</v>
      </c>
      <c r="F1181" s="55" t="e">
        <v>#N/A</v>
      </c>
      <c r="G1181" s="55" t="e">
        <v>#N/A</v>
      </c>
      <c r="H1181" s="55" t="e">
        <v>#N/A</v>
      </c>
      <c r="I1181" s="55" t="e">
        <v>#N/A</v>
      </c>
      <c r="J1181" s="55" t="e">
        <v>#N/A</v>
      </c>
      <c r="K1181" s="55" t="e">
        <v>#N/A</v>
      </c>
    </row>
    <row r="1182" spans="1:11" ht="45" hidden="1" x14ac:dyDescent="0.25">
      <c r="A1182" s="2" t="s">
        <v>1347</v>
      </c>
      <c r="B1182" s="3">
        <v>66143</v>
      </c>
      <c r="C1182" s="4" t="s">
        <v>1417</v>
      </c>
      <c r="D1182" s="62" t="e">
        <v>#N/A</v>
      </c>
      <c r="E1182" s="55" t="e">
        <v>#N/A</v>
      </c>
      <c r="F1182" s="55" t="e">
        <v>#N/A</v>
      </c>
      <c r="G1182" s="55" t="e">
        <v>#N/A</v>
      </c>
      <c r="H1182" s="55" t="e">
        <v>#N/A</v>
      </c>
      <c r="I1182" s="55" t="e">
        <v>#N/A</v>
      </c>
      <c r="J1182" s="55" t="e">
        <v>#N/A</v>
      </c>
      <c r="K1182" s="55" t="e">
        <v>#N/A</v>
      </c>
    </row>
    <row r="1183" spans="1:11" ht="45" hidden="1" x14ac:dyDescent="0.25">
      <c r="A1183" s="2" t="s">
        <v>1347</v>
      </c>
      <c r="B1183" s="3">
        <v>66144</v>
      </c>
      <c r="C1183" s="4" t="s">
        <v>1418</v>
      </c>
      <c r="D1183" s="62" t="e">
        <v>#N/A</v>
      </c>
      <c r="E1183" s="55" t="e">
        <v>#N/A</v>
      </c>
      <c r="F1183" s="55" t="e">
        <v>#N/A</v>
      </c>
      <c r="G1183" s="55" t="e">
        <v>#N/A</v>
      </c>
      <c r="H1183" s="55" t="e">
        <v>#N/A</v>
      </c>
      <c r="I1183" s="55" t="e">
        <v>#N/A</v>
      </c>
      <c r="J1183" s="55" t="e">
        <v>#N/A</v>
      </c>
      <c r="K1183" s="55" t="e">
        <v>#N/A</v>
      </c>
    </row>
    <row r="1184" spans="1:11" ht="60" hidden="1" x14ac:dyDescent="0.25">
      <c r="A1184" s="2" t="s">
        <v>1347</v>
      </c>
      <c r="B1184" s="3">
        <v>66149</v>
      </c>
      <c r="C1184" s="4" t="s">
        <v>1419</v>
      </c>
      <c r="D1184" s="62" t="e">
        <v>#N/A</v>
      </c>
      <c r="E1184" s="55" t="e">
        <v>#N/A</v>
      </c>
      <c r="F1184" s="55" t="e">
        <v>#N/A</v>
      </c>
      <c r="G1184" s="55" t="e">
        <v>#N/A</v>
      </c>
      <c r="H1184" s="55" t="e">
        <v>#N/A</v>
      </c>
      <c r="I1184" s="55" t="e">
        <v>#N/A</v>
      </c>
      <c r="J1184" s="55" t="e">
        <v>#N/A</v>
      </c>
      <c r="K1184" s="55" t="e">
        <v>#N/A</v>
      </c>
    </row>
    <row r="1185" spans="1:11" ht="30" hidden="1" x14ac:dyDescent="0.25">
      <c r="A1185" s="2" t="s">
        <v>1347</v>
      </c>
      <c r="B1185" s="3">
        <v>66151</v>
      </c>
      <c r="C1185" s="4" t="s">
        <v>1420</v>
      </c>
      <c r="D1185" s="62" t="e">
        <v>#N/A</v>
      </c>
      <c r="E1185" s="55" t="e">
        <v>#N/A</v>
      </c>
      <c r="F1185" s="55" t="e">
        <v>#N/A</v>
      </c>
      <c r="G1185" s="55" t="e">
        <v>#N/A</v>
      </c>
      <c r="H1185" s="55" t="e">
        <v>#N/A</v>
      </c>
      <c r="I1185" s="55" t="e">
        <v>#N/A</v>
      </c>
      <c r="J1185" s="55" t="e">
        <v>#N/A</v>
      </c>
      <c r="K1185" s="55" t="e">
        <v>#N/A</v>
      </c>
    </row>
    <row r="1186" spans="1:11" ht="60" hidden="1" x14ac:dyDescent="0.25">
      <c r="A1186" s="2" t="s">
        <v>1347</v>
      </c>
      <c r="B1186" s="3">
        <v>66152</v>
      </c>
      <c r="C1186" s="4" t="s">
        <v>1421</v>
      </c>
      <c r="D1186" s="62" t="e">
        <v>#N/A</v>
      </c>
      <c r="E1186" s="55" t="e">
        <v>#N/A</v>
      </c>
      <c r="F1186" s="55" t="e">
        <v>#N/A</v>
      </c>
      <c r="G1186" s="55" t="e">
        <v>#N/A</v>
      </c>
      <c r="H1186" s="55" t="e">
        <v>#N/A</v>
      </c>
      <c r="I1186" s="55" t="e">
        <v>#N/A</v>
      </c>
      <c r="J1186" s="55" t="e">
        <v>#N/A</v>
      </c>
      <c r="K1186" s="55" t="e">
        <v>#N/A</v>
      </c>
    </row>
    <row r="1187" spans="1:11" ht="45" hidden="1" x14ac:dyDescent="0.25">
      <c r="A1187" s="2" t="s">
        <v>1347</v>
      </c>
      <c r="B1187" s="3">
        <v>66153</v>
      </c>
      <c r="C1187" s="4" t="s">
        <v>1422</v>
      </c>
      <c r="D1187" s="62" t="e">
        <v>#N/A</v>
      </c>
      <c r="E1187" s="55" t="e">
        <v>#N/A</v>
      </c>
      <c r="F1187" s="55" t="e">
        <v>#N/A</v>
      </c>
      <c r="G1187" s="55" t="e">
        <v>#N/A</v>
      </c>
      <c r="H1187" s="55" t="e">
        <v>#N/A</v>
      </c>
      <c r="I1187" s="55" t="e">
        <v>#N/A</v>
      </c>
      <c r="J1187" s="55" t="e">
        <v>#N/A</v>
      </c>
      <c r="K1187" s="55" t="e">
        <v>#N/A</v>
      </c>
    </row>
    <row r="1188" spans="1:11" ht="45" hidden="1" x14ac:dyDescent="0.25">
      <c r="A1188" s="2" t="s">
        <v>1347</v>
      </c>
      <c r="B1188" s="3">
        <v>66159</v>
      </c>
      <c r="C1188" s="4" t="s">
        <v>1423</v>
      </c>
      <c r="D1188" s="62" t="e">
        <v>#N/A</v>
      </c>
      <c r="E1188" s="55" t="e">
        <v>#N/A</v>
      </c>
      <c r="F1188" s="55" t="e">
        <v>#N/A</v>
      </c>
      <c r="G1188" s="55" t="e">
        <v>#N/A</v>
      </c>
      <c r="H1188" s="55" t="e">
        <v>#N/A</v>
      </c>
      <c r="I1188" s="55" t="e">
        <v>#N/A</v>
      </c>
      <c r="J1188" s="55" t="e">
        <v>#N/A</v>
      </c>
      <c r="K1188" s="55" t="e">
        <v>#N/A</v>
      </c>
    </row>
    <row r="1189" spans="1:11" ht="60" hidden="1" x14ac:dyDescent="0.25">
      <c r="A1189" s="2" t="s">
        <v>1347</v>
      </c>
      <c r="B1189" s="3">
        <v>66161</v>
      </c>
      <c r="C1189" s="4" t="s">
        <v>1424</v>
      </c>
      <c r="D1189" s="62" t="e">
        <v>#N/A</v>
      </c>
      <c r="E1189" s="55" t="e">
        <v>#N/A</v>
      </c>
      <c r="F1189" s="55" t="e">
        <v>#N/A</v>
      </c>
      <c r="G1189" s="55" t="e">
        <v>#N/A</v>
      </c>
      <c r="H1189" s="55" t="e">
        <v>#N/A</v>
      </c>
      <c r="I1189" s="55" t="e">
        <v>#N/A</v>
      </c>
      <c r="J1189" s="55" t="e">
        <v>#N/A</v>
      </c>
      <c r="K1189" s="55" t="e">
        <v>#N/A</v>
      </c>
    </row>
    <row r="1190" spans="1:11" ht="60" hidden="1" x14ac:dyDescent="0.25">
      <c r="A1190" s="2" t="s">
        <v>1347</v>
      </c>
      <c r="B1190" s="3">
        <v>66162</v>
      </c>
      <c r="C1190" s="4" t="s">
        <v>1424</v>
      </c>
      <c r="D1190" s="62" t="e">
        <v>#N/A</v>
      </c>
      <c r="E1190" s="55" t="e">
        <v>#N/A</v>
      </c>
      <c r="F1190" s="55" t="e">
        <v>#N/A</v>
      </c>
      <c r="G1190" s="55" t="e">
        <v>#N/A</v>
      </c>
      <c r="H1190" s="55" t="e">
        <v>#N/A</v>
      </c>
      <c r="I1190" s="55" t="e">
        <v>#N/A</v>
      </c>
      <c r="J1190" s="55" t="e">
        <v>#N/A</v>
      </c>
      <c r="K1190" s="55" t="e">
        <v>#N/A</v>
      </c>
    </row>
    <row r="1191" spans="1:11" ht="45" hidden="1" x14ac:dyDescent="0.25">
      <c r="A1191" s="2" t="s">
        <v>1347</v>
      </c>
      <c r="B1191" s="3">
        <v>66191</v>
      </c>
      <c r="C1191" s="4" t="s">
        <v>1425</v>
      </c>
      <c r="D1191" s="62" t="e">
        <v>#N/A</v>
      </c>
      <c r="E1191" s="55" t="e">
        <v>#N/A</v>
      </c>
      <c r="F1191" s="55" t="e">
        <v>#N/A</v>
      </c>
      <c r="G1191" s="55" t="e">
        <v>#N/A</v>
      </c>
      <c r="H1191" s="55" t="e">
        <v>#N/A</v>
      </c>
      <c r="I1191" s="55" t="e">
        <v>#N/A</v>
      </c>
      <c r="J1191" s="55" t="e">
        <v>#N/A</v>
      </c>
      <c r="K1191" s="55" t="e">
        <v>#N/A</v>
      </c>
    </row>
    <row r="1192" spans="1:11" ht="60" hidden="1" x14ac:dyDescent="0.25">
      <c r="A1192" s="2" t="s">
        <v>1347</v>
      </c>
      <c r="B1192" s="3">
        <v>66192</v>
      </c>
      <c r="C1192" s="4" t="s">
        <v>1426</v>
      </c>
      <c r="D1192" s="62" t="e">
        <v>#N/A</v>
      </c>
      <c r="E1192" s="55" t="e">
        <v>#N/A</v>
      </c>
      <c r="F1192" s="55" t="e">
        <v>#N/A</v>
      </c>
      <c r="G1192" s="55" t="e">
        <v>#N/A</v>
      </c>
      <c r="H1192" s="55" t="e">
        <v>#N/A</v>
      </c>
      <c r="I1192" s="55" t="e">
        <v>#N/A</v>
      </c>
      <c r="J1192" s="55" t="e">
        <v>#N/A</v>
      </c>
      <c r="K1192" s="55" t="e">
        <v>#N/A</v>
      </c>
    </row>
    <row r="1193" spans="1:11" hidden="1" x14ac:dyDescent="0.25">
      <c r="A1193" s="2" t="s">
        <v>1347</v>
      </c>
      <c r="B1193" s="3">
        <v>66193</v>
      </c>
      <c r="C1193" s="4" t="s">
        <v>1427</v>
      </c>
      <c r="D1193" s="62" t="e">
        <v>#N/A</v>
      </c>
      <c r="E1193" s="55" t="e">
        <v>#N/A</v>
      </c>
      <c r="F1193" s="55" t="e">
        <v>#N/A</v>
      </c>
      <c r="G1193" s="55" t="e">
        <v>#N/A</v>
      </c>
      <c r="H1193" s="55" t="e">
        <v>#N/A</v>
      </c>
      <c r="I1193" s="55" t="e">
        <v>#N/A</v>
      </c>
      <c r="J1193" s="55" t="e">
        <v>#N/A</v>
      </c>
      <c r="K1193" s="55" t="e">
        <v>#N/A</v>
      </c>
    </row>
    <row r="1194" spans="1:11" ht="30" hidden="1" x14ac:dyDescent="0.25">
      <c r="A1194" s="2" t="s">
        <v>1347</v>
      </c>
      <c r="B1194" s="3">
        <v>66194</v>
      </c>
      <c r="C1194" s="4" t="s">
        <v>1428</v>
      </c>
      <c r="D1194" s="62" t="e">
        <v>#N/A</v>
      </c>
      <c r="E1194" s="55" t="e">
        <v>#N/A</v>
      </c>
      <c r="F1194" s="55" t="e">
        <v>#N/A</v>
      </c>
      <c r="G1194" s="55" t="e">
        <v>#N/A</v>
      </c>
      <c r="H1194" s="55" t="e">
        <v>#N/A</v>
      </c>
      <c r="I1194" s="55" t="e">
        <v>#N/A</v>
      </c>
      <c r="J1194" s="55" t="e">
        <v>#N/A</v>
      </c>
      <c r="K1194" s="55" t="e">
        <v>#N/A</v>
      </c>
    </row>
    <row r="1195" spans="1:11" ht="60" hidden="1" x14ac:dyDescent="0.25">
      <c r="A1195" s="2" t="s">
        <v>1347</v>
      </c>
      <c r="B1195" s="3">
        <v>66195</v>
      </c>
      <c r="C1195" s="4" t="s">
        <v>1429</v>
      </c>
      <c r="D1195" s="62" t="e">
        <v>#N/A</v>
      </c>
      <c r="E1195" s="55" t="e">
        <v>#N/A</v>
      </c>
      <c r="F1195" s="55" t="e">
        <v>#N/A</v>
      </c>
      <c r="G1195" s="55" t="e">
        <v>#N/A</v>
      </c>
      <c r="H1195" s="55" t="e">
        <v>#N/A</v>
      </c>
      <c r="I1195" s="55" t="e">
        <v>#N/A</v>
      </c>
      <c r="J1195" s="55" t="e">
        <v>#N/A</v>
      </c>
      <c r="K1195" s="55" t="e">
        <v>#N/A</v>
      </c>
    </row>
    <row r="1196" spans="1:11" ht="30" hidden="1" x14ac:dyDescent="0.25">
      <c r="A1196" s="2" t="s">
        <v>1347</v>
      </c>
      <c r="B1196" s="3">
        <v>66196</v>
      </c>
      <c r="C1196" s="4" t="s">
        <v>1430</v>
      </c>
      <c r="D1196" s="62" t="e">
        <v>#N/A</v>
      </c>
      <c r="E1196" s="55" t="e">
        <v>#N/A</v>
      </c>
      <c r="F1196" s="55" t="e">
        <v>#N/A</v>
      </c>
      <c r="G1196" s="55" t="e">
        <v>#N/A</v>
      </c>
      <c r="H1196" s="55" t="e">
        <v>#N/A</v>
      </c>
      <c r="I1196" s="55" t="e">
        <v>#N/A</v>
      </c>
      <c r="J1196" s="55" t="e">
        <v>#N/A</v>
      </c>
      <c r="K1196" s="55" t="e">
        <v>#N/A</v>
      </c>
    </row>
    <row r="1197" spans="1:11" ht="60" hidden="1" x14ac:dyDescent="0.25">
      <c r="A1197" s="2" t="s">
        <v>1347</v>
      </c>
      <c r="B1197" s="3">
        <v>66197</v>
      </c>
      <c r="C1197" s="4" t="s">
        <v>1431</v>
      </c>
      <c r="D1197" s="62" t="e">
        <v>#N/A</v>
      </c>
      <c r="E1197" s="55" t="e">
        <v>#N/A</v>
      </c>
      <c r="F1197" s="55" t="e">
        <v>#N/A</v>
      </c>
      <c r="G1197" s="55" t="e">
        <v>#N/A</v>
      </c>
      <c r="H1197" s="55" t="e">
        <v>#N/A</v>
      </c>
      <c r="I1197" s="55" t="e">
        <v>#N/A</v>
      </c>
      <c r="J1197" s="55" t="e">
        <v>#N/A</v>
      </c>
      <c r="K1197" s="55" t="e">
        <v>#N/A</v>
      </c>
    </row>
    <row r="1198" spans="1:11" ht="60" hidden="1" x14ac:dyDescent="0.25">
      <c r="A1198" s="2" t="s">
        <v>1347</v>
      </c>
      <c r="B1198" s="3">
        <v>66198</v>
      </c>
      <c r="C1198" s="4" t="s">
        <v>1432</v>
      </c>
      <c r="D1198" s="62" t="e">
        <v>#N/A</v>
      </c>
      <c r="E1198" s="55" t="e">
        <v>#N/A</v>
      </c>
      <c r="F1198" s="55" t="e">
        <v>#N/A</v>
      </c>
      <c r="G1198" s="55" t="e">
        <v>#N/A</v>
      </c>
      <c r="H1198" s="55" t="e">
        <v>#N/A</v>
      </c>
      <c r="I1198" s="55" t="e">
        <v>#N/A</v>
      </c>
      <c r="J1198" s="55" t="e">
        <v>#N/A</v>
      </c>
      <c r="K1198" s="55" t="e">
        <v>#N/A</v>
      </c>
    </row>
    <row r="1199" spans="1:11" ht="60" hidden="1" x14ac:dyDescent="0.25">
      <c r="A1199" s="2" t="s">
        <v>1347</v>
      </c>
      <c r="B1199" s="3">
        <v>66199</v>
      </c>
      <c r="C1199" s="4" t="s">
        <v>1433</v>
      </c>
      <c r="D1199" s="62" t="e">
        <v>#N/A</v>
      </c>
      <c r="E1199" s="55" t="e">
        <v>#N/A</v>
      </c>
      <c r="F1199" s="55" t="e">
        <v>#N/A</v>
      </c>
      <c r="G1199" s="55" t="e">
        <v>#N/A</v>
      </c>
      <c r="H1199" s="55" t="e">
        <v>#N/A</v>
      </c>
      <c r="I1199" s="55" t="e">
        <v>#N/A</v>
      </c>
      <c r="J1199" s="55" t="e">
        <v>#N/A</v>
      </c>
      <c r="K1199" s="55" t="e">
        <v>#N/A</v>
      </c>
    </row>
    <row r="1200" spans="1:11" ht="30" hidden="1" x14ac:dyDescent="0.25">
      <c r="A1200" s="2" t="s">
        <v>1347</v>
      </c>
      <c r="B1200" s="3">
        <v>66211</v>
      </c>
      <c r="C1200" s="4" t="s">
        <v>1434</v>
      </c>
      <c r="D1200" s="62" t="e">
        <v>#N/A</v>
      </c>
      <c r="E1200" s="55" t="e">
        <v>#N/A</v>
      </c>
      <c r="F1200" s="55" t="e">
        <v>#N/A</v>
      </c>
      <c r="G1200" s="55" t="e">
        <v>#N/A</v>
      </c>
      <c r="H1200" s="55" t="e">
        <v>#N/A</v>
      </c>
      <c r="I1200" s="55" t="e">
        <v>#N/A</v>
      </c>
      <c r="J1200" s="55" t="e">
        <v>#N/A</v>
      </c>
      <c r="K1200" s="55" t="e">
        <v>#N/A</v>
      </c>
    </row>
    <row r="1201" spans="1:11" ht="30" hidden="1" x14ac:dyDescent="0.25">
      <c r="A1201" s="2" t="s">
        <v>1347</v>
      </c>
      <c r="B1201" s="3">
        <v>66212</v>
      </c>
      <c r="C1201" s="4" t="s">
        <v>1435</v>
      </c>
      <c r="D1201" s="62" t="e">
        <v>#N/A</v>
      </c>
      <c r="E1201" s="55" t="e">
        <v>#N/A</v>
      </c>
      <c r="F1201" s="55" t="e">
        <v>#N/A</v>
      </c>
      <c r="G1201" s="55" t="e">
        <v>#N/A</v>
      </c>
      <c r="H1201" s="55" t="e">
        <v>#N/A</v>
      </c>
      <c r="I1201" s="55" t="e">
        <v>#N/A</v>
      </c>
      <c r="J1201" s="55" t="e">
        <v>#N/A</v>
      </c>
      <c r="K1201" s="55" t="e">
        <v>#N/A</v>
      </c>
    </row>
    <row r="1202" spans="1:11" ht="30" hidden="1" x14ac:dyDescent="0.25">
      <c r="A1202" s="2" t="s">
        <v>1347</v>
      </c>
      <c r="B1202" s="3">
        <v>66221</v>
      </c>
      <c r="C1202" s="4" t="s">
        <v>1436</v>
      </c>
      <c r="D1202" s="62" t="e">
        <v>#N/A</v>
      </c>
      <c r="E1202" s="55" t="e">
        <v>#N/A</v>
      </c>
      <c r="F1202" s="55" t="e">
        <v>#N/A</v>
      </c>
      <c r="G1202" s="55" t="e">
        <v>#N/A</v>
      </c>
      <c r="H1202" s="55" t="e">
        <v>#N/A</v>
      </c>
      <c r="I1202" s="55" t="e">
        <v>#N/A</v>
      </c>
      <c r="J1202" s="55" t="e">
        <v>#N/A</v>
      </c>
      <c r="K1202" s="55" t="e">
        <v>#N/A</v>
      </c>
    </row>
    <row r="1203" spans="1:11" ht="30" hidden="1" x14ac:dyDescent="0.25">
      <c r="A1203" s="2" t="s">
        <v>1347</v>
      </c>
      <c r="B1203" s="3">
        <v>66222</v>
      </c>
      <c r="C1203" s="4" t="s">
        <v>1437</v>
      </c>
      <c r="D1203" s="62" t="e">
        <v>#N/A</v>
      </c>
      <c r="E1203" s="55" t="e">
        <v>#N/A</v>
      </c>
      <c r="F1203" s="55" t="e">
        <v>#N/A</v>
      </c>
      <c r="G1203" s="55" t="e">
        <v>#N/A</v>
      </c>
      <c r="H1203" s="55" t="e">
        <v>#N/A</v>
      </c>
      <c r="I1203" s="55" t="e">
        <v>#N/A</v>
      </c>
      <c r="J1203" s="55" t="e">
        <v>#N/A</v>
      </c>
      <c r="K1203" s="55" t="e">
        <v>#N/A</v>
      </c>
    </row>
    <row r="1204" spans="1:11" ht="30" hidden="1" x14ac:dyDescent="0.25">
      <c r="A1204" s="2" t="s">
        <v>1347</v>
      </c>
      <c r="B1204" s="3">
        <v>66223</v>
      </c>
      <c r="C1204" s="4" t="s">
        <v>1438</v>
      </c>
      <c r="D1204" s="62" t="e">
        <v>#N/A</v>
      </c>
      <c r="E1204" s="55" t="e">
        <v>#N/A</v>
      </c>
      <c r="F1204" s="55" t="e">
        <v>#N/A</v>
      </c>
      <c r="G1204" s="55" t="e">
        <v>#N/A</v>
      </c>
      <c r="H1204" s="55" t="e">
        <v>#N/A</v>
      </c>
      <c r="I1204" s="55" t="e">
        <v>#N/A</v>
      </c>
      <c r="J1204" s="55" t="e">
        <v>#N/A</v>
      </c>
      <c r="K1204" s="55" t="e">
        <v>#N/A</v>
      </c>
    </row>
    <row r="1205" spans="1:11" ht="30" hidden="1" x14ac:dyDescent="0.25">
      <c r="A1205" s="2" t="s">
        <v>1347</v>
      </c>
      <c r="B1205" s="3">
        <v>66224</v>
      </c>
      <c r="C1205" s="4" t="s">
        <v>1439</v>
      </c>
      <c r="D1205" s="62" t="e">
        <v>#N/A</v>
      </c>
      <c r="E1205" s="55" t="e">
        <v>#N/A</v>
      </c>
      <c r="F1205" s="55" t="e">
        <v>#N/A</v>
      </c>
      <c r="G1205" s="55" t="e">
        <v>#N/A</v>
      </c>
      <c r="H1205" s="55" t="e">
        <v>#N/A</v>
      </c>
      <c r="I1205" s="55" t="e">
        <v>#N/A</v>
      </c>
      <c r="J1205" s="55" t="e">
        <v>#N/A</v>
      </c>
      <c r="K1205" s="55" t="e">
        <v>#N/A</v>
      </c>
    </row>
    <row r="1206" spans="1:11" ht="30" hidden="1" x14ac:dyDescent="0.25">
      <c r="A1206" s="2" t="s">
        <v>1347</v>
      </c>
      <c r="B1206" s="3">
        <v>66225</v>
      </c>
      <c r="C1206" s="4" t="s">
        <v>1440</v>
      </c>
      <c r="D1206" s="62" t="e">
        <v>#N/A</v>
      </c>
      <c r="E1206" s="55" t="e">
        <v>#N/A</v>
      </c>
      <c r="F1206" s="55" t="e">
        <v>#N/A</v>
      </c>
      <c r="G1206" s="55" t="e">
        <v>#N/A</v>
      </c>
      <c r="H1206" s="55" t="e">
        <v>#N/A</v>
      </c>
      <c r="I1206" s="55" t="e">
        <v>#N/A</v>
      </c>
      <c r="J1206" s="55" t="e">
        <v>#N/A</v>
      </c>
      <c r="K1206" s="55" t="e">
        <v>#N/A</v>
      </c>
    </row>
    <row r="1207" spans="1:11" ht="30" hidden="1" x14ac:dyDescent="0.25">
      <c r="A1207" s="2" t="s">
        <v>1347</v>
      </c>
      <c r="B1207" s="3">
        <v>66226</v>
      </c>
      <c r="C1207" s="4" t="s">
        <v>1441</v>
      </c>
      <c r="D1207" s="62" t="e">
        <v>#N/A</v>
      </c>
      <c r="E1207" s="55" t="e">
        <v>#N/A</v>
      </c>
      <c r="F1207" s="55" t="e">
        <v>#N/A</v>
      </c>
      <c r="G1207" s="55" t="e">
        <v>#N/A</v>
      </c>
      <c r="H1207" s="55" t="e">
        <v>#N/A</v>
      </c>
      <c r="I1207" s="55" t="e">
        <v>#N/A</v>
      </c>
      <c r="J1207" s="55" t="e">
        <v>#N/A</v>
      </c>
      <c r="K1207" s="55" t="e">
        <v>#N/A</v>
      </c>
    </row>
    <row r="1208" spans="1:11" ht="30" hidden="1" x14ac:dyDescent="0.25">
      <c r="A1208" s="2" t="s">
        <v>1347</v>
      </c>
      <c r="B1208" s="3">
        <v>66291</v>
      </c>
      <c r="C1208" s="4" t="s">
        <v>1442</v>
      </c>
      <c r="D1208" s="62" t="e">
        <v>#N/A</v>
      </c>
      <c r="E1208" s="55" t="e">
        <v>#N/A</v>
      </c>
      <c r="F1208" s="55" t="e">
        <v>#N/A</v>
      </c>
      <c r="G1208" s="55" t="e">
        <v>#N/A</v>
      </c>
      <c r="H1208" s="55" t="e">
        <v>#N/A</v>
      </c>
      <c r="I1208" s="55" t="e">
        <v>#N/A</v>
      </c>
      <c r="J1208" s="55" t="e">
        <v>#N/A</v>
      </c>
      <c r="K1208" s="55" t="e">
        <v>#N/A</v>
      </c>
    </row>
    <row r="1209" spans="1:11" ht="60" hidden="1" x14ac:dyDescent="0.25">
      <c r="A1209" s="2" t="s">
        <v>1347</v>
      </c>
      <c r="B1209" s="3">
        <v>66292</v>
      </c>
      <c r="C1209" s="4" t="s">
        <v>1443</v>
      </c>
      <c r="D1209" s="62" t="e">
        <v>#N/A</v>
      </c>
      <c r="E1209" s="55" t="e">
        <v>#N/A</v>
      </c>
      <c r="F1209" s="55" t="e">
        <v>#N/A</v>
      </c>
      <c r="G1209" s="55" t="e">
        <v>#N/A</v>
      </c>
      <c r="H1209" s="55" t="e">
        <v>#N/A</v>
      </c>
      <c r="I1209" s="55" t="e">
        <v>#N/A</v>
      </c>
      <c r="J1209" s="55" t="e">
        <v>#N/A</v>
      </c>
      <c r="K1209" s="55" t="e">
        <v>#N/A</v>
      </c>
    </row>
    <row r="1210" spans="1:11" ht="60" hidden="1" x14ac:dyDescent="0.25">
      <c r="A1210" s="2" t="s">
        <v>1347</v>
      </c>
      <c r="B1210" s="3">
        <v>66299</v>
      </c>
      <c r="C1210" s="4" t="s">
        <v>1444</v>
      </c>
      <c r="D1210" s="62" t="e">
        <v>#N/A</v>
      </c>
      <c r="E1210" s="55" t="e">
        <v>#N/A</v>
      </c>
      <c r="F1210" s="55" t="e">
        <v>#N/A</v>
      </c>
      <c r="G1210" s="55" t="e">
        <v>#N/A</v>
      </c>
      <c r="H1210" s="55" t="e">
        <v>#N/A</v>
      </c>
      <c r="I1210" s="55" t="e">
        <v>#N/A</v>
      </c>
      <c r="J1210" s="55" t="e">
        <v>#N/A</v>
      </c>
      <c r="K1210" s="55" t="e">
        <v>#N/A</v>
      </c>
    </row>
    <row r="1211" spans="1:11" ht="60" hidden="1" x14ac:dyDescent="0.25">
      <c r="A1211" s="2" t="s">
        <v>1347</v>
      </c>
      <c r="B1211" s="3">
        <v>66301</v>
      </c>
      <c r="C1211" s="4" t="s">
        <v>1445</v>
      </c>
      <c r="D1211" s="62" t="e">
        <v>#N/A</v>
      </c>
      <c r="E1211" s="55" t="e">
        <v>#N/A</v>
      </c>
      <c r="F1211" s="55" t="e">
        <v>#N/A</v>
      </c>
      <c r="G1211" s="55" t="e">
        <v>#N/A</v>
      </c>
      <c r="H1211" s="55" t="e">
        <v>#N/A</v>
      </c>
      <c r="I1211" s="55" t="e">
        <v>#N/A</v>
      </c>
      <c r="J1211" s="55" t="e">
        <v>#N/A</v>
      </c>
      <c r="K1211" s="55" t="e">
        <v>#N/A</v>
      </c>
    </row>
    <row r="1212" spans="1:11" ht="45" hidden="1" x14ac:dyDescent="0.25">
      <c r="A1212" s="2" t="s">
        <v>1347</v>
      </c>
      <c r="B1212" s="3">
        <v>66302</v>
      </c>
      <c r="C1212" s="4" t="s">
        <v>1446</v>
      </c>
      <c r="D1212" s="62" t="e">
        <v>#N/A</v>
      </c>
      <c r="E1212" s="55" t="e">
        <v>#N/A</v>
      </c>
      <c r="F1212" s="55" t="e">
        <v>#N/A</v>
      </c>
      <c r="G1212" s="55" t="e">
        <v>#N/A</v>
      </c>
      <c r="H1212" s="55" t="e">
        <v>#N/A</v>
      </c>
      <c r="I1212" s="55" t="e">
        <v>#N/A</v>
      </c>
      <c r="J1212" s="55" t="e">
        <v>#N/A</v>
      </c>
      <c r="K1212" s="55" t="e">
        <v>#N/A</v>
      </c>
    </row>
    <row r="1213" spans="1:11" ht="75" hidden="1" x14ac:dyDescent="0.25">
      <c r="A1213" s="2" t="s">
        <v>1347</v>
      </c>
      <c r="B1213" s="3">
        <v>66303</v>
      </c>
      <c r="C1213" s="4" t="s">
        <v>1447</v>
      </c>
      <c r="D1213" s="62" t="e">
        <v>#N/A</v>
      </c>
      <c r="E1213" s="55" t="e">
        <v>#N/A</v>
      </c>
      <c r="F1213" s="55" t="e">
        <v>#N/A</v>
      </c>
      <c r="G1213" s="55" t="e">
        <v>#N/A</v>
      </c>
      <c r="H1213" s="55" t="e">
        <v>#N/A</v>
      </c>
      <c r="I1213" s="55" t="e">
        <v>#N/A</v>
      </c>
      <c r="J1213" s="55" t="e">
        <v>#N/A</v>
      </c>
      <c r="K1213" s="55" t="e">
        <v>#N/A</v>
      </c>
    </row>
    <row r="1214" spans="1:11" ht="45" hidden="1" x14ac:dyDescent="0.25">
      <c r="A1214" s="2" t="s">
        <v>1347</v>
      </c>
      <c r="B1214" s="3">
        <v>66309</v>
      </c>
      <c r="C1214" s="4" t="s">
        <v>1448</v>
      </c>
      <c r="D1214" s="62" t="e">
        <v>#N/A</v>
      </c>
      <c r="E1214" s="55" t="e">
        <v>#N/A</v>
      </c>
      <c r="F1214" s="55" t="e">
        <v>#N/A</v>
      </c>
      <c r="G1214" s="55" t="e">
        <v>#N/A</v>
      </c>
      <c r="H1214" s="55" t="e">
        <v>#N/A</v>
      </c>
      <c r="I1214" s="55" t="e">
        <v>#N/A</v>
      </c>
      <c r="J1214" s="55" t="e">
        <v>#N/A</v>
      </c>
      <c r="K1214" s="55" t="e">
        <v>#N/A</v>
      </c>
    </row>
    <row r="1215" spans="1:11" ht="60" hidden="1" x14ac:dyDescent="0.25">
      <c r="A1215" s="2" t="s">
        <v>1449</v>
      </c>
      <c r="B1215" s="3">
        <v>68111</v>
      </c>
      <c r="C1215" s="4" t="s">
        <v>1450</v>
      </c>
      <c r="D1215" s="62" t="e">
        <v>#N/A</v>
      </c>
      <c r="E1215" s="55" t="e">
        <v>#N/A</v>
      </c>
      <c r="F1215" s="55" t="e">
        <v>#N/A</v>
      </c>
      <c r="G1215" s="55" t="e">
        <v>#N/A</v>
      </c>
      <c r="H1215" s="55" t="e">
        <v>#N/A</v>
      </c>
      <c r="I1215" s="55" t="e">
        <v>#N/A</v>
      </c>
      <c r="J1215" s="55" t="e">
        <v>#N/A</v>
      </c>
      <c r="K1215" s="55" t="e">
        <v>#N/A</v>
      </c>
    </row>
    <row r="1216" spans="1:11" ht="75" hidden="1" x14ac:dyDescent="0.25">
      <c r="A1216" s="2" t="s">
        <v>1449</v>
      </c>
      <c r="B1216" s="3">
        <v>68112</v>
      </c>
      <c r="C1216" s="4" t="s">
        <v>1451</v>
      </c>
      <c r="D1216" s="62" t="e">
        <v>#N/A</v>
      </c>
      <c r="E1216" s="55" t="e">
        <v>#N/A</v>
      </c>
      <c r="F1216" s="55" t="e">
        <v>#N/A</v>
      </c>
      <c r="G1216" s="55" t="e">
        <v>#N/A</v>
      </c>
      <c r="H1216" s="55" t="e">
        <v>#N/A</v>
      </c>
      <c r="I1216" s="55" t="e">
        <v>#N/A</v>
      </c>
      <c r="J1216" s="55" t="e">
        <v>#N/A</v>
      </c>
      <c r="K1216" s="55" t="e">
        <v>#N/A</v>
      </c>
    </row>
    <row r="1217" spans="1:11" ht="45" hidden="1" x14ac:dyDescent="0.25">
      <c r="A1217" s="2" t="s">
        <v>1449</v>
      </c>
      <c r="B1217" s="3">
        <v>68121</v>
      </c>
      <c r="C1217" s="4" t="s">
        <v>1452</v>
      </c>
      <c r="D1217" s="62" t="e">
        <v>#N/A</v>
      </c>
      <c r="E1217" s="55" t="e">
        <v>#N/A</v>
      </c>
      <c r="F1217" s="55" t="e">
        <v>#N/A</v>
      </c>
      <c r="G1217" s="55" t="e">
        <v>#N/A</v>
      </c>
      <c r="H1217" s="55" t="e">
        <v>#N/A</v>
      </c>
      <c r="I1217" s="55" t="e">
        <v>#N/A</v>
      </c>
      <c r="J1217" s="55" t="e">
        <v>#N/A</v>
      </c>
      <c r="K1217" s="55" t="e">
        <v>#N/A</v>
      </c>
    </row>
    <row r="1218" spans="1:11" ht="30" hidden="1" x14ac:dyDescent="0.25">
      <c r="A1218" s="2" t="s">
        <v>1449</v>
      </c>
      <c r="B1218" s="3">
        <v>68122</v>
      </c>
      <c r="C1218" s="4" t="s">
        <v>1453</v>
      </c>
      <c r="D1218" s="62" t="e">
        <v>#N/A</v>
      </c>
      <c r="E1218" s="55" t="e">
        <v>#N/A</v>
      </c>
      <c r="F1218" s="55" t="e">
        <v>#N/A</v>
      </c>
      <c r="G1218" s="55" t="e">
        <v>#N/A</v>
      </c>
      <c r="H1218" s="55" t="e">
        <v>#N/A</v>
      </c>
      <c r="I1218" s="55" t="e">
        <v>#N/A</v>
      </c>
      <c r="J1218" s="55" t="e">
        <v>#N/A</v>
      </c>
      <c r="K1218" s="55" t="e">
        <v>#N/A</v>
      </c>
    </row>
    <row r="1219" spans="1:11" ht="45" hidden="1" x14ac:dyDescent="0.25">
      <c r="A1219" s="2" t="s">
        <v>1449</v>
      </c>
      <c r="B1219" s="3">
        <v>68123</v>
      </c>
      <c r="C1219" s="4" t="s">
        <v>1454</v>
      </c>
      <c r="D1219" s="62" t="e">
        <v>#N/A</v>
      </c>
      <c r="E1219" s="55" t="e">
        <v>#N/A</v>
      </c>
      <c r="F1219" s="55" t="e">
        <v>#N/A</v>
      </c>
      <c r="G1219" s="55" t="e">
        <v>#N/A</v>
      </c>
      <c r="H1219" s="55" t="e">
        <v>#N/A</v>
      </c>
      <c r="I1219" s="55" t="e">
        <v>#N/A</v>
      </c>
      <c r="J1219" s="55" t="e">
        <v>#N/A</v>
      </c>
      <c r="K1219" s="55" t="e">
        <v>#N/A</v>
      </c>
    </row>
    <row r="1220" spans="1:11" ht="60" hidden="1" x14ac:dyDescent="0.25">
      <c r="A1220" s="2" t="s">
        <v>1449</v>
      </c>
      <c r="B1220" s="3">
        <v>68124</v>
      </c>
      <c r="C1220" s="4" t="s">
        <v>1455</v>
      </c>
      <c r="D1220" s="62" t="e">
        <v>#N/A</v>
      </c>
      <c r="E1220" s="55" t="e">
        <v>#N/A</v>
      </c>
      <c r="F1220" s="55" t="e">
        <v>#N/A</v>
      </c>
      <c r="G1220" s="55" t="e">
        <v>#N/A</v>
      </c>
      <c r="H1220" s="55" t="e">
        <v>#N/A</v>
      </c>
      <c r="I1220" s="55" t="e">
        <v>#N/A</v>
      </c>
      <c r="J1220" s="55" t="e">
        <v>#N/A</v>
      </c>
      <c r="K1220" s="55" t="e">
        <v>#N/A</v>
      </c>
    </row>
    <row r="1221" spans="1:11" ht="45" hidden="1" x14ac:dyDescent="0.25">
      <c r="A1221" s="2" t="s">
        <v>1449</v>
      </c>
      <c r="B1221" s="3">
        <v>68125</v>
      </c>
      <c r="C1221" s="4" t="s">
        <v>1456</v>
      </c>
      <c r="D1221" s="62" t="s">
        <v>1965</v>
      </c>
      <c r="E1221" s="55" t="e">
        <v>#N/A</v>
      </c>
      <c r="F1221" s="55" t="s">
        <v>116</v>
      </c>
      <c r="G1221" s="55">
        <v>0</v>
      </c>
      <c r="H1221" s="55" t="e">
        <v>#N/A</v>
      </c>
      <c r="I1221" s="55" t="e">
        <v>#N/A</v>
      </c>
      <c r="J1221" s="55" t="e">
        <v>#N/A</v>
      </c>
      <c r="K1221" s="55" t="e">
        <v>#N/A</v>
      </c>
    </row>
    <row r="1222" spans="1:11" ht="60" hidden="1" x14ac:dyDescent="0.25">
      <c r="A1222" s="2" t="s">
        <v>1449</v>
      </c>
      <c r="B1222" s="3">
        <v>68126</v>
      </c>
      <c r="C1222" s="4" t="s">
        <v>1457</v>
      </c>
      <c r="D1222" s="62" t="e">
        <v>#N/A</v>
      </c>
      <c r="E1222" s="55" t="e">
        <v>#N/A</v>
      </c>
      <c r="F1222" s="55" t="e">
        <v>#N/A</v>
      </c>
      <c r="G1222" s="55" t="e">
        <v>#N/A</v>
      </c>
      <c r="H1222" s="55" t="e">
        <v>#N/A</v>
      </c>
      <c r="I1222" s="55" t="e">
        <v>#N/A</v>
      </c>
      <c r="J1222" s="55" t="e">
        <v>#N/A</v>
      </c>
      <c r="K1222" s="55" t="e">
        <v>#N/A</v>
      </c>
    </row>
    <row r="1223" spans="1:11" ht="45" hidden="1" x14ac:dyDescent="0.25">
      <c r="A1223" s="2" t="s">
        <v>1449</v>
      </c>
      <c r="B1223" s="3">
        <v>68127</v>
      </c>
      <c r="C1223" s="4" t="s">
        <v>1458</v>
      </c>
      <c r="D1223" s="62" t="e">
        <v>#N/A</v>
      </c>
      <c r="E1223" s="55" t="e">
        <v>#N/A</v>
      </c>
      <c r="F1223" s="55" t="e">
        <v>#N/A</v>
      </c>
      <c r="G1223" s="55" t="e">
        <v>#N/A</v>
      </c>
      <c r="H1223" s="55" t="e">
        <v>#N/A</v>
      </c>
      <c r="I1223" s="55" t="e">
        <v>#N/A</v>
      </c>
      <c r="J1223" s="55" t="e">
        <v>#N/A</v>
      </c>
      <c r="K1223" s="55" t="e">
        <v>#N/A</v>
      </c>
    </row>
    <row r="1224" spans="1:11" ht="60" hidden="1" x14ac:dyDescent="0.25">
      <c r="A1224" s="2" t="s">
        <v>1449</v>
      </c>
      <c r="B1224" s="3">
        <v>68129</v>
      </c>
      <c r="C1224" s="4" t="s">
        <v>1459</v>
      </c>
      <c r="D1224" s="62" t="e">
        <v>#N/A</v>
      </c>
      <c r="E1224" s="55" t="e">
        <v>#N/A</v>
      </c>
      <c r="F1224" s="55" t="e">
        <v>#N/A</v>
      </c>
      <c r="G1224" s="55" t="e">
        <v>#N/A</v>
      </c>
      <c r="H1224" s="55" t="e">
        <v>#N/A</v>
      </c>
      <c r="I1224" s="55" t="e">
        <v>#N/A</v>
      </c>
      <c r="J1224" s="55" t="e">
        <v>#N/A</v>
      </c>
      <c r="K1224" s="55" t="e">
        <v>#N/A</v>
      </c>
    </row>
    <row r="1225" spans="1:11" ht="45" hidden="1" x14ac:dyDescent="0.25">
      <c r="A1225" s="2" t="s">
        <v>1449</v>
      </c>
      <c r="B1225" s="3">
        <v>68210</v>
      </c>
      <c r="C1225" s="4" t="s">
        <v>1460</v>
      </c>
      <c r="D1225" s="62" t="e">
        <v>#N/A</v>
      </c>
      <c r="E1225" s="55" t="e">
        <v>#N/A</v>
      </c>
      <c r="F1225" s="55" t="e">
        <v>#N/A</v>
      </c>
      <c r="G1225" s="55" t="s">
        <v>2090</v>
      </c>
      <c r="H1225" s="55" t="e">
        <v>#N/A</v>
      </c>
      <c r="I1225" s="55" t="e">
        <v>#N/A</v>
      </c>
      <c r="J1225" s="55" t="e">
        <v>#N/A</v>
      </c>
      <c r="K1225" s="55" t="e">
        <v>#N/A</v>
      </c>
    </row>
    <row r="1226" spans="1:11" ht="30" hidden="1" x14ac:dyDescent="0.25">
      <c r="A1226" s="2" t="s">
        <v>1449</v>
      </c>
      <c r="B1226" s="3">
        <v>68291</v>
      </c>
      <c r="C1226" s="4" t="s">
        <v>1461</v>
      </c>
      <c r="D1226" s="62" t="e">
        <v>#N/A</v>
      </c>
      <c r="E1226" s="55" t="e">
        <v>#N/A</v>
      </c>
      <c r="F1226" s="55" t="e">
        <v>#N/A</v>
      </c>
      <c r="G1226" s="55" t="e">
        <v>#N/A</v>
      </c>
      <c r="H1226" s="55" t="e">
        <v>#N/A</v>
      </c>
      <c r="I1226" s="55" t="e">
        <v>#N/A</v>
      </c>
      <c r="J1226" s="55" t="e">
        <v>#N/A</v>
      </c>
      <c r="K1226" s="55" t="e">
        <v>#N/A</v>
      </c>
    </row>
    <row r="1227" spans="1:11" ht="60" hidden="1" x14ac:dyDescent="0.25">
      <c r="A1227" s="2" t="s">
        <v>1449</v>
      </c>
      <c r="B1227" s="3">
        <v>68292</v>
      </c>
      <c r="C1227" s="4" t="s">
        <v>1462</v>
      </c>
      <c r="D1227" s="62" t="e">
        <v>#N/A</v>
      </c>
      <c r="E1227" s="55" t="e">
        <v>#N/A</v>
      </c>
      <c r="F1227" s="55" t="e">
        <v>#N/A</v>
      </c>
      <c r="G1227" s="55" t="e">
        <v>#N/A</v>
      </c>
      <c r="H1227" s="55" t="e">
        <v>#N/A</v>
      </c>
      <c r="I1227" s="55" t="e">
        <v>#N/A</v>
      </c>
      <c r="J1227" s="55" t="e">
        <v>#N/A</v>
      </c>
      <c r="K1227" s="55" t="e">
        <v>#N/A</v>
      </c>
    </row>
    <row r="1228" spans="1:11" ht="60" hidden="1" x14ac:dyDescent="0.25">
      <c r="A1228" s="2" t="s">
        <v>1449</v>
      </c>
      <c r="B1228" s="3">
        <v>68299</v>
      </c>
      <c r="C1228" s="4" t="s">
        <v>1463</v>
      </c>
      <c r="D1228" s="62" t="e">
        <v>#N/A</v>
      </c>
      <c r="E1228" s="55" t="e">
        <v>#N/A</v>
      </c>
      <c r="F1228" s="55" t="e">
        <v>#N/A</v>
      </c>
      <c r="G1228" s="55" t="e">
        <v>#N/A</v>
      </c>
      <c r="H1228" s="55" t="e">
        <v>#N/A</v>
      </c>
      <c r="I1228" s="55" t="e">
        <v>#N/A</v>
      </c>
      <c r="J1228" s="55" t="e">
        <v>#N/A</v>
      </c>
      <c r="K1228" s="55" t="e">
        <v>#N/A</v>
      </c>
    </row>
    <row r="1229" spans="1:11" ht="30" hidden="1" x14ac:dyDescent="0.25">
      <c r="A1229" s="2" t="s">
        <v>1464</v>
      </c>
      <c r="B1229" s="3">
        <v>69101</v>
      </c>
      <c r="C1229" s="4" t="s">
        <v>1465</v>
      </c>
      <c r="D1229" s="62" t="e">
        <v>#N/A</v>
      </c>
      <c r="E1229" s="55" t="e">
        <v>#N/A</v>
      </c>
      <c r="F1229" s="55" t="e">
        <v>#N/A</v>
      </c>
      <c r="G1229" s="55" t="e">
        <v>#N/A</v>
      </c>
      <c r="H1229" s="55" t="e">
        <v>#N/A</v>
      </c>
      <c r="I1229" s="55" t="e">
        <v>#N/A</v>
      </c>
      <c r="J1229" s="55" t="e">
        <v>#N/A</v>
      </c>
      <c r="K1229" s="55" t="e">
        <v>#N/A</v>
      </c>
    </row>
    <row r="1230" spans="1:11" ht="30" hidden="1" x14ac:dyDescent="0.25">
      <c r="A1230" s="2" t="s">
        <v>1464</v>
      </c>
      <c r="B1230" s="3">
        <v>69102</v>
      </c>
      <c r="C1230" s="4" t="s">
        <v>1466</v>
      </c>
      <c r="D1230" s="62" t="e">
        <v>#N/A</v>
      </c>
      <c r="E1230" s="55" t="e">
        <v>#N/A</v>
      </c>
      <c r="F1230" s="55" t="e">
        <v>#N/A</v>
      </c>
      <c r="G1230" s="55" t="e">
        <v>#N/A</v>
      </c>
      <c r="H1230" s="55" t="e">
        <v>#N/A</v>
      </c>
      <c r="I1230" s="55" t="e">
        <v>#N/A</v>
      </c>
      <c r="J1230" s="55" t="e">
        <v>#N/A</v>
      </c>
      <c r="K1230" s="55" t="e">
        <v>#N/A</v>
      </c>
    </row>
    <row r="1231" spans="1:11" ht="60" hidden="1" x14ac:dyDescent="0.25">
      <c r="A1231" s="2" t="s">
        <v>1464</v>
      </c>
      <c r="B1231" s="3">
        <v>69103</v>
      </c>
      <c r="C1231" s="4" t="s">
        <v>1467</v>
      </c>
      <c r="D1231" s="62" t="e">
        <v>#N/A</v>
      </c>
      <c r="E1231" s="55" t="e">
        <v>#N/A</v>
      </c>
      <c r="F1231" s="55" t="e">
        <v>#N/A</v>
      </c>
      <c r="G1231" s="55" t="e">
        <v>#N/A</v>
      </c>
      <c r="H1231" s="55" t="e">
        <v>#N/A</v>
      </c>
      <c r="I1231" s="55" t="e">
        <v>#N/A</v>
      </c>
      <c r="J1231" s="55" t="e">
        <v>#N/A</v>
      </c>
      <c r="K1231" s="55" t="e">
        <v>#N/A</v>
      </c>
    </row>
    <row r="1232" spans="1:11" ht="60" hidden="1" x14ac:dyDescent="0.25">
      <c r="A1232" s="2" t="s">
        <v>1464</v>
      </c>
      <c r="B1232" s="3">
        <v>69104</v>
      </c>
      <c r="C1232" s="4" t="s">
        <v>1468</v>
      </c>
      <c r="D1232" s="62" t="e">
        <v>#N/A</v>
      </c>
      <c r="E1232" s="55" t="e">
        <v>#N/A</v>
      </c>
      <c r="F1232" s="55" t="e">
        <v>#N/A</v>
      </c>
      <c r="G1232" s="55" t="e">
        <v>#N/A</v>
      </c>
      <c r="H1232" s="55" t="e">
        <v>#N/A</v>
      </c>
      <c r="I1232" s="55" t="e">
        <v>#N/A</v>
      </c>
      <c r="J1232" s="55" t="e">
        <v>#N/A</v>
      </c>
      <c r="K1232" s="55" t="e">
        <v>#N/A</v>
      </c>
    </row>
    <row r="1233" spans="1:11" ht="60" hidden="1" x14ac:dyDescent="0.25">
      <c r="A1233" s="2" t="s">
        <v>1464</v>
      </c>
      <c r="B1233" s="3">
        <v>69201</v>
      </c>
      <c r="C1233" s="4" t="s">
        <v>1469</v>
      </c>
      <c r="D1233" s="62" t="e">
        <v>#N/A</v>
      </c>
      <c r="E1233" s="55" t="e">
        <v>#N/A</v>
      </c>
      <c r="F1233" s="55" t="e">
        <v>#N/A</v>
      </c>
      <c r="G1233" s="55" t="e">
        <v>#N/A</v>
      </c>
      <c r="H1233" s="55" t="e">
        <v>#N/A</v>
      </c>
      <c r="I1233" s="55" t="e">
        <v>#N/A</v>
      </c>
      <c r="J1233" s="55" t="e">
        <v>#N/A</v>
      </c>
      <c r="K1233" s="55" t="e">
        <v>#N/A</v>
      </c>
    </row>
    <row r="1234" spans="1:11" ht="30" hidden="1" x14ac:dyDescent="0.25">
      <c r="A1234" s="2" t="s">
        <v>1464</v>
      </c>
      <c r="B1234" s="3">
        <v>69202</v>
      </c>
      <c r="C1234" s="4" t="s">
        <v>1470</v>
      </c>
      <c r="D1234" s="62" t="e">
        <v>#N/A</v>
      </c>
      <c r="E1234" s="55" t="e">
        <v>#N/A</v>
      </c>
      <c r="F1234" s="55" t="e">
        <v>#N/A</v>
      </c>
      <c r="G1234" s="55" t="e">
        <v>#N/A</v>
      </c>
      <c r="H1234" s="55" t="e">
        <v>#N/A</v>
      </c>
      <c r="I1234" s="55" t="e">
        <v>#N/A</v>
      </c>
      <c r="J1234" s="55" t="e">
        <v>#N/A</v>
      </c>
      <c r="K1234" s="55" t="e">
        <v>#N/A</v>
      </c>
    </row>
    <row r="1235" spans="1:11" ht="30" hidden="1" x14ac:dyDescent="0.25">
      <c r="A1235" s="2" t="s">
        <v>1464</v>
      </c>
      <c r="B1235" s="3">
        <v>70100</v>
      </c>
      <c r="C1235" s="4" t="s">
        <v>1471</v>
      </c>
      <c r="D1235" s="62" t="e">
        <v>#N/A</v>
      </c>
      <c r="E1235" s="55" t="e">
        <v>#N/A</v>
      </c>
      <c r="F1235" s="55" t="e">
        <v>#N/A</v>
      </c>
      <c r="G1235" s="55" t="e">
        <v>#N/A</v>
      </c>
      <c r="H1235" s="55" t="e">
        <v>#N/A</v>
      </c>
      <c r="I1235" s="55" t="e">
        <v>#N/A</v>
      </c>
      <c r="J1235" s="55" t="e">
        <v>#N/A</v>
      </c>
      <c r="K1235" s="55" t="e">
        <v>#N/A</v>
      </c>
    </row>
    <row r="1236" spans="1:11" ht="60" hidden="1" x14ac:dyDescent="0.25">
      <c r="A1236" s="2" t="s">
        <v>1464</v>
      </c>
      <c r="B1236" s="3">
        <v>70201</v>
      </c>
      <c r="C1236" s="4" t="s">
        <v>1472</v>
      </c>
      <c r="D1236" s="62" t="e">
        <v>#N/A</v>
      </c>
      <c r="E1236" s="55" t="e">
        <v>#N/A</v>
      </c>
      <c r="F1236" s="55" t="e">
        <v>#N/A</v>
      </c>
      <c r="G1236" s="55" t="e">
        <v>#N/A</v>
      </c>
      <c r="H1236" s="55" t="e">
        <v>#N/A</v>
      </c>
      <c r="I1236" s="55" t="e">
        <v>#N/A</v>
      </c>
      <c r="J1236" s="55" t="e">
        <v>#N/A</v>
      </c>
      <c r="K1236" s="55" t="e">
        <v>#N/A</v>
      </c>
    </row>
    <row r="1237" spans="1:11" ht="60" hidden="1" x14ac:dyDescent="0.25">
      <c r="A1237" s="2" t="s">
        <v>1464</v>
      </c>
      <c r="B1237" s="3">
        <v>70202</v>
      </c>
      <c r="C1237" s="4" t="s">
        <v>1473</v>
      </c>
      <c r="D1237" s="62" t="e">
        <v>#N/A</v>
      </c>
      <c r="E1237" s="55" t="e">
        <v>#N/A</v>
      </c>
      <c r="F1237" s="55" t="e">
        <v>#N/A</v>
      </c>
      <c r="G1237" s="55" t="e">
        <v>#N/A</v>
      </c>
      <c r="H1237" s="55" t="e">
        <v>#N/A</v>
      </c>
      <c r="I1237" s="55" t="e">
        <v>#N/A</v>
      </c>
      <c r="J1237" s="55" t="e">
        <v>#N/A</v>
      </c>
      <c r="K1237" s="55" t="e">
        <v>#N/A</v>
      </c>
    </row>
    <row r="1238" spans="1:11" ht="60" hidden="1" x14ac:dyDescent="0.25">
      <c r="A1238" s="2" t="s">
        <v>1464</v>
      </c>
      <c r="B1238" s="3">
        <v>70203</v>
      </c>
      <c r="C1238" s="4" t="s">
        <v>1474</v>
      </c>
      <c r="D1238" s="62" t="e">
        <v>#N/A</v>
      </c>
      <c r="E1238" s="55" t="e">
        <v>#N/A</v>
      </c>
      <c r="F1238" s="55" t="e">
        <v>#N/A</v>
      </c>
      <c r="G1238" s="55" t="e">
        <v>#N/A</v>
      </c>
      <c r="H1238" s="55" t="e">
        <v>#N/A</v>
      </c>
      <c r="I1238" s="55" t="e">
        <v>#N/A</v>
      </c>
      <c r="J1238" s="55" t="e">
        <v>#N/A</v>
      </c>
      <c r="K1238" s="55" t="e">
        <v>#N/A</v>
      </c>
    </row>
    <row r="1239" spans="1:11" ht="60" hidden="1" x14ac:dyDescent="0.25">
      <c r="A1239" s="2" t="s">
        <v>1464</v>
      </c>
      <c r="B1239" s="3">
        <v>70209</v>
      </c>
      <c r="C1239" s="4" t="s">
        <v>1475</v>
      </c>
      <c r="D1239" s="62" t="e">
        <v>#N/A</v>
      </c>
      <c r="E1239" s="55" t="e">
        <v>#N/A</v>
      </c>
      <c r="F1239" s="55" t="e">
        <v>#N/A</v>
      </c>
      <c r="G1239" s="55" t="e">
        <v>#N/A</v>
      </c>
      <c r="H1239" s="55" t="e">
        <v>#N/A</v>
      </c>
      <c r="I1239" s="55" t="e">
        <v>#N/A</v>
      </c>
      <c r="J1239" s="55" t="e">
        <v>#N/A</v>
      </c>
      <c r="K1239" s="55" t="e">
        <v>#N/A</v>
      </c>
    </row>
    <row r="1240" spans="1:11" ht="30" hidden="1" x14ac:dyDescent="0.25">
      <c r="A1240" s="2" t="s">
        <v>1464</v>
      </c>
      <c r="B1240" s="3">
        <v>71101</v>
      </c>
      <c r="C1240" s="4" t="s">
        <v>1476</v>
      </c>
      <c r="D1240" s="62" t="e">
        <v>#N/A</v>
      </c>
      <c r="E1240" s="55" t="e">
        <v>#N/A</v>
      </c>
      <c r="F1240" s="55" t="e">
        <v>#N/A</v>
      </c>
      <c r="G1240" s="55" t="e">
        <v>#N/A</v>
      </c>
      <c r="H1240" s="55" t="e">
        <v>#N/A</v>
      </c>
      <c r="I1240" s="55" t="e">
        <v>#N/A</v>
      </c>
      <c r="J1240" s="55" t="e">
        <v>#N/A</v>
      </c>
      <c r="K1240" s="55" t="e">
        <v>#N/A</v>
      </c>
    </row>
    <row r="1241" spans="1:11" ht="60" hidden="1" x14ac:dyDescent="0.25">
      <c r="A1241" s="2" t="s">
        <v>1464</v>
      </c>
      <c r="B1241" s="3">
        <v>71102</v>
      </c>
      <c r="C1241" s="4" t="s">
        <v>1477</v>
      </c>
      <c r="D1241" s="62" t="e">
        <v>#N/A</v>
      </c>
      <c r="E1241" s="55" t="e">
        <v>#N/A</v>
      </c>
      <c r="F1241" s="55" t="e">
        <v>#N/A</v>
      </c>
      <c r="G1241" s="55" t="e">
        <v>#N/A</v>
      </c>
      <c r="H1241" s="55" t="e">
        <v>#N/A</v>
      </c>
      <c r="I1241" s="55" t="e">
        <v>#N/A</v>
      </c>
      <c r="J1241" s="55" t="e">
        <v>#N/A</v>
      </c>
      <c r="K1241" s="55" t="e">
        <v>#N/A</v>
      </c>
    </row>
    <row r="1242" spans="1:11" ht="60" hidden="1" x14ac:dyDescent="0.25">
      <c r="A1242" s="2" t="s">
        <v>1464</v>
      </c>
      <c r="B1242" s="3">
        <v>71109</v>
      </c>
      <c r="C1242" s="4" t="s">
        <v>1478</v>
      </c>
      <c r="D1242" s="62" t="e">
        <v>#N/A</v>
      </c>
      <c r="E1242" s="55" t="e">
        <v>#N/A</v>
      </c>
      <c r="F1242" s="55" t="e">
        <v>#N/A</v>
      </c>
      <c r="G1242" s="55" t="e">
        <v>#N/A</v>
      </c>
      <c r="H1242" s="55" t="e">
        <v>#N/A</v>
      </c>
      <c r="I1242" s="55" t="e">
        <v>#N/A</v>
      </c>
      <c r="J1242" s="55" t="e">
        <v>#N/A</v>
      </c>
      <c r="K1242" s="55" t="e">
        <v>#N/A</v>
      </c>
    </row>
    <row r="1243" spans="1:11" ht="30" hidden="1" x14ac:dyDescent="0.25">
      <c r="A1243" s="2" t="s">
        <v>1464</v>
      </c>
      <c r="B1243" s="3">
        <v>71201</v>
      </c>
      <c r="C1243" s="4" t="s">
        <v>1479</v>
      </c>
      <c r="D1243" s="62" t="e">
        <v>#N/A</v>
      </c>
      <c r="E1243" s="55" t="e">
        <v>#N/A</v>
      </c>
      <c r="F1243" s="55" t="e">
        <v>#N/A</v>
      </c>
      <c r="G1243" s="55" t="e">
        <v>#N/A</v>
      </c>
      <c r="H1243" s="55" t="e">
        <v>#N/A</v>
      </c>
      <c r="I1243" s="55" t="e">
        <v>#N/A</v>
      </c>
      <c r="J1243" s="55" t="e">
        <v>#N/A</v>
      </c>
      <c r="K1243" s="55" t="e">
        <v>#N/A</v>
      </c>
    </row>
    <row r="1244" spans="1:11" hidden="1" x14ac:dyDescent="0.25">
      <c r="A1244" s="2" t="s">
        <v>1464</v>
      </c>
      <c r="B1244" s="3">
        <v>71202</v>
      </c>
      <c r="C1244" s="4" t="s">
        <v>1480</v>
      </c>
      <c r="D1244" s="62" t="e">
        <v>#N/A</v>
      </c>
      <c r="E1244" s="55" t="e">
        <v>#N/A</v>
      </c>
      <c r="F1244" s="55" t="e">
        <v>#N/A</v>
      </c>
      <c r="G1244" s="55" t="e">
        <v>#N/A</v>
      </c>
      <c r="H1244" s="55" t="e">
        <v>#N/A</v>
      </c>
      <c r="I1244" s="55" t="e">
        <v>#N/A</v>
      </c>
      <c r="J1244" s="55" t="e">
        <v>#N/A</v>
      </c>
      <c r="K1244" s="55" t="e">
        <v>#N/A</v>
      </c>
    </row>
    <row r="1245" spans="1:11" ht="30" hidden="1" x14ac:dyDescent="0.25">
      <c r="A1245" s="2" t="s">
        <v>1464</v>
      </c>
      <c r="B1245" s="3">
        <v>71203</v>
      </c>
      <c r="C1245" s="4" t="s">
        <v>1481</v>
      </c>
      <c r="D1245" s="62" t="e">
        <v>#N/A</v>
      </c>
      <c r="E1245" s="55" t="e">
        <v>#N/A</v>
      </c>
      <c r="F1245" s="55" t="e">
        <v>#N/A</v>
      </c>
      <c r="G1245" s="55" t="e">
        <v>#N/A</v>
      </c>
      <c r="H1245" s="55" t="e">
        <v>#N/A</v>
      </c>
      <c r="I1245" s="55" t="e">
        <v>#N/A</v>
      </c>
      <c r="J1245" s="55" t="e">
        <v>#N/A</v>
      </c>
      <c r="K1245" s="55" t="e">
        <v>#N/A</v>
      </c>
    </row>
    <row r="1246" spans="1:11" ht="30" hidden="1" x14ac:dyDescent="0.25">
      <c r="A1246" s="2" t="s">
        <v>1464</v>
      </c>
      <c r="B1246" s="3">
        <v>71204</v>
      </c>
      <c r="C1246" s="4" t="s">
        <v>1482</v>
      </c>
      <c r="D1246" s="62" t="e">
        <v>#N/A</v>
      </c>
      <c r="E1246" s="55" t="e">
        <v>#N/A</v>
      </c>
      <c r="F1246" s="55" t="e">
        <v>#N/A</v>
      </c>
      <c r="G1246" s="55" t="e">
        <v>#N/A</v>
      </c>
      <c r="H1246" s="55" t="e">
        <v>#N/A</v>
      </c>
      <c r="I1246" s="55" t="e">
        <v>#N/A</v>
      </c>
      <c r="J1246" s="55" t="e">
        <v>#N/A</v>
      </c>
      <c r="K1246" s="55" t="e">
        <v>#N/A</v>
      </c>
    </row>
    <row r="1247" spans="1:11" ht="45" hidden="1" x14ac:dyDescent="0.25">
      <c r="A1247" s="2" t="s">
        <v>1464</v>
      </c>
      <c r="B1247" s="3">
        <v>71209</v>
      </c>
      <c r="C1247" s="4" t="s">
        <v>1483</v>
      </c>
      <c r="D1247" s="62" t="e">
        <v>#N/A</v>
      </c>
      <c r="E1247" s="55" t="e">
        <v>#N/A</v>
      </c>
      <c r="F1247" s="55" t="e">
        <v>#N/A</v>
      </c>
      <c r="G1247" s="55" t="e">
        <v>#N/A</v>
      </c>
      <c r="H1247" s="55" t="e">
        <v>#N/A</v>
      </c>
      <c r="I1247" s="55" t="e">
        <v>#N/A</v>
      </c>
      <c r="J1247" s="55" t="e">
        <v>#N/A</v>
      </c>
      <c r="K1247" s="55" t="e">
        <v>#N/A</v>
      </c>
    </row>
    <row r="1248" spans="1:11" ht="45" hidden="1" x14ac:dyDescent="0.25">
      <c r="A1248" s="2" t="s">
        <v>1464</v>
      </c>
      <c r="B1248" s="3">
        <v>72101</v>
      </c>
      <c r="C1248" s="4" t="s">
        <v>1484</v>
      </c>
      <c r="D1248" s="62" t="e">
        <v>#N/A</v>
      </c>
      <c r="E1248" s="55" t="e">
        <v>#N/A</v>
      </c>
      <c r="F1248" s="55" t="e">
        <v>#N/A</v>
      </c>
      <c r="G1248" s="55" t="e">
        <v>#N/A</v>
      </c>
      <c r="H1248" s="55" t="e">
        <v>#N/A</v>
      </c>
      <c r="I1248" s="55" t="e">
        <v>#N/A</v>
      </c>
      <c r="J1248" s="55" t="e">
        <v>#N/A</v>
      </c>
      <c r="K1248" s="55" t="e">
        <v>#N/A</v>
      </c>
    </row>
    <row r="1249" spans="1:11" ht="60" hidden="1" x14ac:dyDescent="0.25">
      <c r="A1249" s="2" t="s">
        <v>1464</v>
      </c>
      <c r="B1249" s="3">
        <v>72102</v>
      </c>
      <c r="C1249" s="4" t="s">
        <v>1485</v>
      </c>
      <c r="D1249" s="62" t="e">
        <v>#N/A</v>
      </c>
      <c r="E1249" s="55" t="e">
        <v>#N/A</v>
      </c>
      <c r="F1249" s="55" t="e">
        <v>#N/A</v>
      </c>
      <c r="G1249" s="55" t="e">
        <v>#N/A</v>
      </c>
      <c r="H1249" s="55" t="e">
        <v>#N/A</v>
      </c>
      <c r="I1249" s="55" t="e">
        <v>#N/A</v>
      </c>
      <c r="J1249" s="55" t="e">
        <v>#N/A</v>
      </c>
      <c r="K1249" s="55" t="e">
        <v>#N/A</v>
      </c>
    </row>
    <row r="1250" spans="1:11" ht="60" hidden="1" x14ac:dyDescent="0.25">
      <c r="A1250" s="2" t="s">
        <v>1464</v>
      </c>
      <c r="B1250" s="3">
        <v>72103</v>
      </c>
      <c r="C1250" s="4" t="s">
        <v>1486</v>
      </c>
      <c r="D1250" s="62" t="e">
        <v>#N/A</v>
      </c>
      <c r="E1250" s="55" t="e">
        <v>#N/A</v>
      </c>
      <c r="F1250" s="55" t="e">
        <v>#N/A</v>
      </c>
      <c r="G1250" s="55" t="e">
        <v>#N/A</v>
      </c>
      <c r="H1250" s="55" t="e">
        <v>#N/A</v>
      </c>
      <c r="I1250" s="55" t="e">
        <v>#N/A</v>
      </c>
      <c r="J1250" s="55" t="e">
        <v>#N/A</v>
      </c>
      <c r="K1250" s="55" t="e">
        <v>#N/A</v>
      </c>
    </row>
    <row r="1251" spans="1:11" ht="45" hidden="1" x14ac:dyDescent="0.25">
      <c r="A1251" s="2" t="s">
        <v>1464</v>
      </c>
      <c r="B1251" s="3">
        <v>72104</v>
      </c>
      <c r="C1251" s="4" t="s">
        <v>1487</v>
      </c>
      <c r="D1251" s="62" t="e">
        <v>#N/A</v>
      </c>
      <c r="E1251" s="55" t="e">
        <v>#N/A</v>
      </c>
      <c r="F1251" s="55" t="e">
        <v>#N/A</v>
      </c>
      <c r="G1251" s="55" t="e">
        <v>#N/A</v>
      </c>
      <c r="H1251" s="55" t="e">
        <v>#N/A</v>
      </c>
      <c r="I1251" s="55" t="e">
        <v>#N/A</v>
      </c>
      <c r="J1251" s="55" t="e">
        <v>#N/A</v>
      </c>
      <c r="K1251" s="55" t="e">
        <v>#N/A</v>
      </c>
    </row>
    <row r="1252" spans="1:11" ht="60" hidden="1" x14ac:dyDescent="0.25">
      <c r="A1252" s="2" t="s">
        <v>1464</v>
      </c>
      <c r="B1252" s="3">
        <v>72105</v>
      </c>
      <c r="C1252" s="4" t="s">
        <v>1488</v>
      </c>
      <c r="D1252" s="62" t="e">
        <v>#N/A</v>
      </c>
      <c r="E1252" s="55" t="e">
        <v>#N/A</v>
      </c>
      <c r="F1252" s="55" t="e">
        <v>#N/A</v>
      </c>
      <c r="G1252" s="55" t="e">
        <v>#N/A</v>
      </c>
      <c r="H1252" s="55" t="e">
        <v>#N/A</v>
      </c>
      <c r="I1252" s="55" t="e">
        <v>#N/A</v>
      </c>
      <c r="J1252" s="55" t="e">
        <v>#N/A</v>
      </c>
      <c r="K1252" s="55" t="e">
        <v>#N/A</v>
      </c>
    </row>
    <row r="1253" spans="1:11" ht="45" hidden="1" x14ac:dyDescent="0.25">
      <c r="A1253" s="2" t="s">
        <v>1464</v>
      </c>
      <c r="B1253" s="3">
        <v>72106</v>
      </c>
      <c r="C1253" s="4" t="s">
        <v>1489</v>
      </c>
      <c r="D1253" s="62" t="e">
        <v>#N/A</v>
      </c>
      <c r="E1253" s="55" t="e">
        <v>#N/A</v>
      </c>
      <c r="F1253" s="55" t="s">
        <v>2659</v>
      </c>
      <c r="G1253" s="55" t="e">
        <v>#N/A</v>
      </c>
      <c r="H1253" s="55" t="e">
        <v>#N/A</v>
      </c>
      <c r="I1253" s="55" t="e">
        <v>#N/A</v>
      </c>
      <c r="J1253" s="55" t="e">
        <v>#N/A</v>
      </c>
      <c r="K1253" s="55" t="e">
        <v>#N/A</v>
      </c>
    </row>
    <row r="1254" spans="1:11" ht="60" hidden="1" x14ac:dyDescent="0.25">
      <c r="A1254" s="2" t="s">
        <v>1464</v>
      </c>
      <c r="B1254" s="3">
        <v>72109</v>
      </c>
      <c r="C1254" s="4" t="s">
        <v>1490</v>
      </c>
      <c r="D1254" s="62" t="e">
        <v>#N/A</v>
      </c>
      <c r="E1254" s="55" t="e">
        <v>#N/A</v>
      </c>
      <c r="F1254" s="55" t="e">
        <v>#N/A</v>
      </c>
      <c r="G1254" s="55" t="e">
        <v>#N/A</v>
      </c>
      <c r="H1254" s="55" t="e">
        <v>#N/A</v>
      </c>
      <c r="I1254" s="55" t="e">
        <v>#N/A</v>
      </c>
      <c r="J1254" s="55" t="e">
        <v>#N/A</v>
      </c>
      <c r="K1254" s="55" t="e">
        <v>#N/A</v>
      </c>
    </row>
    <row r="1255" spans="1:11" ht="60" hidden="1" x14ac:dyDescent="0.25">
      <c r="A1255" s="2" t="s">
        <v>1464</v>
      </c>
      <c r="B1255" s="3">
        <v>72201</v>
      </c>
      <c r="C1255" s="4" t="s">
        <v>1491</v>
      </c>
      <c r="D1255" s="62" t="e">
        <v>#N/A</v>
      </c>
      <c r="E1255" s="55" t="e">
        <v>#N/A</v>
      </c>
      <c r="F1255" s="55" t="e">
        <v>#N/A</v>
      </c>
      <c r="G1255" s="55" t="e">
        <v>#N/A</v>
      </c>
      <c r="H1255" s="55" t="e">
        <v>#N/A</v>
      </c>
      <c r="I1255" s="55" t="e">
        <v>#N/A</v>
      </c>
      <c r="J1255" s="55" t="e">
        <v>#N/A</v>
      </c>
      <c r="K1255" s="55" t="e">
        <v>#N/A</v>
      </c>
    </row>
    <row r="1256" spans="1:11" ht="45" hidden="1" x14ac:dyDescent="0.25">
      <c r="A1256" s="2" t="s">
        <v>1464</v>
      </c>
      <c r="B1256" s="3">
        <v>72202</v>
      </c>
      <c r="C1256" s="4" t="s">
        <v>1492</v>
      </c>
      <c r="D1256" s="62" t="e">
        <v>#N/A</v>
      </c>
      <c r="E1256" s="55" t="e">
        <v>#N/A</v>
      </c>
      <c r="F1256" s="55" t="e">
        <v>#N/A</v>
      </c>
      <c r="G1256" s="55" t="e">
        <v>#N/A</v>
      </c>
      <c r="H1256" s="55" t="e">
        <v>#N/A</v>
      </c>
      <c r="I1256" s="55" t="e">
        <v>#N/A</v>
      </c>
      <c r="J1256" s="55" t="e">
        <v>#N/A</v>
      </c>
      <c r="K1256" s="55" t="e">
        <v>#N/A</v>
      </c>
    </row>
    <row r="1257" spans="1:11" ht="30" hidden="1" x14ac:dyDescent="0.25">
      <c r="A1257" s="2" t="s">
        <v>1464</v>
      </c>
      <c r="B1257" s="3">
        <v>73100</v>
      </c>
      <c r="C1257" s="4" t="s">
        <v>1493</v>
      </c>
      <c r="D1257" s="62" t="e">
        <v>#N/A</v>
      </c>
      <c r="E1257" s="55" t="e">
        <v>#N/A</v>
      </c>
      <c r="F1257" s="55" t="e">
        <v>#N/A</v>
      </c>
      <c r="G1257" s="55" t="s">
        <v>2090</v>
      </c>
      <c r="H1257" s="55" t="e">
        <v>#N/A</v>
      </c>
      <c r="I1257" s="55" t="e">
        <v>#N/A</v>
      </c>
      <c r="J1257" s="55" t="e">
        <v>#N/A</v>
      </c>
      <c r="K1257" s="55" t="e">
        <v>#N/A</v>
      </c>
    </row>
    <row r="1258" spans="1:11" hidden="1" x14ac:dyDescent="0.25">
      <c r="A1258" s="2" t="s">
        <v>1464</v>
      </c>
      <c r="B1258" s="3">
        <v>73201</v>
      </c>
      <c r="C1258" s="4" t="s">
        <v>1494</v>
      </c>
      <c r="D1258" s="62" t="e">
        <v>#N/A</v>
      </c>
      <c r="E1258" s="55" t="e">
        <v>#N/A</v>
      </c>
      <c r="F1258" s="55" t="e">
        <v>#N/A</v>
      </c>
      <c r="G1258" s="55" t="e">
        <v>#N/A</v>
      </c>
      <c r="H1258" s="55" t="e">
        <v>#N/A</v>
      </c>
      <c r="I1258" s="55" t="e">
        <v>#N/A</v>
      </c>
      <c r="J1258" s="55" t="e">
        <v>#N/A</v>
      </c>
      <c r="K1258" s="55" t="e">
        <v>#N/A</v>
      </c>
    </row>
    <row r="1259" spans="1:11" ht="30" hidden="1" x14ac:dyDescent="0.25">
      <c r="A1259" s="2" t="s">
        <v>1464</v>
      </c>
      <c r="B1259" s="3">
        <v>73202</v>
      </c>
      <c r="C1259" s="4" t="s">
        <v>1495</v>
      </c>
      <c r="D1259" s="62" t="e">
        <v>#N/A</v>
      </c>
      <c r="E1259" s="55" t="e">
        <v>#N/A</v>
      </c>
      <c r="F1259" s="55" t="e">
        <v>#N/A</v>
      </c>
      <c r="G1259" s="55" t="e">
        <v>#N/A</v>
      </c>
      <c r="H1259" s="55" t="e">
        <v>#N/A</v>
      </c>
      <c r="I1259" s="55" t="e">
        <v>#N/A</v>
      </c>
      <c r="J1259" s="55" t="e">
        <v>#N/A</v>
      </c>
      <c r="K1259" s="55" t="e">
        <v>#N/A</v>
      </c>
    </row>
    <row r="1260" spans="1:11" ht="30" hidden="1" x14ac:dyDescent="0.25">
      <c r="A1260" s="2" t="s">
        <v>1464</v>
      </c>
      <c r="B1260" s="3">
        <v>73300</v>
      </c>
      <c r="C1260" s="4" t="s">
        <v>1496</v>
      </c>
      <c r="D1260" s="62" t="e">
        <v>#N/A</v>
      </c>
      <c r="E1260" s="55" t="e">
        <v>#N/A</v>
      </c>
      <c r="F1260" s="55" t="e">
        <v>#N/A</v>
      </c>
      <c r="G1260" s="55" t="e">
        <v>#N/A</v>
      </c>
      <c r="H1260" s="55" t="e">
        <v>#N/A</v>
      </c>
      <c r="I1260" s="55" t="e">
        <v>#N/A</v>
      </c>
      <c r="J1260" s="55" t="e">
        <v>#N/A</v>
      </c>
      <c r="K1260" s="55" t="e">
        <v>#N/A</v>
      </c>
    </row>
    <row r="1261" spans="1:11" ht="45" hidden="1" x14ac:dyDescent="0.25">
      <c r="A1261" s="2" t="s">
        <v>1464</v>
      </c>
      <c r="B1261" s="3">
        <v>74111</v>
      </c>
      <c r="C1261" s="4" t="s">
        <v>1497</v>
      </c>
      <c r="D1261" s="62" t="e">
        <v>#N/A</v>
      </c>
      <c r="E1261" s="55" t="e">
        <v>#N/A</v>
      </c>
      <c r="F1261" s="55" t="e">
        <v>#N/A</v>
      </c>
      <c r="G1261" s="55" t="e">
        <v>#N/A</v>
      </c>
      <c r="H1261" s="55" t="e">
        <v>#N/A</v>
      </c>
      <c r="I1261" s="55" t="e">
        <v>#N/A</v>
      </c>
      <c r="J1261" s="55" t="e">
        <v>#N/A</v>
      </c>
      <c r="K1261" s="55" t="e">
        <v>#N/A</v>
      </c>
    </row>
    <row r="1262" spans="1:11" ht="60" hidden="1" x14ac:dyDescent="0.25">
      <c r="A1262" s="2" t="s">
        <v>1464</v>
      </c>
      <c r="B1262" s="3">
        <v>74112</v>
      </c>
      <c r="C1262" s="4" t="s">
        <v>1498</v>
      </c>
      <c r="D1262" s="62" t="e">
        <v>#N/A</v>
      </c>
      <c r="E1262" s="55" t="e">
        <v>#N/A</v>
      </c>
      <c r="F1262" s="55" t="e">
        <v>#N/A</v>
      </c>
      <c r="G1262" s="55" t="e">
        <v>#N/A</v>
      </c>
      <c r="H1262" s="55" t="e">
        <v>#N/A</v>
      </c>
      <c r="I1262" s="55" t="e">
        <v>#N/A</v>
      </c>
      <c r="J1262" s="55" t="e">
        <v>#N/A</v>
      </c>
      <c r="K1262" s="55" t="e">
        <v>#N/A</v>
      </c>
    </row>
    <row r="1263" spans="1:11" ht="60" hidden="1" x14ac:dyDescent="0.25">
      <c r="A1263" s="2" t="s">
        <v>1464</v>
      </c>
      <c r="B1263" s="3">
        <v>74113</v>
      </c>
      <c r="C1263" s="4" t="s">
        <v>1499</v>
      </c>
      <c r="D1263" s="62" t="e">
        <v>#N/A</v>
      </c>
      <c r="E1263" s="55" t="e">
        <v>#N/A</v>
      </c>
      <c r="F1263" s="55" t="e">
        <v>#N/A</v>
      </c>
      <c r="G1263" s="55" t="e">
        <v>#N/A</v>
      </c>
      <c r="H1263" s="55" t="e">
        <v>#N/A</v>
      </c>
      <c r="I1263" s="55" t="e">
        <v>#N/A</v>
      </c>
      <c r="J1263" s="55" t="e">
        <v>#N/A</v>
      </c>
      <c r="K1263" s="55" t="e">
        <v>#N/A</v>
      </c>
    </row>
    <row r="1264" spans="1:11" ht="45" hidden="1" x14ac:dyDescent="0.25">
      <c r="A1264" s="2" t="s">
        <v>1464</v>
      </c>
      <c r="B1264" s="3">
        <v>74114</v>
      </c>
      <c r="C1264" s="4" t="s">
        <v>1500</v>
      </c>
      <c r="D1264" s="62" t="e">
        <v>#N/A</v>
      </c>
      <c r="E1264" s="55" t="e">
        <v>#N/A</v>
      </c>
      <c r="F1264" s="55" t="e">
        <v>#N/A</v>
      </c>
      <c r="G1264" s="55" t="e">
        <v>#N/A</v>
      </c>
      <c r="H1264" s="55" t="e">
        <v>#N/A</v>
      </c>
      <c r="I1264" s="55" t="e">
        <v>#N/A</v>
      </c>
      <c r="J1264" s="55" t="e">
        <v>#N/A</v>
      </c>
      <c r="K1264" s="55" t="e">
        <v>#N/A</v>
      </c>
    </row>
    <row r="1265" spans="1:11" ht="45" hidden="1" x14ac:dyDescent="0.25">
      <c r="A1265" s="2" t="s">
        <v>1464</v>
      </c>
      <c r="B1265" s="3">
        <v>74115</v>
      </c>
      <c r="C1265" s="4" t="s">
        <v>1501</v>
      </c>
      <c r="D1265" s="62" t="e">
        <v>#N/A</v>
      </c>
      <c r="E1265" s="55" t="e">
        <v>#N/A</v>
      </c>
      <c r="F1265" s="55" t="e">
        <v>#N/A</v>
      </c>
      <c r="G1265" s="55" t="e">
        <v>#N/A</v>
      </c>
      <c r="H1265" s="55" t="e">
        <v>#N/A</v>
      </c>
      <c r="I1265" s="55" t="e">
        <v>#N/A</v>
      </c>
      <c r="J1265" s="55" t="e">
        <v>#N/A</v>
      </c>
      <c r="K1265" s="55" t="e">
        <v>#N/A</v>
      </c>
    </row>
    <row r="1266" spans="1:11" ht="60" hidden="1" x14ac:dyDescent="0.25">
      <c r="A1266" s="2" t="s">
        <v>1464</v>
      </c>
      <c r="B1266" s="3">
        <v>74116</v>
      </c>
      <c r="C1266" s="4" t="s">
        <v>1502</v>
      </c>
      <c r="D1266" s="62" t="e">
        <v>#N/A</v>
      </c>
      <c r="E1266" s="55" t="e">
        <v>#N/A</v>
      </c>
      <c r="F1266" s="55" t="e">
        <v>#N/A</v>
      </c>
      <c r="G1266" s="55" t="e">
        <v>#N/A</v>
      </c>
      <c r="H1266" s="55" t="e">
        <v>#N/A</v>
      </c>
      <c r="I1266" s="55" t="e">
        <v>#N/A</v>
      </c>
      <c r="J1266" s="55" t="e">
        <v>#N/A</v>
      </c>
      <c r="K1266" s="55" t="e">
        <v>#N/A</v>
      </c>
    </row>
    <row r="1267" spans="1:11" ht="45" hidden="1" x14ac:dyDescent="0.25">
      <c r="A1267" s="2" t="s">
        <v>1464</v>
      </c>
      <c r="B1267" s="3">
        <v>74117</v>
      </c>
      <c r="C1267" s="4" t="s">
        <v>1503</v>
      </c>
      <c r="D1267" s="62" t="e">
        <v>#N/A</v>
      </c>
      <c r="E1267" s="55" t="e">
        <v>#N/A</v>
      </c>
      <c r="F1267" s="55" t="e">
        <v>#N/A</v>
      </c>
      <c r="G1267" s="55" t="e">
        <v>#N/A</v>
      </c>
      <c r="H1267" s="55" t="e">
        <v>#N/A</v>
      </c>
      <c r="I1267" s="55" t="e">
        <v>#N/A</v>
      </c>
      <c r="J1267" s="55" t="e">
        <v>#N/A</v>
      </c>
      <c r="K1267" s="55" t="e">
        <v>#N/A</v>
      </c>
    </row>
    <row r="1268" spans="1:11" ht="30" hidden="1" x14ac:dyDescent="0.25">
      <c r="A1268" s="2" t="s">
        <v>1464</v>
      </c>
      <c r="B1268" s="3">
        <v>74118</v>
      </c>
      <c r="C1268" s="4" t="s">
        <v>1504</v>
      </c>
      <c r="D1268" s="62" t="e">
        <v>#N/A</v>
      </c>
      <c r="E1268" s="55" t="e">
        <v>#N/A</v>
      </c>
      <c r="F1268" s="55" t="e">
        <v>#N/A</v>
      </c>
      <c r="G1268" s="55" t="e">
        <v>#N/A</v>
      </c>
      <c r="H1268" s="55" t="e">
        <v>#N/A</v>
      </c>
      <c r="I1268" s="55" t="e">
        <v>#N/A</v>
      </c>
      <c r="J1268" s="55" t="e">
        <v>#N/A</v>
      </c>
      <c r="K1268" s="55" t="e">
        <v>#N/A</v>
      </c>
    </row>
    <row r="1269" spans="1:11" ht="30" hidden="1" x14ac:dyDescent="0.25">
      <c r="A1269" s="2" t="s">
        <v>1464</v>
      </c>
      <c r="B1269" s="3">
        <v>74119</v>
      </c>
      <c r="C1269" s="4" t="s">
        <v>1505</v>
      </c>
      <c r="D1269" s="62" t="e">
        <v>#N/A</v>
      </c>
      <c r="E1269" s="55" t="e">
        <v>#N/A</v>
      </c>
      <c r="F1269" s="55" t="e">
        <v>#N/A</v>
      </c>
      <c r="G1269" s="55" t="e">
        <v>#N/A</v>
      </c>
      <c r="H1269" s="55" t="e">
        <v>#N/A</v>
      </c>
      <c r="I1269" s="55" t="e">
        <v>#N/A</v>
      </c>
      <c r="J1269" s="55" t="e">
        <v>#N/A</v>
      </c>
      <c r="K1269" s="55" t="e">
        <v>#N/A</v>
      </c>
    </row>
    <row r="1270" spans="1:11" ht="30" hidden="1" x14ac:dyDescent="0.25">
      <c r="A1270" s="2" t="s">
        <v>1464</v>
      </c>
      <c r="B1270" s="3">
        <v>74191</v>
      </c>
      <c r="C1270" s="4" t="s">
        <v>1506</v>
      </c>
      <c r="D1270" s="62" t="e">
        <v>#N/A</v>
      </c>
      <c r="E1270" s="55" t="e">
        <v>#N/A</v>
      </c>
      <c r="F1270" s="55" t="e">
        <v>#N/A</v>
      </c>
      <c r="G1270" s="55" t="e">
        <v>#N/A</v>
      </c>
      <c r="H1270" s="55" t="e">
        <v>#N/A</v>
      </c>
      <c r="I1270" s="55" t="e">
        <v>#N/A</v>
      </c>
      <c r="J1270" s="55" t="e">
        <v>#N/A</v>
      </c>
      <c r="K1270" s="55" t="e">
        <v>#N/A</v>
      </c>
    </row>
    <row r="1271" spans="1:11" ht="45" hidden="1" x14ac:dyDescent="0.25">
      <c r="A1271" s="2" t="s">
        <v>1464</v>
      </c>
      <c r="B1271" s="3">
        <v>74192</v>
      </c>
      <c r="C1271" s="4" t="s">
        <v>1507</v>
      </c>
      <c r="D1271" s="62" t="e">
        <v>#N/A</v>
      </c>
      <c r="E1271" s="55" t="e">
        <v>#N/A</v>
      </c>
      <c r="F1271" s="55" t="e">
        <v>#N/A</v>
      </c>
      <c r="G1271" s="55" t="s">
        <v>2090</v>
      </c>
      <c r="H1271" s="55" t="e">
        <v>#N/A</v>
      </c>
      <c r="I1271" s="55" t="e">
        <v>#N/A</v>
      </c>
      <c r="J1271" s="55" t="e">
        <v>#N/A</v>
      </c>
      <c r="K1271" s="55" t="e">
        <v>#N/A</v>
      </c>
    </row>
    <row r="1272" spans="1:11" ht="60" hidden="1" x14ac:dyDescent="0.25">
      <c r="A1272" s="2" t="s">
        <v>1464</v>
      </c>
      <c r="B1272" s="3">
        <v>74193</v>
      </c>
      <c r="C1272" s="4" t="s">
        <v>1508</v>
      </c>
      <c r="D1272" s="62" t="e">
        <v>#N/A</v>
      </c>
      <c r="E1272" s="55" t="e">
        <v>#N/A</v>
      </c>
      <c r="F1272" s="55" t="e">
        <v>#N/A</v>
      </c>
      <c r="G1272" s="55" t="e">
        <v>#N/A</v>
      </c>
      <c r="H1272" s="55" t="e">
        <v>#N/A</v>
      </c>
      <c r="I1272" s="55" t="e">
        <v>#N/A</v>
      </c>
      <c r="J1272" s="55" t="e">
        <v>#N/A</v>
      </c>
      <c r="K1272" s="55" t="e">
        <v>#N/A</v>
      </c>
    </row>
    <row r="1273" spans="1:11" ht="30" hidden="1" x14ac:dyDescent="0.25">
      <c r="A1273" s="2" t="s">
        <v>1464</v>
      </c>
      <c r="B1273" s="3">
        <v>74194</v>
      </c>
      <c r="C1273" s="4" t="s">
        <v>1509</v>
      </c>
      <c r="D1273" s="62" t="e">
        <v>#N/A</v>
      </c>
      <c r="E1273" s="55" t="e">
        <v>#N/A</v>
      </c>
      <c r="F1273" s="55" t="e">
        <v>#N/A</v>
      </c>
      <c r="G1273" s="55" t="e">
        <v>#N/A</v>
      </c>
      <c r="H1273" s="55" t="e">
        <v>#N/A</v>
      </c>
      <c r="I1273" s="55" t="e">
        <v>#N/A</v>
      </c>
      <c r="J1273" s="55" t="e">
        <v>#N/A</v>
      </c>
      <c r="K1273" s="55" t="e">
        <v>#N/A</v>
      </c>
    </row>
    <row r="1274" spans="1:11" ht="30" hidden="1" x14ac:dyDescent="0.25">
      <c r="A1274" s="2" t="s">
        <v>1464</v>
      </c>
      <c r="B1274" s="3">
        <v>74199</v>
      </c>
      <c r="C1274" s="4" t="s">
        <v>1510</v>
      </c>
      <c r="D1274" s="62" t="e">
        <v>#N/A</v>
      </c>
      <c r="E1274" s="55" t="e">
        <v>#N/A</v>
      </c>
      <c r="F1274" s="55" t="e">
        <v>#N/A</v>
      </c>
      <c r="G1274" s="55" t="e">
        <v>#N/A</v>
      </c>
      <c r="H1274" s="55" t="e">
        <v>#N/A</v>
      </c>
      <c r="I1274" s="55" t="e">
        <v>#N/A</v>
      </c>
      <c r="J1274" s="55" t="e">
        <v>#N/A</v>
      </c>
      <c r="K1274" s="55" t="e">
        <v>#N/A</v>
      </c>
    </row>
    <row r="1275" spans="1:11" ht="30" hidden="1" x14ac:dyDescent="0.25">
      <c r="A1275" s="2" t="s">
        <v>1464</v>
      </c>
      <c r="B1275" s="3">
        <v>74201</v>
      </c>
      <c r="C1275" s="4" t="s">
        <v>1511</v>
      </c>
      <c r="D1275" s="62" t="e">
        <v>#N/A</v>
      </c>
      <c r="E1275" s="55" t="e">
        <v>#N/A</v>
      </c>
      <c r="F1275" s="55" t="e">
        <v>#N/A</v>
      </c>
      <c r="G1275" s="55" t="e">
        <v>#N/A</v>
      </c>
      <c r="H1275" s="55" t="e">
        <v>#N/A</v>
      </c>
      <c r="I1275" s="55" t="e">
        <v>#N/A</v>
      </c>
      <c r="J1275" s="55" t="e">
        <v>#N/A</v>
      </c>
      <c r="K1275" s="55" t="e">
        <v>#N/A</v>
      </c>
    </row>
    <row r="1276" spans="1:11" ht="30" hidden="1" x14ac:dyDescent="0.25">
      <c r="A1276" s="2" t="s">
        <v>1464</v>
      </c>
      <c r="B1276" s="3">
        <v>74209</v>
      </c>
      <c r="C1276" s="4" t="s">
        <v>1512</v>
      </c>
      <c r="D1276" s="62" t="e">
        <v>#N/A</v>
      </c>
      <c r="E1276" s="55" t="e">
        <v>#N/A</v>
      </c>
      <c r="F1276" s="55" t="e">
        <v>#N/A</v>
      </c>
      <c r="G1276" s="55" t="s">
        <v>2090</v>
      </c>
      <c r="H1276" s="55" t="e">
        <v>#N/A</v>
      </c>
      <c r="I1276" s="55" t="e">
        <v>#N/A</v>
      </c>
      <c r="J1276" s="55" t="e">
        <v>#N/A</v>
      </c>
      <c r="K1276" s="55" t="e">
        <v>#N/A</v>
      </c>
    </row>
    <row r="1277" spans="1:11" ht="45" hidden="1" x14ac:dyDescent="0.25">
      <c r="A1277" s="2" t="s">
        <v>1464</v>
      </c>
      <c r="B1277" s="3">
        <v>74300</v>
      </c>
      <c r="C1277" s="4" t="s">
        <v>1513</v>
      </c>
      <c r="D1277" s="62" t="e">
        <v>#N/A</v>
      </c>
      <c r="E1277" s="55" t="e">
        <v>#N/A</v>
      </c>
      <c r="F1277" s="55" t="e">
        <v>#N/A</v>
      </c>
      <c r="G1277" s="55" t="e">
        <v>#N/A</v>
      </c>
      <c r="H1277" s="55" t="e">
        <v>#N/A</v>
      </c>
      <c r="I1277" s="55" t="e">
        <v>#N/A</v>
      </c>
      <c r="J1277" s="55" t="e">
        <v>#N/A</v>
      </c>
      <c r="K1277" s="55" t="e">
        <v>#N/A</v>
      </c>
    </row>
    <row r="1278" spans="1:11" ht="45" hidden="1" x14ac:dyDescent="0.25">
      <c r="A1278" s="2" t="s">
        <v>1464</v>
      </c>
      <c r="B1278" s="3">
        <v>74910</v>
      </c>
      <c r="C1278" s="4" t="s">
        <v>1514</v>
      </c>
      <c r="D1278" s="62" t="e">
        <v>#N/A</v>
      </c>
      <c r="E1278" s="55" t="e">
        <v>#N/A</v>
      </c>
      <c r="F1278" s="55" t="e">
        <v>#N/A</v>
      </c>
      <c r="G1278" s="55" t="e">
        <v>#N/A</v>
      </c>
      <c r="H1278" s="55" t="e">
        <v>#N/A</v>
      </c>
      <c r="I1278" s="55" t="e">
        <v>#N/A</v>
      </c>
      <c r="J1278" s="55" t="e">
        <v>#N/A</v>
      </c>
      <c r="K1278" s="55" t="e">
        <v>#N/A</v>
      </c>
    </row>
    <row r="1279" spans="1:11" ht="45" hidden="1" x14ac:dyDescent="0.25">
      <c r="A1279" s="2" t="s">
        <v>1464</v>
      </c>
      <c r="B1279" s="3">
        <v>74991</v>
      </c>
      <c r="C1279" s="4" t="s">
        <v>1515</v>
      </c>
      <c r="D1279" s="62" t="e">
        <v>#N/A</v>
      </c>
      <c r="E1279" s="55" t="e">
        <v>#N/A</v>
      </c>
      <c r="F1279" s="55" t="e">
        <v>#N/A</v>
      </c>
      <c r="G1279" s="55" t="e">
        <v>#N/A</v>
      </c>
      <c r="H1279" s="55" t="e">
        <v>#N/A</v>
      </c>
      <c r="I1279" s="55" t="e">
        <v>#N/A</v>
      </c>
      <c r="J1279" s="55" t="e">
        <v>#N/A</v>
      </c>
      <c r="K1279" s="55" t="e">
        <v>#N/A</v>
      </c>
    </row>
    <row r="1280" spans="1:11" ht="60" hidden="1" x14ac:dyDescent="0.25">
      <c r="A1280" s="2" t="s">
        <v>1464</v>
      </c>
      <c r="B1280" s="3">
        <v>74999</v>
      </c>
      <c r="C1280" s="4" t="s">
        <v>1516</v>
      </c>
      <c r="D1280" s="62" t="e">
        <v>#N/A</v>
      </c>
      <c r="E1280" s="55" t="e">
        <v>#N/A</v>
      </c>
      <c r="F1280" s="55" t="e">
        <v>#N/A</v>
      </c>
      <c r="G1280" s="55" t="e">
        <v>#N/A</v>
      </c>
      <c r="H1280" s="55" t="e">
        <v>#N/A</v>
      </c>
      <c r="I1280" s="55" t="e">
        <v>#N/A</v>
      </c>
      <c r="J1280" s="55" t="e">
        <v>#N/A</v>
      </c>
      <c r="K1280" s="55" t="e">
        <v>#N/A</v>
      </c>
    </row>
    <row r="1281" spans="1:11" ht="45" hidden="1" x14ac:dyDescent="0.25">
      <c r="A1281" s="2" t="s">
        <v>1464</v>
      </c>
      <c r="B1281" s="3">
        <v>75001</v>
      </c>
      <c r="C1281" s="4" t="s">
        <v>1517</v>
      </c>
      <c r="D1281" s="62" t="e">
        <v>#N/A</v>
      </c>
      <c r="E1281" s="55" t="e">
        <v>#N/A</v>
      </c>
      <c r="F1281" s="55" t="e">
        <v>#N/A</v>
      </c>
      <c r="G1281" s="55" t="e">
        <v>#N/A</v>
      </c>
      <c r="H1281" s="55" t="e">
        <v>#N/A</v>
      </c>
      <c r="I1281" s="55" t="e">
        <v>#N/A</v>
      </c>
      <c r="J1281" s="55" t="e">
        <v>#N/A</v>
      </c>
      <c r="K1281" s="55" t="e">
        <v>#N/A</v>
      </c>
    </row>
    <row r="1282" spans="1:11" ht="60" hidden="1" x14ac:dyDescent="0.25">
      <c r="A1282" s="2" t="s">
        <v>1464</v>
      </c>
      <c r="B1282" s="3">
        <v>75002</v>
      </c>
      <c r="C1282" s="4" t="s">
        <v>1518</v>
      </c>
      <c r="D1282" s="62" t="e">
        <v>#N/A</v>
      </c>
      <c r="E1282" s="55" t="e">
        <v>#N/A</v>
      </c>
      <c r="F1282" s="55" t="e">
        <v>#N/A</v>
      </c>
      <c r="G1282" s="55" t="e">
        <v>#N/A</v>
      </c>
      <c r="H1282" s="55" t="e">
        <v>#N/A</v>
      </c>
      <c r="I1282" s="55" t="e">
        <v>#N/A</v>
      </c>
      <c r="J1282" s="55" t="e">
        <v>#N/A</v>
      </c>
      <c r="K1282" s="55" t="e">
        <v>#N/A</v>
      </c>
    </row>
    <row r="1283" spans="1:11" ht="60" hidden="1" x14ac:dyDescent="0.25">
      <c r="A1283" s="2" t="s">
        <v>1464</v>
      </c>
      <c r="B1283" s="3">
        <v>75009</v>
      </c>
      <c r="C1283" s="4" t="s">
        <v>1519</v>
      </c>
      <c r="D1283" s="62" t="e">
        <v>#N/A</v>
      </c>
      <c r="E1283" s="55" t="e">
        <v>#N/A</v>
      </c>
      <c r="F1283" s="55" t="e">
        <v>#N/A</v>
      </c>
      <c r="G1283" s="55" t="e">
        <v>#N/A</v>
      </c>
      <c r="H1283" s="55" t="e">
        <v>#N/A</v>
      </c>
      <c r="I1283" s="55" t="e">
        <v>#N/A</v>
      </c>
      <c r="J1283" s="55" t="e">
        <v>#N/A</v>
      </c>
      <c r="K1283" s="55" t="e">
        <v>#N/A</v>
      </c>
    </row>
    <row r="1284" spans="1:11" ht="60" hidden="1" x14ac:dyDescent="0.25">
      <c r="A1284" s="2" t="s">
        <v>1520</v>
      </c>
      <c r="B1284" s="3">
        <v>77100</v>
      </c>
      <c r="C1284" s="4" t="s">
        <v>1521</v>
      </c>
      <c r="D1284" s="62" t="e">
        <v>#N/A</v>
      </c>
      <c r="E1284" s="55" t="e">
        <v>#N/A</v>
      </c>
      <c r="F1284" s="55" t="e">
        <v>#N/A</v>
      </c>
      <c r="G1284" s="55" t="e">
        <v>#N/A</v>
      </c>
      <c r="H1284" s="55" t="e">
        <v>#N/A</v>
      </c>
      <c r="I1284" s="55" t="e">
        <v>#N/A</v>
      </c>
      <c r="J1284" s="55" t="e">
        <v>#N/A</v>
      </c>
      <c r="K1284" s="55" t="e">
        <v>#N/A</v>
      </c>
    </row>
    <row r="1285" spans="1:11" ht="60" hidden="1" x14ac:dyDescent="0.25">
      <c r="A1285" s="2" t="s">
        <v>1520</v>
      </c>
      <c r="B1285" s="3">
        <v>77210</v>
      </c>
      <c r="C1285" s="4" t="s">
        <v>1522</v>
      </c>
      <c r="D1285" s="62" t="e">
        <v>#N/A</v>
      </c>
      <c r="E1285" s="55" t="e">
        <v>#N/A</v>
      </c>
      <c r="F1285" s="55" t="e">
        <v>#N/A</v>
      </c>
      <c r="G1285" s="55" t="e">
        <v>#N/A</v>
      </c>
      <c r="H1285" s="55" t="e">
        <v>#N/A</v>
      </c>
      <c r="I1285" s="55" t="e">
        <v>#N/A</v>
      </c>
      <c r="J1285" s="55" t="e">
        <v>#N/A</v>
      </c>
      <c r="K1285" s="55" t="e">
        <v>#N/A</v>
      </c>
    </row>
    <row r="1286" spans="1:11" ht="60" hidden="1" x14ac:dyDescent="0.25">
      <c r="A1286" s="2" t="s">
        <v>1520</v>
      </c>
      <c r="B1286" s="3">
        <v>77291</v>
      </c>
      <c r="C1286" s="4" t="s">
        <v>1523</v>
      </c>
      <c r="D1286" s="62" t="e">
        <v>#N/A</v>
      </c>
      <c r="E1286" s="55" t="e">
        <v>#N/A</v>
      </c>
      <c r="F1286" s="55" t="e">
        <v>#N/A</v>
      </c>
      <c r="G1286" s="55" t="e">
        <v>#N/A</v>
      </c>
      <c r="H1286" s="55" t="e">
        <v>#N/A</v>
      </c>
      <c r="I1286" s="55" t="e">
        <v>#N/A</v>
      </c>
      <c r="J1286" s="55" t="e">
        <v>#N/A</v>
      </c>
      <c r="K1286" s="55" t="e">
        <v>#N/A</v>
      </c>
    </row>
    <row r="1287" spans="1:11" ht="30" hidden="1" x14ac:dyDescent="0.25">
      <c r="A1287" s="2" t="s">
        <v>1520</v>
      </c>
      <c r="B1287" s="3">
        <v>77292</v>
      </c>
      <c r="C1287" s="4" t="s">
        <v>1524</v>
      </c>
      <c r="D1287" s="62" t="e">
        <v>#N/A</v>
      </c>
      <c r="E1287" s="55" t="e">
        <v>#N/A</v>
      </c>
      <c r="F1287" s="55" t="e">
        <v>#N/A</v>
      </c>
      <c r="G1287" s="55" t="e">
        <v>#N/A</v>
      </c>
      <c r="H1287" s="55" t="e">
        <v>#N/A</v>
      </c>
      <c r="I1287" s="55" t="e">
        <v>#N/A</v>
      </c>
      <c r="J1287" s="55" t="e">
        <v>#N/A</v>
      </c>
      <c r="K1287" s="55" t="e">
        <v>#N/A</v>
      </c>
    </row>
    <row r="1288" spans="1:11" ht="45" hidden="1" x14ac:dyDescent="0.25">
      <c r="A1288" s="2" t="s">
        <v>1520</v>
      </c>
      <c r="B1288" s="3">
        <v>77293</v>
      </c>
      <c r="C1288" s="4" t="s">
        <v>1525</v>
      </c>
      <c r="D1288" s="62" t="e">
        <v>#N/A</v>
      </c>
      <c r="E1288" s="55" t="e">
        <v>#N/A</v>
      </c>
      <c r="F1288" s="55" t="e">
        <v>#N/A</v>
      </c>
      <c r="G1288" s="55" t="e">
        <v>#N/A</v>
      </c>
      <c r="H1288" s="55" t="e">
        <v>#N/A</v>
      </c>
      <c r="I1288" s="55" t="e">
        <v>#N/A</v>
      </c>
      <c r="J1288" s="55" t="e">
        <v>#N/A</v>
      </c>
      <c r="K1288" s="55" t="e">
        <v>#N/A</v>
      </c>
    </row>
    <row r="1289" spans="1:11" ht="30" hidden="1" x14ac:dyDescent="0.25">
      <c r="A1289" s="2" t="s">
        <v>1520</v>
      </c>
      <c r="B1289" s="3">
        <v>77294</v>
      </c>
      <c r="C1289" s="4" t="s">
        <v>1526</v>
      </c>
      <c r="D1289" s="62" t="e">
        <v>#N/A</v>
      </c>
      <c r="E1289" s="55" t="e">
        <v>#N/A</v>
      </c>
      <c r="F1289" s="55" t="e">
        <v>#N/A</v>
      </c>
      <c r="G1289" s="55" t="e">
        <v>#N/A</v>
      </c>
      <c r="H1289" s="55" t="e">
        <v>#N/A</v>
      </c>
      <c r="I1289" s="55" t="e">
        <v>#N/A</v>
      </c>
      <c r="J1289" s="55" t="e">
        <v>#N/A</v>
      </c>
      <c r="K1289" s="55" t="e">
        <v>#N/A</v>
      </c>
    </row>
    <row r="1290" spans="1:11" ht="60" hidden="1" x14ac:dyDescent="0.25">
      <c r="A1290" s="2" t="s">
        <v>1520</v>
      </c>
      <c r="B1290" s="3">
        <v>77299</v>
      </c>
      <c r="C1290" s="4" t="s">
        <v>1527</v>
      </c>
      <c r="D1290" s="62" t="e">
        <v>#N/A</v>
      </c>
      <c r="E1290" s="55" t="e">
        <v>#N/A</v>
      </c>
      <c r="F1290" s="55" t="e">
        <v>#N/A</v>
      </c>
      <c r="G1290" s="55" t="e">
        <v>#N/A</v>
      </c>
      <c r="H1290" s="55" t="e">
        <v>#N/A</v>
      </c>
      <c r="I1290" s="55" t="e">
        <v>#N/A</v>
      </c>
      <c r="J1290" s="55" t="e">
        <v>#N/A</v>
      </c>
      <c r="K1290" s="55" t="e">
        <v>#N/A</v>
      </c>
    </row>
    <row r="1291" spans="1:11" ht="60" hidden="1" x14ac:dyDescent="0.25">
      <c r="A1291" s="2" t="s">
        <v>1520</v>
      </c>
      <c r="B1291" s="3">
        <v>77311</v>
      </c>
      <c r="C1291" s="4" t="s">
        <v>1528</v>
      </c>
      <c r="D1291" s="62" t="e">
        <v>#N/A</v>
      </c>
      <c r="E1291" s="55" t="e">
        <v>#N/A</v>
      </c>
      <c r="F1291" s="55" t="e">
        <v>#N/A</v>
      </c>
      <c r="G1291" s="55" t="e">
        <v>#N/A</v>
      </c>
      <c r="H1291" s="55" t="e">
        <v>#N/A</v>
      </c>
      <c r="I1291" s="55" t="e">
        <v>#N/A</v>
      </c>
      <c r="J1291" s="55" t="e">
        <v>#N/A</v>
      </c>
      <c r="K1291" s="55" t="e">
        <v>#N/A</v>
      </c>
    </row>
    <row r="1292" spans="1:11" ht="60" hidden="1" x14ac:dyDescent="0.25">
      <c r="A1292" s="2" t="s">
        <v>1520</v>
      </c>
      <c r="B1292" s="3">
        <v>77312</v>
      </c>
      <c r="C1292" s="4" t="s">
        <v>1529</v>
      </c>
      <c r="D1292" s="62" t="e">
        <v>#N/A</v>
      </c>
      <c r="E1292" s="55" t="e">
        <v>#N/A</v>
      </c>
      <c r="F1292" s="55" t="e">
        <v>#N/A</v>
      </c>
      <c r="G1292" s="55" t="e">
        <v>#N/A</v>
      </c>
      <c r="H1292" s="55" t="e">
        <v>#N/A</v>
      </c>
      <c r="I1292" s="55" t="e">
        <v>#N/A</v>
      </c>
      <c r="J1292" s="55" t="e">
        <v>#N/A</v>
      </c>
      <c r="K1292" s="55" t="e">
        <v>#N/A</v>
      </c>
    </row>
    <row r="1293" spans="1:11" ht="60" hidden="1" x14ac:dyDescent="0.25">
      <c r="A1293" s="2" t="s">
        <v>1520</v>
      </c>
      <c r="B1293" s="3">
        <v>77313</v>
      </c>
      <c r="C1293" s="4" t="s">
        <v>1530</v>
      </c>
      <c r="D1293" s="62" t="e">
        <v>#N/A</v>
      </c>
      <c r="E1293" s="55" t="e">
        <v>#N/A</v>
      </c>
      <c r="F1293" s="55" t="e">
        <v>#N/A</v>
      </c>
      <c r="G1293" s="55" t="e">
        <v>#N/A</v>
      </c>
      <c r="H1293" s="55" t="e">
        <v>#N/A</v>
      </c>
      <c r="I1293" s="55" t="e">
        <v>#N/A</v>
      </c>
      <c r="J1293" s="55" t="e">
        <v>#N/A</v>
      </c>
      <c r="K1293" s="55" t="e">
        <v>#N/A</v>
      </c>
    </row>
    <row r="1294" spans="1:11" ht="60" hidden="1" x14ac:dyDescent="0.25">
      <c r="A1294" s="2" t="s">
        <v>1520</v>
      </c>
      <c r="B1294" s="3">
        <v>77391</v>
      </c>
      <c r="C1294" s="4" t="s">
        <v>1531</v>
      </c>
      <c r="D1294" s="62" t="e">
        <v>#N/A</v>
      </c>
      <c r="E1294" s="55" t="e">
        <v>#N/A</v>
      </c>
      <c r="F1294" s="55" t="e">
        <v>#N/A</v>
      </c>
      <c r="G1294" s="55" t="e">
        <v>#N/A</v>
      </c>
      <c r="H1294" s="55" t="e">
        <v>#N/A</v>
      </c>
      <c r="I1294" s="55" t="e">
        <v>#N/A</v>
      </c>
      <c r="J1294" s="55" t="e">
        <v>#N/A</v>
      </c>
      <c r="K1294" s="55" t="e">
        <v>#N/A</v>
      </c>
    </row>
    <row r="1295" spans="1:11" ht="60" hidden="1" x14ac:dyDescent="0.25">
      <c r="A1295" s="2" t="s">
        <v>1520</v>
      </c>
      <c r="B1295" s="3">
        <v>77392</v>
      </c>
      <c r="C1295" s="4" t="s">
        <v>1532</v>
      </c>
      <c r="D1295" s="62" t="e">
        <v>#N/A</v>
      </c>
      <c r="E1295" s="55" t="e">
        <v>#N/A</v>
      </c>
      <c r="F1295" s="55" t="e">
        <v>#N/A</v>
      </c>
      <c r="G1295" s="55" t="e">
        <v>#N/A</v>
      </c>
      <c r="H1295" s="55" t="e">
        <v>#N/A</v>
      </c>
      <c r="I1295" s="55" t="e">
        <v>#N/A</v>
      </c>
      <c r="J1295" s="55" t="e">
        <v>#N/A</v>
      </c>
      <c r="K1295" s="55" t="e">
        <v>#N/A</v>
      </c>
    </row>
    <row r="1296" spans="1:11" ht="60" hidden="1" x14ac:dyDescent="0.25">
      <c r="A1296" s="2" t="s">
        <v>1520</v>
      </c>
      <c r="B1296" s="3">
        <v>77393</v>
      </c>
      <c r="C1296" s="4" t="s">
        <v>1533</v>
      </c>
      <c r="D1296" s="62" t="e">
        <v>#N/A</v>
      </c>
      <c r="E1296" s="55" t="e">
        <v>#N/A</v>
      </c>
      <c r="F1296" s="55" t="e">
        <v>#N/A</v>
      </c>
      <c r="G1296" s="55" t="e">
        <v>#N/A</v>
      </c>
      <c r="H1296" s="55" t="e">
        <v>#N/A</v>
      </c>
      <c r="I1296" s="55" t="e">
        <v>#N/A</v>
      </c>
      <c r="J1296" s="55" t="e">
        <v>#N/A</v>
      </c>
      <c r="K1296" s="55" t="e">
        <v>#N/A</v>
      </c>
    </row>
    <row r="1297" spans="1:11" ht="60" hidden="1" x14ac:dyDescent="0.25">
      <c r="A1297" s="2" t="s">
        <v>1520</v>
      </c>
      <c r="B1297" s="3">
        <v>77394</v>
      </c>
      <c r="C1297" s="4" t="s">
        <v>1534</v>
      </c>
      <c r="D1297" s="62" t="e">
        <v>#N/A</v>
      </c>
      <c r="E1297" s="55" t="e">
        <v>#N/A</v>
      </c>
      <c r="F1297" s="55" t="e">
        <v>#N/A</v>
      </c>
      <c r="G1297" s="55" t="e">
        <v>#N/A</v>
      </c>
      <c r="H1297" s="55" t="e">
        <v>#N/A</v>
      </c>
      <c r="I1297" s="55" t="e">
        <v>#N/A</v>
      </c>
      <c r="J1297" s="55" t="e">
        <v>#N/A</v>
      </c>
      <c r="K1297" s="55" t="e">
        <v>#N/A</v>
      </c>
    </row>
    <row r="1298" spans="1:11" ht="60" hidden="1" x14ac:dyDescent="0.25">
      <c r="A1298" s="2" t="s">
        <v>1520</v>
      </c>
      <c r="B1298" s="3">
        <v>77395</v>
      </c>
      <c r="C1298" s="4" t="s">
        <v>1535</v>
      </c>
      <c r="D1298" s="62" t="e">
        <v>#N/A</v>
      </c>
      <c r="E1298" s="55" t="e">
        <v>#N/A</v>
      </c>
      <c r="F1298" s="55" t="e">
        <v>#N/A</v>
      </c>
      <c r="G1298" s="55" t="e">
        <v>#N/A</v>
      </c>
      <c r="H1298" s="55" t="e">
        <v>#N/A</v>
      </c>
      <c r="I1298" s="55" t="e">
        <v>#N/A</v>
      </c>
      <c r="J1298" s="55" t="e">
        <v>#N/A</v>
      </c>
      <c r="K1298" s="55" t="e">
        <v>#N/A</v>
      </c>
    </row>
    <row r="1299" spans="1:11" ht="60" hidden="1" x14ac:dyDescent="0.25">
      <c r="A1299" s="2" t="s">
        <v>1520</v>
      </c>
      <c r="B1299" s="3">
        <v>77396</v>
      </c>
      <c r="C1299" s="4" t="s">
        <v>1533</v>
      </c>
      <c r="D1299" s="62" t="e">
        <v>#N/A</v>
      </c>
      <c r="E1299" s="55" t="e">
        <v>#N/A</v>
      </c>
      <c r="F1299" s="55" t="e">
        <v>#N/A</v>
      </c>
      <c r="G1299" s="55" t="s">
        <v>2090</v>
      </c>
      <c r="H1299" s="55" t="e">
        <v>#N/A</v>
      </c>
      <c r="I1299" s="55" t="e">
        <v>#N/A</v>
      </c>
      <c r="J1299" s="55" t="e">
        <v>#N/A</v>
      </c>
      <c r="K1299" s="55" t="e">
        <v>#N/A</v>
      </c>
    </row>
    <row r="1300" spans="1:11" ht="60" hidden="1" x14ac:dyDescent="0.25">
      <c r="A1300" s="2" t="s">
        <v>1520</v>
      </c>
      <c r="B1300" s="3">
        <v>77397</v>
      </c>
      <c r="C1300" s="4" t="s">
        <v>1536</v>
      </c>
      <c r="D1300" s="62" t="e">
        <v>#N/A</v>
      </c>
      <c r="E1300" s="55" t="e">
        <v>#N/A</v>
      </c>
      <c r="F1300" s="55" t="e">
        <v>#N/A</v>
      </c>
      <c r="G1300" s="55" t="e">
        <v>#N/A</v>
      </c>
      <c r="H1300" s="55" t="e">
        <v>#N/A</v>
      </c>
      <c r="I1300" s="55" t="e">
        <v>#N/A</v>
      </c>
      <c r="J1300" s="55" t="e">
        <v>#N/A</v>
      </c>
      <c r="K1300" s="55" t="e">
        <v>#N/A</v>
      </c>
    </row>
    <row r="1301" spans="1:11" ht="60" hidden="1" x14ac:dyDescent="0.25">
      <c r="A1301" s="2" t="s">
        <v>1520</v>
      </c>
      <c r="B1301" s="3">
        <v>77399</v>
      </c>
      <c r="C1301" s="4" t="s">
        <v>1537</v>
      </c>
      <c r="D1301" s="62" t="e">
        <v>#N/A</v>
      </c>
      <c r="E1301" s="55" t="e">
        <v>#N/A</v>
      </c>
      <c r="F1301" s="55" t="e">
        <v>#N/A</v>
      </c>
      <c r="G1301" s="55" t="e">
        <v>#N/A</v>
      </c>
      <c r="H1301" s="55" t="e">
        <v>#N/A</v>
      </c>
      <c r="I1301" s="55" t="e">
        <v>#N/A</v>
      </c>
      <c r="J1301" s="55" t="e">
        <v>#N/A</v>
      </c>
      <c r="K1301" s="55" t="e">
        <v>#N/A</v>
      </c>
    </row>
    <row r="1302" spans="1:11" ht="60" hidden="1" x14ac:dyDescent="0.25">
      <c r="A1302" s="2" t="s">
        <v>1520</v>
      </c>
      <c r="B1302" s="3">
        <v>77400</v>
      </c>
      <c r="C1302" s="4" t="s">
        <v>1538</v>
      </c>
      <c r="D1302" s="62" t="e">
        <v>#N/A</v>
      </c>
      <c r="E1302" s="55" t="e">
        <v>#N/A</v>
      </c>
      <c r="F1302" s="55" t="e">
        <v>#N/A</v>
      </c>
      <c r="G1302" s="55" t="e">
        <v>#N/A</v>
      </c>
      <c r="H1302" s="55" t="e">
        <v>#N/A</v>
      </c>
      <c r="I1302" s="55" t="e">
        <v>#N/A</v>
      </c>
      <c r="J1302" s="55" t="e">
        <v>#N/A</v>
      </c>
      <c r="K1302" s="55" t="e">
        <v>#N/A</v>
      </c>
    </row>
    <row r="1303" spans="1:11" ht="60" hidden="1" x14ac:dyDescent="0.25">
      <c r="A1303" s="2" t="s">
        <v>1520</v>
      </c>
      <c r="B1303" s="3">
        <v>77510</v>
      </c>
      <c r="C1303" s="4" t="s">
        <v>1539</v>
      </c>
      <c r="D1303" s="62" t="e">
        <v>#N/A</v>
      </c>
      <c r="E1303" s="55" t="e">
        <v>#N/A</v>
      </c>
      <c r="F1303" s="55" t="e">
        <v>#N/A</v>
      </c>
      <c r="G1303" s="55" t="s">
        <v>2090</v>
      </c>
      <c r="H1303" s="55" t="e">
        <v>#N/A</v>
      </c>
      <c r="I1303" s="55" t="e">
        <v>#N/A</v>
      </c>
      <c r="J1303" s="55" t="e">
        <v>#N/A</v>
      </c>
      <c r="K1303" s="55" t="e">
        <v>#N/A</v>
      </c>
    </row>
    <row r="1304" spans="1:11" ht="60" hidden="1" x14ac:dyDescent="0.25">
      <c r="A1304" s="2" t="s">
        <v>1520</v>
      </c>
      <c r="B1304" s="3">
        <v>77520</v>
      </c>
      <c r="C1304" s="4" t="s">
        <v>1539</v>
      </c>
      <c r="D1304" s="62" t="e">
        <v>#N/A</v>
      </c>
      <c r="E1304" s="55" t="e">
        <v>#N/A</v>
      </c>
      <c r="F1304" s="55" t="e">
        <v>#N/A</v>
      </c>
      <c r="G1304" s="55" t="s">
        <v>2090</v>
      </c>
      <c r="H1304" s="55" t="e">
        <v>#N/A</v>
      </c>
      <c r="I1304" s="55" t="e">
        <v>#N/A</v>
      </c>
      <c r="J1304" s="55" t="e">
        <v>#N/A</v>
      </c>
      <c r="K1304" s="55" t="e">
        <v>#N/A</v>
      </c>
    </row>
    <row r="1305" spans="1:11" ht="60" hidden="1" x14ac:dyDescent="0.25">
      <c r="A1305" s="2" t="s">
        <v>1520</v>
      </c>
      <c r="B1305" s="3">
        <v>78101</v>
      </c>
      <c r="C1305" s="4" t="s">
        <v>1540</v>
      </c>
      <c r="D1305" s="62" t="e">
        <v>#N/A</v>
      </c>
      <c r="E1305" s="55" t="e">
        <v>#N/A</v>
      </c>
      <c r="F1305" s="55" t="e">
        <v>#N/A</v>
      </c>
      <c r="G1305" s="55" t="e">
        <v>#N/A</v>
      </c>
      <c r="H1305" s="55" t="e">
        <v>#N/A</v>
      </c>
      <c r="I1305" s="55" t="e">
        <v>#N/A</v>
      </c>
      <c r="J1305" s="55" t="e">
        <v>#N/A</v>
      </c>
      <c r="K1305" s="55" t="e">
        <v>#N/A</v>
      </c>
    </row>
    <row r="1306" spans="1:11" ht="60" hidden="1" x14ac:dyDescent="0.25">
      <c r="A1306" s="2" t="s">
        <v>1520</v>
      </c>
      <c r="B1306" s="3">
        <v>78102</v>
      </c>
      <c r="C1306" s="4" t="s">
        <v>1541</v>
      </c>
      <c r="D1306" s="62" t="e">
        <v>#N/A</v>
      </c>
      <c r="E1306" s="55" t="e">
        <v>#N/A</v>
      </c>
      <c r="F1306" s="55" t="e">
        <v>#N/A</v>
      </c>
      <c r="G1306" s="55" t="e">
        <v>#N/A</v>
      </c>
      <c r="H1306" s="55" t="e">
        <v>#N/A</v>
      </c>
      <c r="I1306" s="55" t="e">
        <v>#N/A</v>
      </c>
      <c r="J1306" s="55" t="e">
        <v>#N/A</v>
      </c>
      <c r="K1306" s="55" t="e">
        <v>#N/A</v>
      </c>
    </row>
    <row r="1307" spans="1:11" ht="60" hidden="1" x14ac:dyDescent="0.25">
      <c r="A1307" s="2" t="s">
        <v>1520</v>
      </c>
      <c r="B1307" s="3">
        <v>78103</v>
      </c>
      <c r="C1307" s="4" t="s">
        <v>1542</v>
      </c>
      <c r="D1307" s="62" t="e">
        <v>#N/A</v>
      </c>
      <c r="E1307" s="55" t="e">
        <v>#N/A</v>
      </c>
      <c r="F1307" s="55" t="e">
        <v>#N/A</v>
      </c>
      <c r="G1307" s="55" t="e">
        <v>#N/A</v>
      </c>
      <c r="H1307" s="55" t="e">
        <v>#N/A</v>
      </c>
      <c r="I1307" s="55" t="e">
        <v>#N/A</v>
      </c>
      <c r="J1307" s="55" t="e">
        <v>#N/A</v>
      </c>
      <c r="K1307" s="55" t="e">
        <v>#N/A</v>
      </c>
    </row>
    <row r="1308" spans="1:11" ht="45" hidden="1" x14ac:dyDescent="0.25">
      <c r="A1308" s="2" t="s">
        <v>1520</v>
      </c>
      <c r="B1308" s="3">
        <v>78104</v>
      </c>
      <c r="C1308" s="4" t="s">
        <v>1543</v>
      </c>
      <c r="D1308" s="62" t="e">
        <v>#N/A</v>
      </c>
      <c r="E1308" s="55" t="e">
        <v>#N/A</v>
      </c>
      <c r="F1308" s="55" t="e">
        <v>#N/A</v>
      </c>
      <c r="G1308" s="55" t="e">
        <v>#N/A</v>
      </c>
      <c r="H1308" s="55" t="e">
        <v>#N/A</v>
      </c>
      <c r="I1308" s="55" t="e">
        <v>#N/A</v>
      </c>
      <c r="J1308" s="55" t="e">
        <v>#N/A</v>
      </c>
      <c r="K1308" s="55" t="e">
        <v>#N/A</v>
      </c>
    </row>
    <row r="1309" spans="1:11" ht="60" hidden="1" x14ac:dyDescent="0.25">
      <c r="A1309" s="2" t="s">
        <v>1520</v>
      </c>
      <c r="B1309" s="3">
        <v>78105</v>
      </c>
      <c r="C1309" s="4" t="s">
        <v>1544</v>
      </c>
      <c r="D1309" s="62" t="e">
        <v>#N/A</v>
      </c>
      <c r="E1309" s="55" t="e">
        <v>#N/A</v>
      </c>
      <c r="F1309" s="55" t="e">
        <v>#N/A</v>
      </c>
      <c r="G1309" s="55" t="e">
        <v>#N/A</v>
      </c>
      <c r="H1309" s="55" t="e">
        <v>#N/A</v>
      </c>
      <c r="I1309" s="55" t="e">
        <v>#N/A</v>
      </c>
      <c r="J1309" s="55" t="e">
        <v>#N/A</v>
      </c>
      <c r="K1309" s="55" t="e">
        <v>#N/A</v>
      </c>
    </row>
    <row r="1310" spans="1:11" ht="60" hidden="1" x14ac:dyDescent="0.25">
      <c r="A1310" s="2" t="s">
        <v>1520</v>
      </c>
      <c r="B1310" s="3">
        <v>78109</v>
      </c>
      <c r="C1310" s="4" t="s">
        <v>1545</v>
      </c>
      <c r="D1310" s="62" t="e">
        <v>#N/A</v>
      </c>
      <c r="E1310" s="55" t="e">
        <v>#N/A</v>
      </c>
      <c r="F1310" s="55" t="e">
        <v>#N/A</v>
      </c>
      <c r="G1310" s="55" t="e">
        <v>#N/A</v>
      </c>
      <c r="H1310" s="55" t="e">
        <v>#N/A</v>
      </c>
      <c r="I1310" s="55" t="e">
        <v>#N/A</v>
      </c>
      <c r="J1310" s="55" t="e">
        <v>#N/A</v>
      </c>
      <c r="K1310" s="55" t="e">
        <v>#N/A</v>
      </c>
    </row>
    <row r="1311" spans="1:11" ht="60" hidden="1" x14ac:dyDescent="0.25">
      <c r="A1311" s="2" t="s">
        <v>1520</v>
      </c>
      <c r="B1311" s="3">
        <v>78200</v>
      </c>
      <c r="C1311" s="4" t="s">
        <v>1546</v>
      </c>
      <c r="D1311" s="62" t="e">
        <v>#N/A</v>
      </c>
      <c r="E1311" s="55" t="e">
        <v>#N/A</v>
      </c>
      <c r="F1311" s="55" t="e">
        <v>#N/A</v>
      </c>
      <c r="G1311" s="55" t="e">
        <v>#N/A</v>
      </c>
      <c r="H1311" s="55" t="e">
        <v>#N/A</v>
      </c>
      <c r="I1311" s="55" t="e">
        <v>#N/A</v>
      </c>
      <c r="J1311" s="55" t="e">
        <v>#N/A</v>
      </c>
      <c r="K1311" s="55" t="e">
        <v>#N/A</v>
      </c>
    </row>
    <row r="1312" spans="1:11" ht="30" hidden="1" x14ac:dyDescent="0.25">
      <c r="A1312" s="2" t="s">
        <v>1520</v>
      </c>
      <c r="B1312" s="3">
        <v>79110</v>
      </c>
      <c r="C1312" s="4" t="s">
        <v>1547</v>
      </c>
      <c r="D1312" s="62" t="e">
        <v>#N/A</v>
      </c>
      <c r="E1312" s="55" t="e">
        <v>#N/A</v>
      </c>
      <c r="F1312" s="55" t="e">
        <v>#N/A</v>
      </c>
      <c r="G1312" s="55" t="e">
        <v>#N/A</v>
      </c>
      <c r="H1312" s="55" t="e">
        <v>#N/A</v>
      </c>
      <c r="I1312" s="55" t="e">
        <v>#N/A</v>
      </c>
      <c r="J1312" s="55" t="e">
        <v>#N/A</v>
      </c>
      <c r="K1312" s="55" t="e">
        <v>#N/A</v>
      </c>
    </row>
    <row r="1313" spans="1:11" ht="30" hidden="1" x14ac:dyDescent="0.25">
      <c r="A1313" s="2" t="s">
        <v>1520</v>
      </c>
      <c r="B1313" s="3">
        <v>79121</v>
      </c>
      <c r="C1313" s="4" t="s">
        <v>1548</v>
      </c>
      <c r="D1313" s="62" t="e">
        <v>#N/A</v>
      </c>
      <c r="E1313" s="55" t="e">
        <v>#N/A</v>
      </c>
      <c r="F1313" s="55" t="e">
        <v>#N/A</v>
      </c>
      <c r="G1313" s="55" t="e">
        <v>#N/A</v>
      </c>
      <c r="H1313" s="55" t="e">
        <v>#N/A</v>
      </c>
      <c r="I1313" s="55" t="e">
        <v>#N/A</v>
      </c>
      <c r="J1313" s="55" t="e">
        <v>#N/A</v>
      </c>
      <c r="K1313" s="55" t="e">
        <v>#N/A</v>
      </c>
    </row>
    <row r="1314" spans="1:11" ht="60" hidden="1" x14ac:dyDescent="0.25">
      <c r="A1314" s="2" t="s">
        <v>1520</v>
      </c>
      <c r="B1314" s="3">
        <v>79122</v>
      </c>
      <c r="C1314" s="4" t="s">
        <v>1549</v>
      </c>
      <c r="D1314" s="62" t="e">
        <v>#N/A</v>
      </c>
      <c r="E1314" s="55" t="e">
        <v>#N/A</v>
      </c>
      <c r="F1314" s="55" t="e">
        <v>#N/A</v>
      </c>
      <c r="G1314" s="55" t="e">
        <v>#N/A</v>
      </c>
      <c r="H1314" s="55" t="e">
        <v>#N/A</v>
      </c>
      <c r="I1314" s="55" t="e">
        <v>#N/A</v>
      </c>
      <c r="J1314" s="55" t="e">
        <v>#N/A</v>
      </c>
      <c r="K1314" s="55" t="e">
        <v>#N/A</v>
      </c>
    </row>
    <row r="1315" spans="1:11" ht="30" hidden="1" x14ac:dyDescent="0.25">
      <c r="A1315" s="2" t="s">
        <v>1520</v>
      </c>
      <c r="B1315" s="3">
        <v>79129</v>
      </c>
      <c r="C1315" s="4" t="s">
        <v>1550</v>
      </c>
      <c r="D1315" s="62" t="e">
        <v>#N/A</v>
      </c>
      <c r="E1315" s="55" t="e">
        <v>#N/A</v>
      </c>
      <c r="F1315" s="55" t="e">
        <v>#N/A</v>
      </c>
      <c r="G1315" s="55" t="e">
        <v>#N/A</v>
      </c>
      <c r="H1315" s="55" t="e">
        <v>#N/A</v>
      </c>
      <c r="I1315" s="55" t="e">
        <v>#N/A</v>
      </c>
      <c r="J1315" s="55" t="e">
        <v>#N/A</v>
      </c>
      <c r="K1315" s="55" t="e">
        <v>#N/A</v>
      </c>
    </row>
    <row r="1316" spans="1:11" ht="30" hidden="1" x14ac:dyDescent="0.25">
      <c r="A1316" s="2" t="s">
        <v>1520</v>
      </c>
      <c r="B1316" s="3">
        <v>79901</v>
      </c>
      <c r="C1316" s="4" t="s">
        <v>1551</v>
      </c>
      <c r="D1316" s="62" t="e">
        <v>#N/A</v>
      </c>
      <c r="E1316" s="55" t="e">
        <v>#N/A</v>
      </c>
      <c r="F1316" s="55" t="e">
        <v>#N/A</v>
      </c>
      <c r="G1316" s="55" t="e">
        <v>#N/A</v>
      </c>
      <c r="H1316" s="55" t="e">
        <v>#N/A</v>
      </c>
      <c r="I1316" s="55" t="e">
        <v>#N/A</v>
      </c>
      <c r="J1316" s="55" t="e">
        <v>#N/A</v>
      </c>
      <c r="K1316" s="55" t="e">
        <v>#N/A</v>
      </c>
    </row>
    <row r="1317" spans="1:11" ht="30" hidden="1" x14ac:dyDescent="0.25">
      <c r="A1317" s="2" t="s">
        <v>1520</v>
      </c>
      <c r="B1317" s="3">
        <v>79902</v>
      </c>
      <c r="C1317" s="4" t="s">
        <v>1552</v>
      </c>
      <c r="D1317" s="62" t="e">
        <v>#N/A</v>
      </c>
      <c r="E1317" s="55" t="e">
        <v>#N/A</v>
      </c>
      <c r="F1317" s="55" t="e">
        <v>#N/A</v>
      </c>
      <c r="G1317" s="55" t="e">
        <v>#N/A</v>
      </c>
      <c r="H1317" s="55" t="e">
        <v>#N/A</v>
      </c>
      <c r="I1317" s="55" t="e">
        <v>#N/A</v>
      </c>
      <c r="J1317" s="55" t="e">
        <v>#N/A</v>
      </c>
      <c r="K1317" s="55" t="e">
        <v>#N/A</v>
      </c>
    </row>
    <row r="1318" spans="1:11" hidden="1" x14ac:dyDescent="0.25">
      <c r="A1318" s="2" t="s">
        <v>1520</v>
      </c>
      <c r="B1318" s="3">
        <v>79903</v>
      </c>
      <c r="C1318" s="4" t="s">
        <v>1553</v>
      </c>
      <c r="D1318" s="62" t="e">
        <v>#N/A</v>
      </c>
      <c r="E1318" s="55" t="e">
        <v>#N/A</v>
      </c>
      <c r="F1318" s="55" t="e">
        <v>#N/A</v>
      </c>
      <c r="G1318" s="55" t="e">
        <v>#N/A</v>
      </c>
      <c r="H1318" s="55" t="e">
        <v>#N/A</v>
      </c>
      <c r="I1318" s="55" t="e">
        <v>#N/A</v>
      </c>
      <c r="J1318" s="55" t="e">
        <v>#N/A</v>
      </c>
      <c r="K1318" s="55" t="e">
        <v>#N/A</v>
      </c>
    </row>
    <row r="1319" spans="1:11" ht="45" hidden="1" x14ac:dyDescent="0.25">
      <c r="A1319" s="2" t="s">
        <v>1520</v>
      </c>
      <c r="B1319" s="3">
        <v>79909</v>
      </c>
      <c r="C1319" s="4" t="s">
        <v>1554</v>
      </c>
      <c r="D1319" s="62" t="e">
        <v>#N/A</v>
      </c>
      <c r="E1319" s="55" t="e">
        <v>#N/A</v>
      </c>
      <c r="F1319" s="55" t="e">
        <v>#N/A</v>
      </c>
      <c r="G1319" s="55" t="e">
        <v>#N/A</v>
      </c>
      <c r="H1319" s="55" t="e">
        <v>#N/A</v>
      </c>
      <c r="I1319" s="55" t="e">
        <v>#N/A</v>
      </c>
      <c r="J1319" s="55" t="e">
        <v>#N/A</v>
      </c>
      <c r="K1319" s="55" t="e">
        <v>#N/A</v>
      </c>
    </row>
    <row r="1320" spans="1:11" ht="45" hidden="1" x14ac:dyDescent="0.25">
      <c r="A1320" s="2" t="s">
        <v>1520</v>
      </c>
      <c r="B1320" s="3">
        <v>80110</v>
      </c>
      <c r="C1320" s="4" t="s">
        <v>1555</v>
      </c>
      <c r="D1320" s="62" t="e">
        <v>#N/A</v>
      </c>
      <c r="E1320" s="55" t="e">
        <v>#N/A</v>
      </c>
      <c r="F1320" s="55" t="e">
        <v>#N/A</v>
      </c>
      <c r="G1320" s="55" t="e">
        <v>#N/A</v>
      </c>
      <c r="H1320" s="55" t="e">
        <v>#N/A</v>
      </c>
      <c r="I1320" s="55" t="e">
        <v>#N/A</v>
      </c>
      <c r="J1320" s="55" t="e">
        <v>#N/A</v>
      </c>
      <c r="K1320" s="55" t="e">
        <v>#N/A</v>
      </c>
    </row>
    <row r="1321" spans="1:11" ht="30" hidden="1" x14ac:dyDescent="0.25">
      <c r="A1321" s="2" t="s">
        <v>1520</v>
      </c>
      <c r="B1321" s="3">
        <v>80190</v>
      </c>
      <c r="C1321" s="4" t="s">
        <v>1556</v>
      </c>
      <c r="D1321" s="62" t="e">
        <v>#N/A</v>
      </c>
      <c r="E1321" s="55" t="e">
        <v>#N/A</v>
      </c>
      <c r="F1321" s="55" t="e">
        <v>#N/A</v>
      </c>
      <c r="G1321" s="55" t="e">
        <v>#N/A</v>
      </c>
      <c r="H1321" s="55" t="e">
        <v>#N/A</v>
      </c>
      <c r="I1321" s="55" t="e">
        <v>#N/A</v>
      </c>
      <c r="J1321" s="55" t="e">
        <v>#N/A</v>
      </c>
      <c r="K1321" s="55" t="e">
        <v>#N/A</v>
      </c>
    </row>
    <row r="1322" spans="1:11" ht="60" hidden="1" x14ac:dyDescent="0.25">
      <c r="A1322" s="2" t="s">
        <v>1520</v>
      </c>
      <c r="B1322" s="3">
        <v>81100</v>
      </c>
      <c r="C1322" s="4" t="s">
        <v>1557</v>
      </c>
      <c r="D1322" s="62" t="e">
        <v>#N/A</v>
      </c>
      <c r="E1322" s="55" t="e">
        <v>#N/A</v>
      </c>
      <c r="F1322" s="55" t="e">
        <v>#N/A</v>
      </c>
      <c r="G1322" s="55" t="e">
        <v>#N/A</v>
      </c>
      <c r="H1322" s="55" t="e">
        <v>#N/A</v>
      </c>
      <c r="I1322" s="55" t="e">
        <v>#N/A</v>
      </c>
      <c r="J1322" s="55" t="e">
        <v>#N/A</v>
      </c>
      <c r="K1322" s="55" t="e">
        <v>#N/A</v>
      </c>
    </row>
    <row r="1323" spans="1:11" ht="45" hidden="1" x14ac:dyDescent="0.25">
      <c r="A1323" s="2" t="s">
        <v>1520</v>
      </c>
      <c r="B1323" s="3">
        <v>81210</v>
      </c>
      <c r="C1323" s="4" t="s">
        <v>1558</v>
      </c>
      <c r="D1323" s="62" t="e">
        <v>#N/A</v>
      </c>
      <c r="E1323" s="55" t="e">
        <v>#N/A</v>
      </c>
      <c r="F1323" s="55" t="e">
        <v>#N/A</v>
      </c>
      <c r="G1323" s="55" t="e">
        <v>#N/A</v>
      </c>
      <c r="H1323" s="55" t="e">
        <v>#N/A</v>
      </c>
      <c r="I1323" s="55" t="e">
        <v>#N/A</v>
      </c>
      <c r="J1323" s="55" t="e">
        <v>#N/A</v>
      </c>
      <c r="K1323" s="55" t="e">
        <v>#N/A</v>
      </c>
    </row>
    <row r="1324" spans="1:11" ht="30" hidden="1" x14ac:dyDescent="0.25">
      <c r="A1324" s="2" t="s">
        <v>1520</v>
      </c>
      <c r="B1324" s="3">
        <v>81290</v>
      </c>
      <c r="C1324" s="4" t="s">
        <v>1559</v>
      </c>
      <c r="D1324" s="62" t="e">
        <v>#N/A</v>
      </c>
      <c r="E1324" s="55" t="e">
        <v>#N/A</v>
      </c>
      <c r="F1324" s="55" t="e">
        <v>#N/A</v>
      </c>
      <c r="G1324" s="55" t="e">
        <v>#N/A</v>
      </c>
      <c r="H1324" s="55" t="e">
        <v>#N/A</v>
      </c>
      <c r="I1324" s="55" t="e">
        <v>#N/A</v>
      </c>
      <c r="J1324" s="55" t="e">
        <v>#N/A</v>
      </c>
      <c r="K1324" s="55" t="e">
        <v>#N/A</v>
      </c>
    </row>
    <row r="1325" spans="1:11" ht="30" hidden="1" x14ac:dyDescent="0.25">
      <c r="A1325" s="2" t="s">
        <v>1520</v>
      </c>
      <c r="B1325" s="3">
        <v>81300</v>
      </c>
      <c r="C1325" s="4" t="s">
        <v>1560</v>
      </c>
      <c r="D1325" s="62" t="e">
        <v>#N/A</v>
      </c>
      <c r="E1325" s="55" t="e">
        <v>#N/A</v>
      </c>
      <c r="F1325" s="55" t="e">
        <v>#N/A</v>
      </c>
      <c r="G1325" s="55" t="e">
        <v>#N/A</v>
      </c>
      <c r="H1325" s="55" t="e">
        <v>#N/A</v>
      </c>
      <c r="I1325" s="55" t="e">
        <v>#N/A</v>
      </c>
      <c r="J1325" s="55" t="e">
        <v>#N/A</v>
      </c>
      <c r="K1325" s="55" t="e">
        <v>#N/A</v>
      </c>
    </row>
    <row r="1326" spans="1:11" ht="60" hidden="1" x14ac:dyDescent="0.25">
      <c r="A1326" s="2" t="s">
        <v>1520</v>
      </c>
      <c r="B1326" s="3">
        <v>82100</v>
      </c>
      <c r="C1326" s="4" t="s">
        <v>1561</v>
      </c>
      <c r="D1326" s="62" t="e">
        <v>#N/A</v>
      </c>
      <c r="E1326" s="55" t="e">
        <v>#N/A</v>
      </c>
      <c r="F1326" s="55" t="e">
        <v>#N/A</v>
      </c>
      <c r="G1326" s="55" t="e">
        <v>#N/A</v>
      </c>
      <c r="H1326" s="55" t="e">
        <v>#N/A</v>
      </c>
      <c r="I1326" s="55" t="e">
        <v>#N/A</v>
      </c>
      <c r="J1326" s="55" t="e">
        <v>#N/A</v>
      </c>
      <c r="K1326" s="55" t="e">
        <v>#N/A</v>
      </c>
    </row>
    <row r="1327" spans="1:11" ht="45" hidden="1" x14ac:dyDescent="0.25">
      <c r="A1327" s="2" t="s">
        <v>1520</v>
      </c>
      <c r="B1327" s="3">
        <v>82200</v>
      </c>
      <c r="C1327" s="4" t="s">
        <v>1562</v>
      </c>
      <c r="D1327" s="62" t="e">
        <v>#N/A</v>
      </c>
      <c r="E1327" s="55" t="e">
        <v>#N/A</v>
      </c>
      <c r="F1327" s="55" t="e">
        <v>#N/A</v>
      </c>
      <c r="G1327" s="55" t="e">
        <v>#N/A</v>
      </c>
      <c r="H1327" s="55" t="e">
        <v>#N/A</v>
      </c>
      <c r="I1327" s="55" t="e">
        <v>#N/A</v>
      </c>
      <c r="J1327" s="55" t="e">
        <v>#N/A</v>
      </c>
      <c r="K1327" s="55" t="e">
        <v>#N/A</v>
      </c>
    </row>
    <row r="1328" spans="1:11" ht="45" hidden="1" x14ac:dyDescent="0.25">
      <c r="A1328" s="2" t="s">
        <v>1520</v>
      </c>
      <c r="B1328" s="3">
        <v>82300</v>
      </c>
      <c r="C1328" s="4" t="s">
        <v>1563</v>
      </c>
      <c r="D1328" s="62" t="e">
        <v>#N/A</v>
      </c>
      <c r="E1328" s="55" t="e">
        <v>#N/A</v>
      </c>
      <c r="F1328" s="55" t="e">
        <v>#N/A</v>
      </c>
      <c r="G1328" s="55" t="e">
        <v>#N/A</v>
      </c>
      <c r="H1328" s="55" t="e">
        <v>#N/A</v>
      </c>
      <c r="I1328" s="55" t="e">
        <v>#N/A</v>
      </c>
      <c r="J1328" s="55" t="e">
        <v>#N/A</v>
      </c>
      <c r="K1328" s="55" t="e">
        <v>#N/A</v>
      </c>
    </row>
    <row r="1329" spans="1:11" ht="60" hidden="1" x14ac:dyDescent="0.25">
      <c r="A1329" s="2" t="s">
        <v>1520</v>
      </c>
      <c r="B1329" s="3">
        <v>82400</v>
      </c>
      <c r="C1329" s="4" t="s">
        <v>1564</v>
      </c>
      <c r="D1329" s="62" t="e">
        <v>#N/A</v>
      </c>
      <c r="E1329" s="55" t="e">
        <v>#N/A</v>
      </c>
      <c r="F1329" s="55" t="e">
        <v>#N/A</v>
      </c>
      <c r="G1329" s="55" t="s">
        <v>2090</v>
      </c>
      <c r="H1329" s="55" t="e">
        <v>#N/A</v>
      </c>
      <c r="I1329" s="55" t="e">
        <v>#N/A</v>
      </c>
      <c r="J1329" s="55" t="e">
        <v>#N/A</v>
      </c>
      <c r="K1329" s="55" t="e">
        <v>#N/A</v>
      </c>
    </row>
    <row r="1330" spans="1:11" ht="30" hidden="1" x14ac:dyDescent="0.25">
      <c r="A1330" s="2" t="s">
        <v>1520</v>
      </c>
      <c r="B1330" s="3">
        <v>82911</v>
      </c>
      <c r="C1330" s="4" t="s">
        <v>1565</v>
      </c>
      <c r="D1330" s="62" t="e">
        <v>#N/A</v>
      </c>
      <c r="E1330" s="55" t="e">
        <v>#N/A</v>
      </c>
      <c r="F1330" s="55" t="e">
        <v>#N/A</v>
      </c>
      <c r="G1330" s="55" t="e">
        <v>#N/A</v>
      </c>
      <c r="H1330" s="55" t="e">
        <v>#N/A</v>
      </c>
      <c r="I1330" s="55" t="e">
        <v>#N/A</v>
      </c>
      <c r="J1330" s="55" t="e">
        <v>#N/A</v>
      </c>
      <c r="K1330" s="55" t="e">
        <v>#N/A</v>
      </c>
    </row>
    <row r="1331" spans="1:11" ht="30" hidden="1" x14ac:dyDescent="0.25">
      <c r="A1331" s="2" t="s">
        <v>1520</v>
      </c>
      <c r="B1331" s="3">
        <v>82912</v>
      </c>
      <c r="C1331" s="4" t="s">
        <v>1566</v>
      </c>
      <c r="D1331" s="62" t="e">
        <v>#N/A</v>
      </c>
      <c r="E1331" s="55" t="e">
        <v>#N/A</v>
      </c>
      <c r="F1331" s="55" t="e">
        <v>#N/A</v>
      </c>
      <c r="G1331" s="55" t="e">
        <v>#N/A</v>
      </c>
      <c r="H1331" s="55" t="e">
        <v>#N/A</v>
      </c>
      <c r="I1331" s="55" t="e">
        <v>#N/A</v>
      </c>
      <c r="J1331" s="55" t="e">
        <v>#N/A</v>
      </c>
      <c r="K1331" s="55" t="e">
        <v>#N/A</v>
      </c>
    </row>
    <row r="1332" spans="1:11" ht="60" hidden="1" x14ac:dyDescent="0.25">
      <c r="A1332" s="2" t="s">
        <v>1520</v>
      </c>
      <c r="B1332" s="3">
        <v>82921</v>
      </c>
      <c r="C1332" s="4" t="s">
        <v>1567</v>
      </c>
      <c r="D1332" s="62" t="e">
        <v>#N/A</v>
      </c>
      <c r="E1332" s="55" t="e">
        <v>#N/A</v>
      </c>
      <c r="F1332" s="55" t="e">
        <v>#N/A</v>
      </c>
      <c r="G1332" s="55" t="e">
        <v>#N/A</v>
      </c>
      <c r="H1332" s="55" t="e">
        <v>#N/A</v>
      </c>
      <c r="I1332" s="55" t="e">
        <v>#N/A</v>
      </c>
      <c r="J1332" s="55" t="e">
        <v>#N/A</v>
      </c>
      <c r="K1332" s="55" t="e">
        <v>#N/A</v>
      </c>
    </row>
    <row r="1333" spans="1:11" ht="75" hidden="1" x14ac:dyDescent="0.25">
      <c r="A1333" s="2" t="s">
        <v>1520</v>
      </c>
      <c r="B1333" s="3">
        <v>82922</v>
      </c>
      <c r="C1333" s="4" t="s">
        <v>1568</v>
      </c>
      <c r="D1333" s="62" t="e">
        <v>#N/A</v>
      </c>
      <c r="E1333" s="55" t="e">
        <v>#N/A</v>
      </c>
      <c r="F1333" s="55" t="e">
        <v>#N/A</v>
      </c>
      <c r="G1333" s="55" t="e">
        <v>#N/A</v>
      </c>
      <c r="H1333" s="55" t="e">
        <v>#N/A</v>
      </c>
      <c r="I1333" s="55" t="e">
        <v>#N/A</v>
      </c>
      <c r="J1333" s="55" t="e">
        <v>#N/A</v>
      </c>
      <c r="K1333" s="55" t="e">
        <v>#N/A</v>
      </c>
    </row>
    <row r="1334" spans="1:11" ht="45" hidden="1" x14ac:dyDescent="0.25">
      <c r="A1334" s="2" t="s">
        <v>1520</v>
      </c>
      <c r="B1334" s="3">
        <v>82923</v>
      </c>
      <c r="C1334" s="4" t="s">
        <v>1569</v>
      </c>
      <c r="D1334" s="62" t="e">
        <v>#N/A</v>
      </c>
      <c r="E1334" s="55" t="e">
        <v>#N/A</v>
      </c>
      <c r="F1334" s="55" t="e">
        <v>#N/A</v>
      </c>
      <c r="G1334" s="55" t="e">
        <v>#N/A</v>
      </c>
      <c r="H1334" s="55" t="e">
        <v>#N/A</v>
      </c>
      <c r="I1334" s="55" t="e">
        <v>#N/A</v>
      </c>
      <c r="J1334" s="55" t="e">
        <v>#N/A</v>
      </c>
      <c r="K1334" s="55" t="e">
        <v>#N/A</v>
      </c>
    </row>
    <row r="1335" spans="1:11" ht="45" hidden="1" x14ac:dyDescent="0.25">
      <c r="A1335" s="2" t="s">
        <v>1520</v>
      </c>
      <c r="B1335" s="3">
        <v>82924</v>
      </c>
      <c r="C1335" s="4" t="s">
        <v>1570</v>
      </c>
      <c r="D1335" s="62" t="e">
        <v>#N/A</v>
      </c>
      <c r="E1335" s="55" t="e">
        <v>#N/A</v>
      </c>
      <c r="F1335" s="55" t="e">
        <v>#N/A</v>
      </c>
      <c r="G1335" s="55" t="e">
        <v>#N/A</v>
      </c>
      <c r="H1335" s="55" t="e">
        <v>#N/A</v>
      </c>
      <c r="I1335" s="55" t="e">
        <v>#N/A</v>
      </c>
      <c r="J1335" s="55" t="e">
        <v>#N/A</v>
      </c>
      <c r="K1335" s="55" t="e">
        <v>#N/A</v>
      </c>
    </row>
    <row r="1336" spans="1:11" ht="60" hidden="1" x14ac:dyDescent="0.25">
      <c r="A1336" s="2" t="s">
        <v>1520</v>
      </c>
      <c r="B1336" s="3">
        <v>82925</v>
      </c>
      <c r="C1336" s="4" t="s">
        <v>1571</v>
      </c>
      <c r="D1336" s="62" t="e">
        <v>#N/A</v>
      </c>
      <c r="E1336" s="55" t="e">
        <v>#N/A</v>
      </c>
      <c r="F1336" s="55" t="e">
        <v>#N/A</v>
      </c>
      <c r="G1336" s="55" t="e">
        <v>#N/A</v>
      </c>
      <c r="H1336" s="55" t="e">
        <v>#N/A</v>
      </c>
      <c r="I1336" s="55" t="e">
        <v>#N/A</v>
      </c>
      <c r="J1336" s="55" t="e">
        <v>#N/A</v>
      </c>
      <c r="K1336" s="55" t="e">
        <v>#N/A</v>
      </c>
    </row>
    <row r="1337" spans="1:11" ht="45" hidden="1" x14ac:dyDescent="0.25">
      <c r="A1337" s="2" t="s">
        <v>1520</v>
      </c>
      <c r="B1337" s="3">
        <v>82929</v>
      </c>
      <c r="C1337" s="4" t="s">
        <v>1572</v>
      </c>
      <c r="D1337" s="62" t="e">
        <v>#N/A</v>
      </c>
      <c r="E1337" s="55" t="e">
        <v>#N/A</v>
      </c>
      <c r="F1337" s="55" t="e">
        <v>#N/A</v>
      </c>
      <c r="G1337" s="55" t="e">
        <v>#N/A</v>
      </c>
      <c r="H1337" s="55" t="e">
        <v>#N/A</v>
      </c>
      <c r="I1337" s="55" t="e">
        <v>#N/A</v>
      </c>
      <c r="J1337" s="55" t="e">
        <v>#N/A</v>
      </c>
      <c r="K1337" s="55" t="e">
        <v>#N/A</v>
      </c>
    </row>
    <row r="1338" spans="1:11" ht="45" hidden="1" x14ac:dyDescent="0.25">
      <c r="A1338" s="2" t="s">
        <v>1520</v>
      </c>
      <c r="B1338" s="3">
        <v>82990</v>
      </c>
      <c r="C1338" s="4" t="s">
        <v>1573</v>
      </c>
      <c r="D1338" s="62" t="e">
        <v>#N/A</v>
      </c>
      <c r="E1338" s="55" t="e">
        <v>#N/A</v>
      </c>
      <c r="F1338" s="55" t="e">
        <v>#N/A</v>
      </c>
      <c r="G1338" s="55" t="e">
        <v>#N/A</v>
      </c>
      <c r="H1338" s="55" t="e">
        <v>#N/A</v>
      </c>
      <c r="I1338" s="55" t="e">
        <v>#N/A</v>
      </c>
      <c r="J1338" s="55" t="e">
        <v>#N/A</v>
      </c>
      <c r="K1338" s="55" t="e">
        <v>#N/A</v>
      </c>
    </row>
    <row r="1339" spans="1:11" hidden="1" x14ac:dyDescent="0.25">
      <c r="A1339" s="2" t="s">
        <v>1574</v>
      </c>
      <c r="B1339" s="3">
        <v>84111</v>
      </c>
      <c r="C1339" s="4" t="s">
        <v>1575</v>
      </c>
      <c r="D1339" s="62" t="e">
        <v>#N/A</v>
      </c>
      <c r="E1339" s="55" t="e">
        <v>#N/A</v>
      </c>
      <c r="F1339" s="55" t="e">
        <v>#N/A</v>
      </c>
      <c r="G1339" s="55" t="e">
        <v>#N/A</v>
      </c>
      <c r="H1339" s="55" t="e">
        <v>#N/A</v>
      </c>
      <c r="I1339" s="55" t="e">
        <v>#N/A</v>
      </c>
      <c r="J1339" s="55" t="e">
        <v>#N/A</v>
      </c>
      <c r="K1339" s="55" t="e">
        <v>#N/A</v>
      </c>
    </row>
    <row r="1340" spans="1:11" ht="60" hidden="1" x14ac:dyDescent="0.25">
      <c r="A1340" s="2" t="s">
        <v>1574</v>
      </c>
      <c r="B1340" s="3">
        <v>84112</v>
      </c>
      <c r="C1340" s="4" t="s">
        <v>1576</v>
      </c>
      <c r="D1340" s="62" t="e">
        <v>#N/A</v>
      </c>
      <c r="E1340" s="55" t="e">
        <v>#N/A</v>
      </c>
      <c r="F1340" s="55" t="e">
        <v>#N/A</v>
      </c>
      <c r="G1340" s="55" t="e">
        <v>#N/A</v>
      </c>
      <c r="H1340" s="55" t="e">
        <v>#N/A</v>
      </c>
      <c r="I1340" s="55" t="e">
        <v>#N/A</v>
      </c>
      <c r="J1340" s="55" t="e">
        <v>#N/A</v>
      </c>
      <c r="K1340" s="55" t="e">
        <v>#N/A</v>
      </c>
    </row>
    <row r="1341" spans="1:11" ht="60" hidden="1" x14ac:dyDescent="0.25">
      <c r="A1341" s="2" t="s">
        <v>1574</v>
      </c>
      <c r="B1341" s="3">
        <v>84113</v>
      </c>
      <c r="C1341" s="4" t="s">
        <v>1577</v>
      </c>
      <c r="D1341" s="62" t="e">
        <v>#N/A</v>
      </c>
      <c r="E1341" s="55" t="e">
        <v>#N/A</v>
      </c>
      <c r="F1341" s="55" t="e">
        <v>#N/A</v>
      </c>
      <c r="G1341" s="55" t="e">
        <v>#N/A</v>
      </c>
      <c r="H1341" s="55" t="e">
        <v>#N/A</v>
      </c>
      <c r="I1341" s="55" t="e">
        <v>#N/A</v>
      </c>
      <c r="J1341" s="55" t="e">
        <v>#N/A</v>
      </c>
      <c r="K1341" s="55" t="e">
        <v>#N/A</v>
      </c>
    </row>
    <row r="1342" spans="1:11" ht="30" hidden="1" x14ac:dyDescent="0.25">
      <c r="A1342" s="2" t="s">
        <v>1574</v>
      </c>
      <c r="B1342" s="3">
        <v>84114</v>
      </c>
      <c r="C1342" s="4" t="s">
        <v>1578</v>
      </c>
      <c r="D1342" s="62" t="e">
        <v>#N/A</v>
      </c>
      <c r="E1342" s="55" t="e">
        <v>#N/A</v>
      </c>
      <c r="F1342" s="55" t="e">
        <v>#N/A</v>
      </c>
      <c r="G1342" s="55" t="e">
        <v>#N/A</v>
      </c>
      <c r="H1342" s="55" t="e">
        <v>#N/A</v>
      </c>
      <c r="I1342" s="55" t="e">
        <v>#N/A</v>
      </c>
      <c r="J1342" s="55" t="e">
        <v>#N/A</v>
      </c>
      <c r="K1342" s="55" t="e">
        <v>#N/A</v>
      </c>
    </row>
    <row r="1343" spans="1:11" ht="75" hidden="1" x14ac:dyDescent="0.25">
      <c r="A1343" s="2" t="s">
        <v>1574</v>
      </c>
      <c r="B1343" s="3">
        <v>84115</v>
      </c>
      <c r="C1343" s="4" t="s">
        <v>1579</v>
      </c>
      <c r="D1343" s="62" t="e">
        <v>#N/A</v>
      </c>
      <c r="E1343" s="55" t="e">
        <v>#N/A</v>
      </c>
      <c r="F1343" s="55" t="e">
        <v>#N/A</v>
      </c>
      <c r="G1343" s="55" t="e">
        <v>#N/A</v>
      </c>
      <c r="H1343" s="55" t="e">
        <v>#N/A</v>
      </c>
      <c r="I1343" s="55" t="e">
        <v>#N/A</v>
      </c>
      <c r="J1343" s="55" t="e">
        <v>#N/A</v>
      </c>
      <c r="K1343" s="55" t="e">
        <v>#N/A</v>
      </c>
    </row>
    <row r="1344" spans="1:11" ht="60" hidden="1" x14ac:dyDescent="0.25">
      <c r="A1344" s="2" t="s">
        <v>1574</v>
      </c>
      <c r="B1344" s="3">
        <v>84119</v>
      </c>
      <c r="C1344" s="4" t="s">
        <v>1580</v>
      </c>
      <c r="D1344" s="62" t="e">
        <v>#N/A</v>
      </c>
      <c r="E1344" s="55" t="e">
        <v>#N/A</v>
      </c>
      <c r="F1344" s="55" t="e">
        <v>#N/A</v>
      </c>
      <c r="G1344" s="55" t="e">
        <v>#N/A</v>
      </c>
      <c r="H1344" s="55" t="e">
        <v>#N/A</v>
      </c>
      <c r="I1344" s="55" t="e">
        <v>#N/A</v>
      </c>
      <c r="J1344" s="55" t="e">
        <v>#N/A</v>
      </c>
      <c r="K1344" s="55" t="e">
        <v>#N/A</v>
      </c>
    </row>
    <row r="1345" spans="1:11" ht="60" hidden="1" x14ac:dyDescent="0.25">
      <c r="A1345" s="2" t="s">
        <v>1574</v>
      </c>
      <c r="B1345" s="3">
        <v>84121</v>
      </c>
      <c r="C1345" s="4" t="s">
        <v>1581</v>
      </c>
      <c r="D1345" s="62" t="e">
        <v>#N/A</v>
      </c>
      <c r="E1345" s="55" t="e">
        <v>#N/A</v>
      </c>
      <c r="F1345" s="55" t="e">
        <v>#N/A</v>
      </c>
      <c r="G1345" s="55" t="e">
        <v>#N/A</v>
      </c>
      <c r="H1345" s="55" t="e">
        <v>#N/A</v>
      </c>
      <c r="I1345" s="55" t="e">
        <v>#N/A</v>
      </c>
      <c r="J1345" s="55" t="e">
        <v>#N/A</v>
      </c>
      <c r="K1345" s="55" t="e">
        <v>#N/A</v>
      </c>
    </row>
    <row r="1346" spans="1:11" ht="60" hidden="1" x14ac:dyDescent="0.25">
      <c r="A1346" s="2" t="s">
        <v>1574</v>
      </c>
      <c r="B1346" s="3">
        <v>84122</v>
      </c>
      <c r="C1346" s="4" t="s">
        <v>1582</v>
      </c>
      <c r="D1346" s="62" t="e">
        <v>#N/A</v>
      </c>
      <c r="E1346" s="55" t="e">
        <v>#N/A</v>
      </c>
      <c r="F1346" s="55" t="e">
        <v>#N/A</v>
      </c>
      <c r="G1346" s="55" t="e">
        <v>#N/A</v>
      </c>
      <c r="H1346" s="55" t="e">
        <v>#N/A</v>
      </c>
      <c r="I1346" s="55" t="e">
        <v>#N/A</v>
      </c>
      <c r="J1346" s="55" t="e">
        <v>#N/A</v>
      </c>
      <c r="K1346" s="55" t="e">
        <v>#N/A</v>
      </c>
    </row>
    <row r="1347" spans="1:11" ht="60" hidden="1" x14ac:dyDescent="0.25">
      <c r="A1347" s="2" t="s">
        <v>1574</v>
      </c>
      <c r="B1347" s="3">
        <v>84123</v>
      </c>
      <c r="C1347" s="4" t="s">
        <v>1583</v>
      </c>
      <c r="D1347" s="62" t="e">
        <v>#N/A</v>
      </c>
      <c r="E1347" s="55" t="e">
        <v>#N/A</v>
      </c>
      <c r="F1347" s="55" t="e">
        <v>#N/A</v>
      </c>
      <c r="G1347" s="55" t="e">
        <v>#N/A</v>
      </c>
      <c r="H1347" s="55" t="e">
        <v>#N/A</v>
      </c>
      <c r="I1347" s="55" t="e">
        <v>#N/A</v>
      </c>
      <c r="J1347" s="55" t="e">
        <v>#N/A</v>
      </c>
      <c r="K1347" s="55" t="e">
        <v>#N/A</v>
      </c>
    </row>
    <row r="1348" spans="1:11" ht="60" hidden="1" x14ac:dyDescent="0.25">
      <c r="A1348" s="2" t="s">
        <v>1574</v>
      </c>
      <c r="B1348" s="3">
        <v>84124</v>
      </c>
      <c r="C1348" s="4" t="s">
        <v>1584</v>
      </c>
      <c r="D1348" s="62" t="e">
        <v>#N/A</v>
      </c>
      <c r="E1348" s="55" t="e">
        <v>#N/A</v>
      </c>
      <c r="F1348" s="55" t="e">
        <v>#N/A</v>
      </c>
      <c r="G1348" s="55" t="e">
        <v>#N/A</v>
      </c>
      <c r="H1348" s="55" t="e">
        <v>#N/A</v>
      </c>
      <c r="I1348" s="55" t="e">
        <v>#N/A</v>
      </c>
      <c r="J1348" s="55" t="e">
        <v>#N/A</v>
      </c>
      <c r="K1348" s="55" t="e">
        <v>#N/A</v>
      </c>
    </row>
    <row r="1349" spans="1:11" ht="60" hidden="1" x14ac:dyDescent="0.25">
      <c r="A1349" s="2" t="s">
        <v>1574</v>
      </c>
      <c r="B1349" s="3">
        <v>84125</v>
      </c>
      <c r="C1349" s="4" t="s">
        <v>1585</v>
      </c>
      <c r="D1349" s="62" t="e">
        <v>#N/A</v>
      </c>
      <c r="E1349" s="55" t="e">
        <v>#N/A</v>
      </c>
      <c r="F1349" s="55" t="e">
        <v>#N/A</v>
      </c>
      <c r="G1349" s="55" t="e">
        <v>#N/A</v>
      </c>
      <c r="H1349" s="55" t="e">
        <v>#N/A</v>
      </c>
      <c r="I1349" s="55" t="e">
        <v>#N/A</v>
      </c>
      <c r="J1349" s="55" t="e">
        <v>#N/A</v>
      </c>
      <c r="K1349" s="55" t="e">
        <v>#N/A</v>
      </c>
    </row>
    <row r="1350" spans="1:11" ht="45" hidden="1" x14ac:dyDescent="0.25">
      <c r="A1350" s="2" t="s">
        <v>1574</v>
      </c>
      <c r="B1350" s="3">
        <v>84126</v>
      </c>
      <c r="C1350" s="4" t="s">
        <v>1586</v>
      </c>
      <c r="D1350" s="62" t="e">
        <v>#N/A</v>
      </c>
      <c r="E1350" s="55" t="e">
        <v>#N/A</v>
      </c>
      <c r="F1350" s="55" t="e">
        <v>#N/A</v>
      </c>
      <c r="G1350" s="55" t="e">
        <v>#N/A</v>
      </c>
      <c r="H1350" s="55" t="e">
        <v>#N/A</v>
      </c>
      <c r="I1350" s="55" t="e">
        <v>#N/A</v>
      </c>
      <c r="J1350" s="55" t="e">
        <v>#N/A</v>
      </c>
      <c r="K1350" s="55" t="e">
        <v>#N/A</v>
      </c>
    </row>
    <row r="1351" spans="1:11" ht="60" hidden="1" x14ac:dyDescent="0.25">
      <c r="A1351" s="2" t="s">
        <v>1574</v>
      </c>
      <c r="B1351" s="3">
        <v>84129</v>
      </c>
      <c r="C1351" s="4" t="s">
        <v>1587</v>
      </c>
      <c r="D1351" s="62" t="e">
        <v>#N/A</v>
      </c>
      <c r="E1351" s="55" t="e">
        <v>#N/A</v>
      </c>
      <c r="F1351" s="55" t="e">
        <v>#N/A</v>
      </c>
      <c r="G1351" s="55" t="e">
        <v>#N/A</v>
      </c>
      <c r="H1351" s="55" t="e">
        <v>#N/A</v>
      </c>
      <c r="I1351" s="55" t="e">
        <v>#N/A</v>
      </c>
      <c r="J1351" s="55" t="e">
        <v>#N/A</v>
      </c>
      <c r="K1351" s="55" t="e">
        <v>#N/A</v>
      </c>
    </row>
    <row r="1352" spans="1:11" ht="60" hidden="1" x14ac:dyDescent="0.25">
      <c r="A1352" s="2" t="s">
        <v>1574</v>
      </c>
      <c r="B1352" s="3">
        <v>84130</v>
      </c>
      <c r="C1352" s="4" t="s">
        <v>1588</v>
      </c>
      <c r="D1352" s="62" t="e">
        <v>#N/A</v>
      </c>
      <c r="E1352" s="55" t="e">
        <v>#N/A</v>
      </c>
      <c r="F1352" s="55" t="e">
        <v>#N/A</v>
      </c>
      <c r="G1352" s="55" t="e">
        <v>#N/A</v>
      </c>
      <c r="H1352" s="55" t="e">
        <v>#N/A</v>
      </c>
      <c r="I1352" s="55" t="e">
        <v>#N/A</v>
      </c>
      <c r="J1352" s="55" t="e">
        <v>#N/A</v>
      </c>
      <c r="K1352" s="55" t="e">
        <v>#N/A</v>
      </c>
    </row>
    <row r="1353" spans="1:11" ht="45" hidden="1" x14ac:dyDescent="0.25">
      <c r="A1353" s="2" t="s">
        <v>1574</v>
      </c>
      <c r="B1353" s="3">
        <v>84141</v>
      </c>
      <c r="C1353" s="4" t="s">
        <v>1589</v>
      </c>
      <c r="D1353" s="62" t="e">
        <v>#N/A</v>
      </c>
      <c r="E1353" s="55" t="e">
        <v>#N/A</v>
      </c>
      <c r="F1353" s="55" t="e">
        <v>#N/A</v>
      </c>
      <c r="G1353" s="55" t="e">
        <v>#N/A</v>
      </c>
      <c r="H1353" s="55" t="e">
        <v>#N/A</v>
      </c>
      <c r="I1353" s="55" t="e">
        <v>#N/A</v>
      </c>
      <c r="J1353" s="55" t="e">
        <v>#N/A</v>
      </c>
      <c r="K1353" s="55" t="e">
        <v>#N/A</v>
      </c>
    </row>
    <row r="1354" spans="1:11" ht="60" hidden="1" x14ac:dyDescent="0.25">
      <c r="A1354" s="2" t="s">
        <v>1574</v>
      </c>
      <c r="B1354" s="3">
        <v>84142</v>
      </c>
      <c r="C1354" s="4" t="s">
        <v>1590</v>
      </c>
      <c r="D1354" s="62" t="e">
        <v>#N/A</v>
      </c>
      <c r="E1354" s="55" t="e">
        <v>#N/A</v>
      </c>
      <c r="F1354" s="55" t="e">
        <v>#N/A</v>
      </c>
      <c r="G1354" s="55" t="e">
        <v>#N/A</v>
      </c>
      <c r="H1354" s="55" t="e">
        <v>#N/A</v>
      </c>
      <c r="I1354" s="55" t="e">
        <v>#N/A</v>
      </c>
      <c r="J1354" s="55" t="e">
        <v>#N/A</v>
      </c>
      <c r="K1354" s="55" t="e">
        <v>#N/A</v>
      </c>
    </row>
    <row r="1355" spans="1:11" ht="60" hidden="1" x14ac:dyDescent="0.25">
      <c r="A1355" s="2" t="s">
        <v>1574</v>
      </c>
      <c r="B1355" s="3">
        <v>84143</v>
      </c>
      <c r="C1355" s="4" t="s">
        <v>1591</v>
      </c>
      <c r="D1355" s="62" t="e">
        <v>#N/A</v>
      </c>
      <c r="E1355" s="55" t="e">
        <v>#N/A</v>
      </c>
      <c r="F1355" s="55" t="e">
        <v>#N/A</v>
      </c>
      <c r="G1355" s="55" t="e">
        <v>#N/A</v>
      </c>
      <c r="H1355" s="55" t="e">
        <v>#N/A</v>
      </c>
      <c r="I1355" s="55" t="e">
        <v>#N/A</v>
      </c>
      <c r="J1355" s="55" t="e">
        <v>#N/A</v>
      </c>
      <c r="K1355" s="55" t="e">
        <v>#N/A</v>
      </c>
    </row>
    <row r="1356" spans="1:11" ht="60" hidden="1" x14ac:dyDescent="0.25">
      <c r="A1356" s="2" t="s">
        <v>1574</v>
      </c>
      <c r="B1356" s="3">
        <v>84144</v>
      </c>
      <c r="C1356" s="4" t="s">
        <v>1592</v>
      </c>
      <c r="D1356" s="62" t="e">
        <v>#N/A</v>
      </c>
      <c r="E1356" s="55" t="e">
        <v>#N/A</v>
      </c>
      <c r="F1356" s="55" t="e">
        <v>#N/A</v>
      </c>
      <c r="G1356" s="55" t="e">
        <v>#N/A</v>
      </c>
      <c r="H1356" s="55" t="e">
        <v>#N/A</v>
      </c>
      <c r="I1356" s="55" t="e">
        <v>#N/A</v>
      </c>
      <c r="J1356" s="55" t="e">
        <v>#N/A</v>
      </c>
      <c r="K1356" s="55" t="e">
        <v>#N/A</v>
      </c>
    </row>
    <row r="1357" spans="1:11" ht="45" hidden="1" x14ac:dyDescent="0.25">
      <c r="A1357" s="2" t="s">
        <v>1574</v>
      </c>
      <c r="B1357" s="3">
        <v>84145</v>
      </c>
      <c r="C1357" s="4" t="s">
        <v>1593</v>
      </c>
      <c r="D1357" s="62" t="e">
        <v>#N/A</v>
      </c>
      <c r="E1357" s="55" t="e">
        <v>#N/A</v>
      </c>
      <c r="F1357" s="55" t="e">
        <v>#N/A</v>
      </c>
      <c r="G1357" s="55" t="e">
        <v>#N/A</v>
      </c>
      <c r="H1357" s="55" t="e">
        <v>#N/A</v>
      </c>
      <c r="I1357" s="55" t="e">
        <v>#N/A</v>
      </c>
      <c r="J1357" s="55" t="e">
        <v>#N/A</v>
      </c>
      <c r="K1357" s="55" t="e">
        <v>#N/A</v>
      </c>
    </row>
    <row r="1358" spans="1:11" ht="60" hidden="1" x14ac:dyDescent="0.25">
      <c r="A1358" s="2" t="s">
        <v>1574</v>
      </c>
      <c r="B1358" s="3">
        <v>84146</v>
      </c>
      <c r="C1358" s="4" t="s">
        <v>1594</v>
      </c>
      <c r="D1358" s="62" t="e">
        <v>#N/A</v>
      </c>
      <c r="E1358" s="55" t="e">
        <v>#N/A</v>
      </c>
      <c r="F1358" s="55" t="e">
        <v>#N/A</v>
      </c>
      <c r="G1358" s="55" t="e">
        <v>#N/A</v>
      </c>
      <c r="H1358" s="55" t="e">
        <v>#N/A</v>
      </c>
      <c r="I1358" s="55" t="e">
        <v>#N/A</v>
      </c>
      <c r="J1358" s="55" t="e">
        <v>#N/A</v>
      </c>
      <c r="K1358" s="55" t="e">
        <v>#N/A</v>
      </c>
    </row>
    <row r="1359" spans="1:11" ht="60" hidden="1" x14ac:dyDescent="0.25">
      <c r="A1359" s="2" t="s">
        <v>1574</v>
      </c>
      <c r="B1359" s="3">
        <v>84147</v>
      </c>
      <c r="C1359" s="4" t="s">
        <v>1595</v>
      </c>
      <c r="D1359" s="62" t="e">
        <v>#N/A</v>
      </c>
      <c r="E1359" s="55" t="e">
        <v>#N/A</v>
      </c>
      <c r="F1359" s="55" t="e">
        <v>#N/A</v>
      </c>
      <c r="G1359" s="55" t="e">
        <v>#N/A</v>
      </c>
      <c r="H1359" s="55" t="e">
        <v>#N/A</v>
      </c>
      <c r="I1359" s="55" t="e">
        <v>#N/A</v>
      </c>
      <c r="J1359" s="55" t="e">
        <v>#N/A</v>
      </c>
      <c r="K1359" s="55" t="e">
        <v>#N/A</v>
      </c>
    </row>
    <row r="1360" spans="1:11" ht="60" hidden="1" x14ac:dyDescent="0.25">
      <c r="A1360" s="2" t="s">
        <v>1574</v>
      </c>
      <c r="B1360" s="3">
        <v>84148</v>
      </c>
      <c r="C1360" s="4" t="s">
        <v>1596</v>
      </c>
      <c r="D1360" s="62" t="e">
        <v>#N/A</v>
      </c>
      <c r="E1360" s="55" t="e">
        <v>#N/A</v>
      </c>
      <c r="F1360" s="55" t="e">
        <v>#N/A</v>
      </c>
      <c r="G1360" s="55" t="e">
        <v>#N/A</v>
      </c>
      <c r="H1360" s="55" t="e">
        <v>#N/A</v>
      </c>
      <c r="I1360" s="55" t="e">
        <v>#N/A</v>
      </c>
      <c r="J1360" s="55" t="e">
        <v>#N/A</v>
      </c>
      <c r="K1360" s="55" t="e">
        <v>#N/A</v>
      </c>
    </row>
    <row r="1361" spans="1:11" ht="60" hidden="1" x14ac:dyDescent="0.25">
      <c r="A1361" s="2" t="s">
        <v>1574</v>
      </c>
      <c r="B1361" s="3">
        <v>84149</v>
      </c>
      <c r="C1361" s="4" t="s">
        <v>1597</v>
      </c>
      <c r="D1361" s="62" t="e">
        <v>#N/A</v>
      </c>
      <c r="E1361" s="55" t="e">
        <v>#N/A</v>
      </c>
      <c r="F1361" s="55" t="e">
        <v>#N/A</v>
      </c>
      <c r="G1361" s="55" t="e">
        <v>#N/A</v>
      </c>
      <c r="H1361" s="55" t="e">
        <v>#N/A</v>
      </c>
      <c r="I1361" s="55" t="e">
        <v>#N/A</v>
      </c>
      <c r="J1361" s="55" t="e">
        <v>#N/A</v>
      </c>
      <c r="K1361" s="55" t="e">
        <v>#N/A</v>
      </c>
    </row>
    <row r="1362" spans="1:11" ht="30" hidden="1" x14ac:dyDescent="0.25">
      <c r="A1362" s="2" t="s">
        <v>1574</v>
      </c>
      <c r="B1362" s="3">
        <v>84210</v>
      </c>
      <c r="C1362" s="4" t="s">
        <v>1598</v>
      </c>
      <c r="D1362" s="62" t="e">
        <v>#N/A</v>
      </c>
      <c r="E1362" s="55" t="e">
        <v>#N/A</v>
      </c>
      <c r="F1362" s="55" t="e">
        <v>#N/A</v>
      </c>
      <c r="G1362" s="55" t="e">
        <v>#N/A</v>
      </c>
      <c r="H1362" s="55" t="e">
        <v>#N/A</v>
      </c>
      <c r="I1362" s="55" t="e">
        <v>#N/A</v>
      </c>
      <c r="J1362" s="55" t="e">
        <v>#N/A</v>
      </c>
      <c r="K1362" s="55" t="e">
        <v>#N/A</v>
      </c>
    </row>
    <row r="1363" spans="1:11" ht="60" hidden="1" x14ac:dyDescent="0.25">
      <c r="A1363" s="2" t="s">
        <v>1574</v>
      </c>
      <c r="B1363" s="3">
        <v>84221</v>
      </c>
      <c r="C1363" s="4" t="s">
        <v>1599</v>
      </c>
      <c r="D1363" s="62" t="e">
        <v>#N/A</v>
      </c>
      <c r="E1363" s="55" t="e">
        <v>#N/A</v>
      </c>
      <c r="F1363" s="55" t="e">
        <v>#N/A</v>
      </c>
      <c r="G1363" s="55" t="e">
        <v>#N/A</v>
      </c>
      <c r="H1363" s="55" t="e">
        <v>#N/A</v>
      </c>
      <c r="I1363" s="55" t="e">
        <v>#N/A</v>
      </c>
      <c r="J1363" s="55" t="e">
        <v>#N/A</v>
      </c>
      <c r="K1363" s="55" t="e">
        <v>#N/A</v>
      </c>
    </row>
    <row r="1364" spans="1:11" hidden="1" x14ac:dyDescent="0.25">
      <c r="A1364" s="2" t="s">
        <v>1574</v>
      </c>
      <c r="B1364" s="3">
        <v>84222</v>
      </c>
      <c r="C1364" s="4" t="s">
        <v>1600</v>
      </c>
      <c r="D1364" s="62" t="e">
        <v>#N/A</v>
      </c>
      <c r="E1364" s="55" t="e">
        <v>#N/A</v>
      </c>
      <c r="F1364" s="55" t="e">
        <v>#N/A</v>
      </c>
      <c r="G1364" s="55" t="e">
        <v>#N/A</v>
      </c>
      <c r="H1364" s="55" t="e">
        <v>#N/A</v>
      </c>
      <c r="I1364" s="55" t="e">
        <v>#N/A</v>
      </c>
      <c r="J1364" s="55" t="e">
        <v>#N/A</v>
      </c>
      <c r="K1364" s="55" t="e">
        <v>#N/A</v>
      </c>
    </row>
    <row r="1365" spans="1:11" hidden="1" x14ac:dyDescent="0.25">
      <c r="A1365" s="2" t="s">
        <v>1574</v>
      </c>
      <c r="B1365" s="3">
        <v>84223</v>
      </c>
      <c r="C1365" s="4" t="s">
        <v>1601</v>
      </c>
      <c r="D1365" s="62" t="e">
        <v>#N/A</v>
      </c>
      <c r="E1365" s="55" t="e">
        <v>#N/A</v>
      </c>
      <c r="F1365" s="55" t="e">
        <v>#N/A</v>
      </c>
      <c r="G1365" s="55" t="e">
        <v>#N/A</v>
      </c>
      <c r="H1365" s="55" t="e">
        <v>#N/A</v>
      </c>
      <c r="I1365" s="55" t="e">
        <v>#N/A</v>
      </c>
      <c r="J1365" s="55" t="e">
        <v>#N/A</v>
      </c>
      <c r="K1365" s="55" t="e">
        <v>#N/A</v>
      </c>
    </row>
    <row r="1366" spans="1:11" hidden="1" x14ac:dyDescent="0.25">
      <c r="A1366" s="2" t="s">
        <v>1574</v>
      </c>
      <c r="B1366" s="3">
        <v>84224</v>
      </c>
      <c r="C1366" s="4" t="s">
        <v>1602</v>
      </c>
      <c r="D1366" s="62" t="e">
        <v>#N/A</v>
      </c>
      <c r="E1366" s="55" t="e">
        <v>#N/A</v>
      </c>
      <c r="F1366" s="55" t="e">
        <v>#N/A</v>
      </c>
      <c r="G1366" s="55" t="e">
        <v>#N/A</v>
      </c>
      <c r="H1366" s="55" t="e">
        <v>#N/A</v>
      </c>
      <c r="I1366" s="55" t="e">
        <v>#N/A</v>
      </c>
      <c r="J1366" s="55" t="e">
        <v>#N/A</v>
      </c>
      <c r="K1366" s="55" t="e">
        <v>#N/A</v>
      </c>
    </row>
    <row r="1367" spans="1:11" hidden="1" x14ac:dyDescent="0.25">
      <c r="A1367" s="2" t="s">
        <v>1574</v>
      </c>
      <c r="B1367" s="3">
        <v>84231</v>
      </c>
      <c r="C1367" s="4" t="s">
        <v>1603</v>
      </c>
      <c r="D1367" s="62" t="e">
        <v>#N/A</v>
      </c>
      <c r="E1367" s="55" t="e">
        <v>#N/A</v>
      </c>
      <c r="F1367" s="55" t="e">
        <v>#N/A</v>
      </c>
      <c r="G1367" s="55" t="e">
        <v>#N/A</v>
      </c>
      <c r="H1367" s="55" t="e">
        <v>#N/A</v>
      </c>
      <c r="I1367" s="55" t="e">
        <v>#N/A</v>
      </c>
      <c r="J1367" s="55" t="e">
        <v>#N/A</v>
      </c>
      <c r="K1367" s="55" t="e">
        <v>#N/A</v>
      </c>
    </row>
    <row r="1368" spans="1:11" hidden="1" x14ac:dyDescent="0.25">
      <c r="A1368" s="2" t="s">
        <v>1574</v>
      </c>
      <c r="B1368" s="3">
        <v>84232</v>
      </c>
      <c r="C1368" s="4" t="s">
        <v>1604</v>
      </c>
      <c r="D1368" s="62" t="e">
        <v>#N/A</v>
      </c>
      <c r="E1368" s="55" t="e">
        <v>#N/A</v>
      </c>
      <c r="F1368" s="55" t="e">
        <v>#N/A</v>
      </c>
      <c r="G1368" s="55" t="e">
        <v>#N/A</v>
      </c>
      <c r="H1368" s="55" t="e">
        <v>#N/A</v>
      </c>
      <c r="I1368" s="55" t="e">
        <v>#N/A</v>
      </c>
      <c r="J1368" s="55" t="e">
        <v>#N/A</v>
      </c>
      <c r="K1368" s="55" t="e">
        <v>#N/A</v>
      </c>
    </row>
    <row r="1369" spans="1:11" ht="30" hidden="1" x14ac:dyDescent="0.25">
      <c r="A1369" s="2" t="s">
        <v>1574</v>
      </c>
      <c r="B1369" s="3">
        <v>84233</v>
      </c>
      <c r="C1369" s="4" t="s">
        <v>1605</v>
      </c>
      <c r="D1369" s="62" t="e">
        <v>#N/A</v>
      </c>
      <c r="E1369" s="55" t="e">
        <v>#N/A</v>
      </c>
      <c r="F1369" s="55" t="e">
        <v>#N/A</v>
      </c>
      <c r="G1369" s="55" t="e">
        <v>#N/A</v>
      </c>
      <c r="H1369" s="55" t="e">
        <v>#N/A</v>
      </c>
      <c r="I1369" s="55" t="e">
        <v>#N/A</v>
      </c>
      <c r="J1369" s="55" t="e">
        <v>#N/A</v>
      </c>
      <c r="K1369" s="55" t="e">
        <v>#N/A</v>
      </c>
    </row>
    <row r="1370" spans="1:11" ht="60" hidden="1" x14ac:dyDescent="0.25">
      <c r="A1370" s="2" t="s">
        <v>1574</v>
      </c>
      <c r="B1370" s="3">
        <v>84234</v>
      </c>
      <c r="C1370" s="4" t="s">
        <v>1606</v>
      </c>
      <c r="D1370" s="62" t="e">
        <v>#N/A</v>
      </c>
      <c r="E1370" s="55" t="e">
        <v>#N/A</v>
      </c>
      <c r="F1370" s="55" t="e">
        <v>#N/A</v>
      </c>
      <c r="G1370" s="55" t="e">
        <v>#N/A</v>
      </c>
      <c r="H1370" s="55" t="e">
        <v>#N/A</v>
      </c>
      <c r="I1370" s="55" t="e">
        <v>#N/A</v>
      </c>
      <c r="J1370" s="55" t="e">
        <v>#N/A</v>
      </c>
      <c r="K1370" s="55" t="e">
        <v>#N/A</v>
      </c>
    </row>
    <row r="1371" spans="1:11" ht="30" hidden="1" x14ac:dyDescent="0.25">
      <c r="A1371" s="2" t="s">
        <v>1574</v>
      </c>
      <c r="B1371" s="3">
        <v>84300</v>
      </c>
      <c r="C1371" s="4" t="s">
        <v>1607</v>
      </c>
      <c r="D1371" s="62" t="e">
        <v>#N/A</v>
      </c>
      <c r="E1371" s="55" t="e">
        <v>#N/A</v>
      </c>
      <c r="F1371" s="55" t="e">
        <v>#N/A</v>
      </c>
      <c r="G1371" s="55" t="e">
        <v>#N/A</v>
      </c>
      <c r="H1371" s="55" t="e">
        <v>#N/A</v>
      </c>
      <c r="I1371" s="55" t="e">
        <v>#N/A</v>
      </c>
      <c r="J1371" s="55" t="e">
        <v>#N/A</v>
      </c>
      <c r="K1371" s="55" t="e">
        <v>#N/A</v>
      </c>
    </row>
    <row r="1372" spans="1:11" ht="45" hidden="1" x14ac:dyDescent="0.25">
      <c r="A1372" s="2" t="s">
        <v>46</v>
      </c>
      <c r="B1372" s="5">
        <v>85101</v>
      </c>
      <c r="C1372" s="4" t="s">
        <v>47</v>
      </c>
      <c r="D1372" s="62" t="s">
        <v>112</v>
      </c>
      <c r="E1372" s="55" t="e">
        <v>#N/A</v>
      </c>
      <c r="F1372" s="55" t="s">
        <v>111</v>
      </c>
      <c r="G1372" s="55">
        <v>0</v>
      </c>
      <c r="H1372" s="55" t="e">
        <v>#N/A</v>
      </c>
      <c r="I1372" s="55" t="e">
        <v>#N/A</v>
      </c>
      <c r="J1372" s="55" t="e">
        <v>#N/A</v>
      </c>
      <c r="K1372" s="55" t="e">
        <v>#N/A</v>
      </c>
    </row>
    <row r="1373" spans="1:11" ht="45" hidden="1" x14ac:dyDescent="0.25">
      <c r="A1373" s="2" t="s">
        <v>46</v>
      </c>
      <c r="B1373" s="5">
        <v>85102</v>
      </c>
      <c r="C1373" s="4" t="s">
        <v>48</v>
      </c>
      <c r="D1373" s="62" t="s">
        <v>1826</v>
      </c>
      <c r="E1373" s="55" t="e">
        <v>#N/A</v>
      </c>
      <c r="F1373" s="55" t="s">
        <v>111</v>
      </c>
      <c r="G1373" s="55">
        <v>0</v>
      </c>
      <c r="H1373" s="55" t="e">
        <v>#N/A</v>
      </c>
      <c r="I1373" s="55" t="e">
        <v>#N/A</v>
      </c>
      <c r="J1373" s="55" t="e">
        <v>#N/A</v>
      </c>
      <c r="K1373" s="55" t="e">
        <v>#N/A</v>
      </c>
    </row>
    <row r="1374" spans="1:11" ht="45" hidden="1" x14ac:dyDescent="0.25">
      <c r="A1374" s="2" t="s">
        <v>46</v>
      </c>
      <c r="B1374" s="5">
        <v>85103</v>
      </c>
      <c r="C1374" s="4" t="s">
        <v>49</v>
      </c>
      <c r="D1374" s="62" t="s">
        <v>1827</v>
      </c>
      <c r="E1374" s="55" t="e">
        <v>#N/A</v>
      </c>
      <c r="F1374" s="55" t="s">
        <v>111</v>
      </c>
      <c r="G1374" s="55">
        <v>0</v>
      </c>
      <c r="H1374" s="55" t="e">
        <v>#N/A</v>
      </c>
      <c r="I1374" s="55" t="e">
        <v>#N/A</v>
      </c>
      <c r="J1374" s="55" t="e">
        <v>#N/A</v>
      </c>
      <c r="K1374" s="55" t="e">
        <v>#N/A</v>
      </c>
    </row>
    <row r="1375" spans="1:11" ht="75" hidden="1" x14ac:dyDescent="0.25">
      <c r="A1375" s="2" t="s">
        <v>46</v>
      </c>
      <c r="B1375" s="5">
        <v>85104</v>
      </c>
      <c r="C1375" s="4" t="s">
        <v>50</v>
      </c>
      <c r="D1375" s="62" t="s">
        <v>1828</v>
      </c>
      <c r="E1375" s="55" t="e">
        <v>#N/A</v>
      </c>
      <c r="F1375" s="55" t="s">
        <v>111</v>
      </c>
      <c r="G1375" s="55">
        <v>0</v>
      </c>
      <c r="H1375" s="55" t="e">
        <v>#N/A</v>
      </c>
      <c r="I1375" s="55" t="e">
        <v>#N/A</v>
      </c>
      <c r="J1375" s="55" t="e">
        <v>#N/A</v>
      </c>
      <c r="K1375" s="55" t="e">
        <v>#N/A</v>
      </c>
    </row>
    <row r="1376" spans="1:11" ht="30" hidden="1" x14ac:dyDescent="0.25">
      <c r="A1376" s="2" t="s">
        <v>46</v>
      </c>
      <c r="B1376" s="3">
        <v>85201</v>
      </c>
      <c r="C1376" s="4" t="s">
        <v>51</v>
      </c>
      <c r="D1376" s="62" t="s">
        <v>1829</v>
      </c>
      <c r="E1376" s="55" t="e">
        <v>#N/A</v>
      </c>
      <c r="F1376" s="55" t="s">
        <v>111</v>
      </c>
      <c r="G1376" s="55">
        <v>0</v>
      </c>
      <c r="H1376" s="55" t="e">
        <v>#N/A</v>
      </c>
      <c r="I1376" s="55" t="e">
        <v>#N/A</v>
      </c>
      <c r="J1376" s="55" t="e">
        <v>#N/A</v>
      </c>
      <c r="K1376" s="55" t="e">
        <v>#N/A</v>
      </c>
    </row>
    <row r="1377" spans="1:11" ht="30" hidden="1" x14ac:dyDescent="0.25">
      <c r="A1377" s="2" t="s">
        <v>46</v>
      </c>
      <c r="B1377" s="3">
        <v>85202</v>
      </c>
      <c r="C1377" s="4" t="s">
        <v>52</v>
      </c>
      <c r="D1377" s="62" t="s">
        <v>1830</v>
      </c>
      <c r="E1377" s="55" t="e">
        <v>#N/A</v>
      </c>
      <c r="F1377" s="55" t="s">
        <v>111</v>
      </c>
      <c r="G1377" s="55">
        <v>0</v>
      </c>
      <c r="H1377" s="55" t="e">
        <v>#N/A</v>
      </c>
      <c r="I1377" s="55" t="e">
        <v>#N/A</v>
      </c>
      <c r="J1377" s="55" t="e">
        <v>#N/A</v>
      </c>
      <c r="K1377" s="55" t="e">
        <v>#N/A</v>
      </c>
    </row>
    <row r="1378" spans="1:11" ht="45" hidden="1" x14ac:dyDescent="0.25">
      <c r="A1378" s="2" t="s">
        <v>46</v>
      </c>
      <c r="B1378" s="3">
        <v>85203</v>
      </c>
      <c r="C1378" s="4" t="s">
        <v>53</v>
      </c>
      <c r="D1378" s="62" t="s">
        <v>1831</v>
      </c>
      <c r="E1378" s="55" t="e">
        <v>#N/A</v>
      </c>
      <c r="F1378" s="55" t="s">
        <v>111</v>
      </c>
      <c r="G1378" s="55">
        <v>0</v>
      </c>
      <c r="H1378" s="55" t="e">
        <v>#N/A</v>
      </c>
      <c r="I1378" s="55" t="e">
        <v>#N/A</v>
      </c>
      <c r="J1378" s="55" t="e">
        <v>#N/A</v>
      </c>
      <c r="K1378" s="55" t="e">
        <v>#N/A</v>
      </c>
    </row>
    <row r="1379" spans="1:11" ht="60" hidden="1" x14ac:dyDescent="0.25">
      <c r="A1379" s="2" t="s">
        <v>46</v>
      </c>
      <c r="B1379" s="3">
        <v>85204</v>
      </c>
      <c r="C1379" s="4" t="s">
        <v>54</v>
      </c>
      <c r="D1379" s="62" t="s">
        <v>1832</v>
      </c>
      <c r="E1379" s="55" t="e">
        <v>#N/A</v>
      </c>
      <c r="F1379" s="55" t="s">
        <v>111</v>
      </c>
      <c r="G1379" s="55">
        <v>0</v>
      </c>
      <c r="H1379" s="55" t="e">
        <v>#N/A</v>
      </c>
      <c r="I1379" s="55" t="e">
        <v>#N/A</v>
      </c>
      <c r="J1379" s="55" t="e">
        <v>#N/A</v>
      </c>
      <c r="K1379" s="55" t="e">
        <v>#N/A</v>
      </c>
    </row>
    <row r="1380" spans="1:11" ht="45" hidden="1" x14ac:dyDescent="0.25">
      <c r="A1380" s="2" t="s">
        <v>46</v>
      </c>
      <c r="B1380" s="3">
        <v>85311</v>
      </c>
      <c r="C1380" s="4" t="s">
        <v>55</v>
      </c>
      <c r="D1380" s="62" t="s">
        <v>1833</v>
      </c>
      <c r="E1380" s="55" t="e">
        <v>#N/A</v>
      </c>
      <c r="F1380" s="55" t="s">
        <v>111</v>
      </c>
      <c r="G1380" s="55">
        <v>0</v>
      </c>
      <c r="H1380" s="55" t="e">
        <v>#N/A</v>
      </c>
      <c r="I1380" s="55" t="e">
        <v>#N/A</v>
      </c>
      <c r="J1380" s="55" t="e">
        <v>#N/A</v>
      </c>
      <c r="K1380" s="55" t="e">
        <v>#N/A</v>
      </c>
    </row>
    <row r="1381" spans="1:11" ht="45" hidden="1" x14ac:dyDescent="0.25">
      <c r="A1381" s="2" t="s">
        <v>46</v>
      </c>
      <c r="B1381" s="3">
        <v>85312</v>
      </c>
      <c r="C1381" s="4" t="s">
        <v>56</v>
      </c>
      <c r="D1381" s="62" t="s">
        <v>1834</v>
      </c>
      <c r="E1381" s="55" t="e">
        <v>#N/A</v>
      </c>
      <c r="F1381" s="55" t="s">
        <v>111</v>
      </c>
      <c r="G1381" s="55">
        <v>0</v>
      </c>
      <c r="H1381" s="55" t="e">
        <v>#N/A</v>
      </c>
      <c r="I1381" s="55" t="e">
        <v>#N/A</v>
      </c>
      <c r="J1381" s="55" t="e">
        <v>#N/A</v>
      </c>
      <c r="K1381" s="55" t="e">
        <v>#N/A</v>
      </c>
    </row>
    <row r="1382" spans="1:11" ht="45" hidden="1" x14ac:dyDescent="0.25">
      <c r="A1382" s="2" t="s">
        <v>46</v>
      </c>
      <c r="B1382" s="3">
        <v>85313</v>
      </c>
      <c r="C1382" s="4" t="s">
        <v>57</v>
      </c>
      <c r="D1382" s="62" t="s">
        <v>1835</v>
      </c>
      <c r="E1382" s="55" t="e">
        <v>#N/A</v>
      </c>
      <c r="F1382" s="55" t="s">
        <v>111</v>
      </c>
      <c r="G1382" s="55">
        <v>0</v>
      </c>
      <c r="H1382" s="55" t="e">
        <v>#N/A</v>
      </c>
      <c r="I1382" s="55" t="e">
        <v>#N/A</v>
      </c>
      <c r="J1382" s="55" t="e">
        <v>#N/A</v>
      </c>
      <c r="K1382" s="55" t="e">
        <v>#N/A</v>
      </c>
    </row>
    <row r="1383" spans="1:11" ht="60" hidden="1" x14ac:dyDescent="0.25">
      <c r="A1383" s="2" t="s">
        <v>46</v>
      </c>
      <c r="B1383" s="3">
        <v>85314</v>
      </c>
      <c r="C1383" s="4" t="s">
        <v>58</v>
      </c>
      <c r="D1383" s="62" t="s">
        <v>1836</v>
      </c>
      <c r="E1383" s="55" t="e">
        <v>#N/A</v>
      </c>
      <c r="F1383" s="55" t="s">
        <v>111</v>
      </c>
      <c r="G1383" s="55">
        <v>0</v>
      </c>
      <c r="H1383" s="55" t="e">
        <v>#N/A</v>
      </c>
      <c r="I1383" s="55" t="e">
        <v>#N/A</v>
      </c>
      <c r="J1383" s="55" t="e">
        <v>#N/A</v>
      </c>
      <c r="K1383" s="55" t="e">
        <v>#N/A</v>
      </c>
    </row>
    <row r="1384" spans="1:11" ht="45" hidden="1" x14ac:dyDescent="0.25">
      <c r="A1384" s="2" t="s">
        <v>46</v>
      </c>
      <c r="B1384" s="3">
        <v>85315</v>
      </c>
      <c r="C1384" s="4" t="s">
        <v>59</v>
      </c>
      <c r="D1384" s="62" t="s">
        <v>1837</v>
      </c>
      <c r="E1384" s="55" t="e">
        <v>#N/A</v>
      </c>
      <c r="F1384" s="55" t="s">
        <v>111</v>
      </c>
      <c r="G1384" s="55">
        <v>0</v>
      </c>
      <c r="H1384" s="55" t="e">
        <v>#N/A</v>
      </c>
      <c r="I1384" s="55" t="e">
        <v>#N/A</v>
      </c>
      <c r="J1384" s="55" t="e">
        <v>#N/A</v>
      </c>
      <c r="K1384" s="55" t="e">
        <v>#N/A</v>
      </c>
    </row>
    <row r="1385" spans="1:11" ht="45" hidden="1" x14ac:dyDescent="0.25">
      <c r="A1385" s="2" t="s">
        <v>46</v>
      </c>
      <c r="B1385" s="3">
        <v>85316</v>
      </c>
      <c r="C1385" s="4" t="s">
        <v>60</v>
      </c>
      <c r="D1385" s="62" t="s">
        <v>1838</v>
      </c>
      <c r="E1385" s="55" t="e">
        <v>#N/A</v>
      </c>
      <c r="F1385" s="55" t="s">
        <v>111</v>
      </c>
      <c r="G1385" s="55">
        <v>0</v>
      </c>
      <c r="H1385" s="55" t="e">
        <v>#N/A</v>
      </c>
      <c r="I1385" s="55" t="e">
        <v>#N/A</v>
      </c>
      <c r="J1385" s="55" t="e">
        <v>#N/A</v>
      </c>
      <c r="K1385" s="55" t="e">
        <v>#N/A</v>
      </c>
    </row>
    <row r="1386" spans="1:11" ht="45" hidden="1" x14ac:dyDescent="0.25">
      <c r="A1386" s="2" t="s">
        <v>46</v>
      </c>
      <c r="B1386" s="3">
        <v>85317</v>
      </c>
      <c r="C1386" s="4" t="s">
        <v>61</v>
      </c>
      <c r="D1386" s="62" t="s">
        <v>1839</v>
      </c>
      <c r="E1386" s="55" t="e">
        <v>#N/A</v>
      </c>
      <c r="F1386" s="55" t="s">
        <v>111</v>
      </c>
      <c r="G1386" s="55">
        <v>0</v>
      </c>
      <c r="H1386" s="55" t="e">
        <v>#N/A</v>
      </c>
      <c r="I1386" s="55" t="e">
        <v>#N/A</v>
      </c>
      <c r="J1386" s="55" t="e">
        <v>#N/A</v>
      </c>
      <c r="K1386" s="55" t="e">
        <v>#N/A</v>
      </c>
    </row>
    <row r="1387" spans="1:11" ht="60" hidden="1" x14ac:dyDescent="0.25">
      <c r="A1387" s="2" t="s">
        <v>46</v>
      </c>
      <c r="B1387" s="3">
        <v>85318</v>
      </c>
      <c r="C1387" s="4" t="s">
        <v>62</v>
      </c>
      <c r="D1387" s="62" t="s">
        <v>1840</v>
      </c>
      <c r="E1387" s="55" t="e">
        <v>#N/A</v>
      </c>
      <c r="F1387" s="55" t="s">
        <v>111</v>
      </c>
      <c r="G1387" s="55">
        <v>0</v>
      </c>
      <c r="H1387" s="55" t="e">
        <v>#N/A</v>
      </c>
      <c r="I1387" s="55" t="e">
        <v>#N/A</v>
      </c>
      <c r="J1387" s="55" t="e">
        <v>#N/A</v>
      </c>
      <c r="K1387" s="55" t="e">
        <v>#N/A</v>
      </c>
    </row>
    <row r="1388" spans="1:11" ht="60" hidden="1" x14ac:dyDescent="0.25">
      <c r="A1388" s="2" t="s">
        <v>46</v>
      </c>
      <c r="B1388" s="3">
        <v>85321</v>
      </c>
      <c r="C1388" s="4" t="s">
        <v>63</v>
      </c>
      <c r="D1388" s="62" t="s">
        <v>1841</v>
      </c>
      <c r="E1388" s="55" t="e">
        <v>#N/A</v>
      </c>
      <c r="F1388" s="55" t="s">
        <v>111</v>
      </c>
      <c r="G1388" s="55">
        <v>0</v>
      </c>
      <c r="H1388" s="55" t="e">
        <v>#N/A</v>
      </c>
      <c r="I1388" s="55" t="e">
        <v>#N/A</v>
      </c>
      <c r="J1388" s="55" t="e">
        <v>#N/A</v>
      </c>
      <c r="K1388" s="55" t="e">
        <v>#N/A</v>
      </c>
    </row>
    <row r="1389" spans="1:11" ht="60" hidden="1" x14ac:dyDescent="0.25">
      <c r="A1389" s="2" t="s">
        <v>46</v>
      </c>
      <c r="B1389" s="3">
        <v>85322</v>
      </c>
      <c r="C1389" s="4" t="s">
        <v>64</v>
      </c>
      <c r="D1389" s="62" t="s">
        <v>1842</v>
      </c>
      <c r="E1389" s="55" t="e">
        <v>#N/A</v>
      </c>
      <c r="F1389" s="55" t="s">
        <v>111</v>
      </c>
      <c r="G1389" s="55">
        <v>0</v>
      </c>
      <c r="H1389" s="55" t="e">
        <v>#N/A</v>
      </c>
      <c r="I1389" s="55" t="e">
        <v>#N/A</v>
      </c>
      <c r="J1389" s="55" t="e">
        <v>#N/A</v>
      </c>
      <c r="K1389" s="55" t="e">
        <v>#N/A</v>
      </c>
    </row>
    <row r="1390" spans="1:11" ht="60" hidden="1" x14ac:dyDescent="0.25">
      <c r="A1390" s="2" t="s">
        <v>46</v>
      </c>
      <c r="B1390" s="3">
        <v>85323</v>
      </c>
      <c r="C1390" s="4" t="s">
        <v>1608</v>
      </c>
      <c r="D1390" s="62" t="e">
        <v>#N/A</v>
      </c>
      <c r="E1390" s="55" t="e">
        <v>#N/A</v>
      </c>
      <c r="F1390" s="55" t="e">
        <v>#N/A</v>
      </c>
      <c r="G1390" s="55" t="e">
        <v>#N/A</v>
      </c>
      <c r="H1390" s="55" t="e">
        <v>#N/A</v>
      </c>
      <c r="I1390" s="55" t="e">
        <v>#N/A</v>
      </c>
      <c r="J1390" s="55" t="e">
        <v>#N/A</v>
      </c>
      <c r="K1390" s="55" t="e">
        <v>#N/A</v>
      </c>
    </row>
    <row r="1391" spans="1:11" ht="75" hidden="1" x14ac:dyDescent="0.25">
      <c r="A1391" s="2" t="s">
        <v>46</v>
      </c>
      <c r="B1391" s="3">
        <v>85324</v>
      </c>
      <c r="C1391" s="4" t="s">
        <v>1609</v>
      </c>
      <c r="D1391" s="62" t="e">
        <v>#N/A</v>
      </c>
      <c r="E1391" s="55" t="e">
        <v>#N/A</v>
      </c>
      <c r="F1391" s="55" t="e">
        <v>#N/A</v>
      </c>
      <c r="G1391" s="55" t="e">
        <v>#N/A</v>
      </c>
      <c r="H1391" s="55" t="e">
        <v>#N/A</v>
      </c>
      <c r="I1391" s="55" t="e">
        <v>#N/A</v>
      </c>
      <c r="J1391" s="55" t="e">
        <v>#N/A</v>
      </c>
      <c r="K1391" s="55" t="e">
        <v>#N/A</v>
      </c>
    </row>
    <row r="1392" spans="1:11" ht="45" hidden="1" x14ac:dyDescent="0.25">
      <c r="A1392" s="2" t="s">
        <v>46</v>
      </c>
      <c r="B1392" s="3">
        <v>85330</v>
      </c>
      <c r="C1392" s="4" t="s">
        <v>1610</v>
      </c>
      <c r="D1392" s="62" t="e">
        <v>#N/A</v>
      </c>
      <c r="E1392" s="55" t="e">
        <v>#N/A</v>
      </c>
      <c r="F1392" s="55" t="e">
        <v>#N/A</v>
      </c>
      <c r="G1392" s="55" t="e">
        <v>#N/A</v>
      </c>
      <c r="H1392" s="55" t="e">
        <v>#N/A</v>
      </c>
      <c r="I1392" s="55" t="e">
        <v>#N/A</v>
      </c>
      <c r="J1392" s="55" t="e">
        <v>#N/A</v>
      </c>
      <c r="K1392" s="55" t="e">
        <v>#N/A</v>
      </c>
    </row>
    <row r="1393" spans="1:11" ht="30" hidden="1" x14ac:dyDescent="0.25">
      <c r="A1393" s="2" t="s">
        <v>46</v>
      </c>
      <c r="B1393" s="3">
        <v>85401</v>
      </c>
      <c r="C1393" s="4" t="s">
        <v>65</v>
      </c>
      <c r="D1393" s="62" t="s">
        <v>1843</v>
      </c>
      <c r="E1393" s="55" t="e">
        <v>#N/A</v>
      </c>
      <c r="F1393" s="55" t="s">
        <v>111</v>
      </c>
      <c r="G1393" s="55">
        <v>0</v>
      </c>
      <c r="H1393" s="55" t="e">
        <v>#N/A</v>
      </c>
      <c r="I1393" s="55" t="e">
        <v>#N/A</v>
      </c>
      <c r="J1393" s="55" t="e">
        <v>#N/A</v>
      </c>
      <c r="K1393" s="55" t="e">
        <v>#N/A</v>
      </c>
    </row>
    <row r="1394" spans="1:11" ht="45" hidden="1" x14ac:dyDescent="0.25">
      <c r="A1394" s="2" t="s">
        <v>46</v>
      </c>
      <c r="B1394" s="3">
        <v>85402</v>
      </c>
      <c r="C1394" s="4" t="s">
        <v>66</v>
      </c>
      <c r="D1394" s="62" t="s">
        <v>1844</v>
      </c>
      <c r="E1394" s="55" t="e">
        <v>#N/A</v>
      </c>
      <c r="F1394" s="55" t="s">
        <v>111</v>
      </c>
      <c r="G1394" s="55">
        <v>0</v>
      </c>
      <c r="H1394" s="55" t="e">
        <v>#N/A</v>
      </c>
      <c r="I1394" s="55" t="e">
        <v>#N/A</v>
      </c>
      <c r="J1394" s="55" t="e">
        <v>#N/A</v>
      </c>
      <c r="K1394" s="55" t="e">
        <v>#N/A</v>
      </c>
    </row>
    <row r="1395" spans="1:11" ht="45" hidden="1" x14ac:dyDescent="0.25">
      <c r="A1395" s="2" t="s">
        <v>46</v>
      </c>
      <c r="B1395" s="3">
        <v>85403</v>
      </c>
      <c r="C1395" s="4" t="s">
        <v>67</v>
      </c>
      <c r="D1395" s="62" t="s">
        <v>1845</v>
      </c>
      <c r="E1395" s="55" t="e">
        <v>#N/A</v>
      </c>
      <c r="F1395" s="55" t="s">
        <v>111</v>
      </c>
      <c r="G1395" s="55">
        <v>0</v>
      </c>
      <c r="H1395" s="55" t="e">
        <v>#N/A</v>
      </c>
      <c r="I1395" s="55" t="e">
        <v>#N/A</v>
      </c>
      <c r="J1395" s="55" t="e">
        <v>#N/A</v>
      </c>
      <c r="K1395" s="55" t="e">
        <v>#N/A</v>
      </c>
    </row>
    <row r="1396" spans="1:11" ht="30" hidden="1" x14ac:dyDescent="0.25">
      <c r="A1396" s="2" t="s">
        <v>46</v>
      </c>
      <c r="B1396" s="3">
        <v>85404</v>
      </c>
      <c r="C1396" s="4" t="s">
        <v>68</v>
      </c>
      <c r="D1396" s="62" t="s">
        <v>1846</v>
      </c>
      <c r="E1396" s="55" t="e">
        <v>#N/A</v>
      </c>
      <c r="F1396" s="55" t="s">
        <v>111</v>
      </c>
      <c r="G1396" s="55">
        <v>0</v>
      </c>
      <c r="H1396" s="55" t="e">
        <v>#N/A</v>
      </c>
      <c r="I1396" s="55" t="e">
        <v>#N/A</v>
      </c>
      <c r="J1396" s="55" t="e">
        <v>#N/A</v>
      </c>
      <c r="K1396" s="55" t="e">
        <v>#N/A</v>
      </c>
    </row>
    <row r="1397" spans="1:11" ht="45" hidden="1" x14ac:dyDescent="0.25">
      <c r="A1397" s="2" t="s">
        <v>46</v>
      </c>
      <c r="B1397" s="3">
        <v>85510</v>
      </c>
      <c r="C1397" s="4" t="s">
        <v>69</v>
      </c>
      <c r="D1397" s="62" t="s">
        <v>1966</v>
      </c>
      <c r="E1397" s="55" t="e">
        <v>#N/A</v>
      </c>
      <c r="F1397" s="55" t="s">
        <v>116</v>
      </c>
      <c r="G1397" s="55">
        <v>0</v>
      </c>
      <c r="H1397" s="55" t="e">
        <v>#N/A</v>
      </c>
      <c r="I1397" s="55" t="e">
        <v>#N/A</v>
      </c>
      <c r="J1397" s="55" t="e">
        <v>#N/A</v>
      </c>
      <c r="K1397" s="55" t="e">
        <v>#N/A</v>
      </c>
    </row>
    <row r="1398" spans="1:11" ht="45" hidden="1" x14ac:dyDescent="0.25">
      <c r="A1398" s="2" t="s">
        <v>46</v>
      </c>
      <c r="B1398" s="3">
        <v>85520</v>
      </c>
      <c r="C1398" s="4" t="s">
        <v>70</v>
      </c>
      <c r="D1398" s="62" t="s">
        <v>1967</v>
      </c>
      <c r="E1398" s="55" t="e">
        <v>#N/A</v>
      </c>
      <c r="F1398" s="55" t="s">
        <v>116</v>
      </c>
      <c r="G1398" s="55">
        <v>0</v>
      </c>
      <c r="H1398" s="55" t="e">
        <v>#N/A</v>
      </c>
      <c r="I1398" s="55" t="e">
        <v>#N/A</v>
      </c>
      <c r="J1398" s="55" t="e">
        <v>#N/A</v>
      </c>
      <c r="K1398" s="55" t="e">
        <v>#N/A</v>
      </c>
    </row>
    <row r="1399" spans="1:11" ht="30" hidden="1" x14ac:dyDescent="0.25">
      <c r="A1399" s="2" t="s">
        <v>46</v>
      </c>
      <c r="B1399" s="3">
        <v>85530</v>
      </c>
      <c r="C1399" s="4" t="s">
        <v>71</v>
      </c>
      <c r="D1399" s="62" t="s">
        <v>1968</v>
      </c>
      <c r="E1399" s="55" t="e">
        <v>#N/A</v>
      </c>
      <c r="F1399" s="55" t="s">
        <v>116</v>
      </c>
      <c r="G1399" s="55">
        <v>0</v>
      </c>
      <c r="H1399" s="55" t="e">
        <v>#N/A</v>
      </c>
      <c r="I1399" s="55" t="e">
        <v>#N/A</v>
      </c>
      <c r="J1399" s="55" t="e">
        <v>#N/A</v>
      </c>
      <c r="K1399" s="55" t="e">
        <v>#N/A</v>
      </c>
    </row>
    <row r="1400" spans="1:11" ht="30" hidden="1" x14ac:dyDescent="0.25">
      <c r="A1400" s="2" t="s">
        <v>46</v>
      </c>
      <c r="B1400" s="3">
        <v>85541</v>
      </c>
      <c r="C1400" s="4" t="s">
        <v>72</v>
      </c>
      <c r="D1400" s="62" t="e">
        <v>#N/A</v>
      </c>
      <c r="E1400" s="55" t="e">
        <v>#N/A</v>
      </c>
      <c r="F1400" s="55" t="e">
        <v>#N/A</v>
      </c>
      <c r="G1400" s="55" t="e">
        <v>#N/A</v>
      </c>
      <c r="H1400" s="55" t="e">
        <v>#N/A</v>
      </c>
      <c r="I1400" s="55" t="e">
        <v>#N/A</v>
      </c>
      <c r="J1400" s="55" t="e">
        <v>#N/A</v>
      </c>
      <c r="K1400" s="55" t="e">
        <v>#N/A</v>
      </c>
    </row>
    <row r="1401" spans="1:11" ht="45" hidden="1" x14ac:dyDescent="0.25">
      <c r="A1401" s="2" t="s">
        <v>46</v>
      </c>
      <c r="B1401" s="3">
        <v>85542</v>
      </c>
      <c r="C1401" s="4" t="s">
        <v>73</v>
      </c>
      <c r="D1401" s="62" t="s">
        <v>1969</v>
      </c>
      <c r="E1401" s="55" t="e">
        <v>#N/A</v>
      </c>
      <c r="F1401" s="55" t="s">
        <v>116</v>
      </c>
      <c r="G1401" s="55">
        <v>0</v>
      </c>
      <c r="H1401" s="55" t="e">
        <v>#N/A</v>
      </c>
      <c r="I1401" s="55" t="e">
        <v>#N/A</v>
      </c>
      <c r="J1401" s="55" t="e">
        <v>#N/A</v>
      </c>
      <c r="K1401" s="55" t="e">
        <v>#N/A</v>
      </c>
    </row>
    <row r="1402" spans="1:11" ht="45" hidden="1" x14ac:dyDescent="0.25">
      <c r="A1402" s="2" t="s">
        <v>46</v>
      </c>
      <c r="B1402" s="3">
        <v>85549</v>
      </c>
      <c r="C1402" s="4" t="s">
        <v>74</v>
      </c>
      <c r="D1402" s="62" t="e">
        <v>#N/A</v>
      </c>
      <c r="E1402" s="55" t="e">
        <v>#N/A</v>
      </c>
      <c r="F1402" s="55" t="e">
        <v>#N/A</v>
      </c>
      <c r="G1402" s="55" t="e">
        <v>#N/A</v>
      </c>
      <c r="H1402" s="55" t="e">
        <v>#N/A</v>
      </c>
      <c r="I1402" s="55" t="e">
        <v>#N/A</v>
      </c>
      <c r="J1402" s="55" t="e">
        <v>#N/A</v>
      </c>
      <c r="K1402" s="55" t="e">
        <v>#N/A</v>
      </c>
    </row>
    <row r="1403" spans="1:11" ht="30" hidden="1" x14ac:dyDescent="0.25">
      <c r="A1403" s="2" t="s">
        <v>46</v>
      </c>
      <c r="B1403" s="3">
        <v>85550</v>
      </c>
      <c r="C1403" s="4" t="s">
        <v>75</v>
      </c>
      <c r="D1403" s="62" t="e">
        <v>#N/A</v>
      </c>
      <c r="E1403" s="55" t="e">
        <v>#N/A</v>
      </c>
      <c r="F1403" s="55" t="e">
        <v>#N/A</v>
      </c>
      <c r="G1403" s="55" t="e">
        <v>#N/A</v>
      </c>
      <c r="H1403" s="55" t="e">
        <v>#N/A</v>
      </c>
      <c r="I1403" s="55" t="e">
        <v>#N/A</v>
      </c>
      <c r="J1403" s="55" t="e">
        <v>#N/A</v>
      </c>
      <c r="K1403" s="55" t="e">
        <v>#N/A</v>
      </c>
    </row>
    <row r="1404" spans="1:11" ht="30" hidden="1" x14ac:dyDescent="0.25">
      <c r="A1404" s="2" t="s">
        <v>46</v>
      </c>
      <c r="B1404" s="3">
        <v>85560</v>
      </c>
      <c r="C1404" s="4" t="s">
        <v>76</v>
      </c>
      <c r="D1404" s="62" t="s">
        <v>1847</v>
      </c>
      <c r="E1404" s="55" t="e">
        <v>#N/A</v>
      </c>
      <c r="F1404" s="55" t="s">
        <v>111</v>
      </c>
      <c r="G1404" s="55">
        <v>0</v>
      </c>
      <c r="H1404" s="55" t="e">
        <v>#N/A</v>
      </c>
      <c r="I1404" s="55" t="e">
        <v>#N/A</v>
      </c>
      <c r="J1404" s="55" t="e">
        <v>#N/A</v>
      </c>
      <c r="K1404" s="55" t="e">
        <v>#N/A</v>
      </c>
    </row>
    <row r="1405" spans="1:11" ht="30" hidden="1" x14ac:dyDescent="0.25">
      <c r="A1405" s="2" t="s">
        <v>46</v>
      </c>
      <c r="B1405" s="3">
        <v>85571</v>
      </c>
      <c r="C1405" s="4" t="s">
        <v>1611</v>
      </c>
      <c r="D1405" s="62" t="e">
        <v>#N/A</v>
      </c>
      <c r="E1405" s="55" t="e">
        <v>#N/A</v>
      </c>
      <c r="F1405" s="55" t="e">
        <v>#N/A</v>
      </c>
      <c r="G1405" s="55" t="e">
        <v>#N/A</v>
      </c>
      <c r="H1405" s="55" t="e">
        <v>#N/A</v>
      </c>
      <c r="I1405" s="55" t="e">
        <v>#N/A</v>
      </c>
      <c r="J1405" s="55" t="e">
        <v>#N/A</v>
      </c>
      <c r="K1405" s="55" t="e">
        <v>#N/A</v>
      </c>
    </row>
    <row r="1406" spans="1:11" ht="60" hidden="1" x14ac:dyDescent="0.25">
      <c r="A1406" s="2" t="s">
        <v>46</v>
      </c>
      <c r="B1406" s="3">
        <v>85572</v>
      </c>
      <c r="C1406" s="4" t="s">
        <v>77</v>
      </c>
      <c r="D1406" s="62" t="e">
        <v>#N/A</v>
      </c>
      <c r="E1406" s="55" t="e">
        <v>#N/A</v>
      </c>
      <c r="F1406" s="55" t="e">
        <v>#N/A</v>
      </c>
      <c r="G1406" s="55" t="e">
        <v>#N/A</v>
      </c>
      <c r="H1406" s="55" t="e">
        <v>#N/A</v>
      </c>
      <c r="I1406" s="55" t="e">
        <v>#N/A</v>
      </c>
      <c r="J1406" s="55" t="e">
        <v>#N/A</v>
      </c>
      <c r="K1406" s="55" t="e">
        <v>#N/A</v>
      </c>
    </row>
    <row r="1407" spans="1:11" ht="45" hidden="1" x14ac:dyDescent="0.25">
      <c r="A1407" s="2" t="s">
        <v>46</v>
      </c>
      <c r="B1407" s="3">
        <v>85573</v>
      </c>
      <c r="C1407" s="4" t="s">
        <v>78</v>
      </c>
      <c r="D1407" s="62" t="e">
        <v>#N/A</v>
      </c>
      <c r="E1407" s="55" t="e">
        <v>#N/A</v>
      </c>
      <c r="F1407" s="55" t="e">
        <v>#N/A</v>
      </c>
      <c r="G1407" s="55" t="e">
        <v>#N/A</v>
      </c>
      <c r="H1407" s="55" t="e">
        <v>#N/A</v>
      </c>
      <c r="I1407" s="55" t="e">
        <v>#N/A</v>
      </c>
      <c r="J1407" s="55" t="e">
        <v>#N/A</v>
      </c>
      <c r="K1407" s="55" t="e">
        <v>#N/A</v>
      </c>
    </row>
    <row r="1408" spans="1:11" ht="45" hidden="1" x14ac:dyDescent="0.25">
      <c r="A1408" s="2" t="s">
        <v>46</v>
      </c>
      <c r="B1408" s="3">
        <v>85574</v>
      </c>
      <c r="C1408" s="4" t="s">
        <v>1612</v>
      </c>
      <c r="D1408" s="62" t="e">
        <v>#N/A</v>
      </c>
      <c r="E1408" s="55" t="e">
        <v>#N/A</v>
      </c>
      <c r="F1408" s="55" t="e">
        <v>#N/A</v>
      </c>
      <c r="G1408" s="55" t="e">
        <v>#N/A</v>
      </c>
      <c r="H1408" s="55" t="e">
        <v>#N/A</v>
      </c>
      <c r="I1408" s="55" t="e">
        <v>#N/A</v>
      </c>
      <c r="J1408" s="55" t="e">
        <v>#N/A</v>
      </c>
      <c r="K1408" s="55" t="e">
        <v>#N/A</v>
      </c>
    </row>
    <row r="1409" spans="1:11" ht="45" hidden="1" x14ac:dyDescent="0.25">
      <c r="A1409" s="2" t="s">
        <v>46</v>
      </c>
      <c r="B1409" s="3">
        <v>85575</v>
      </c>
      <c r="C1409" s="4" t="s">
        <v>1613</v>
      </c>
      <c r="D1409" s="62" t="e">
        <v>#N/A</v>
      </c>
      <c r="E1409" s="55" t="e">
        <v>#N/A</v>
      </c>
      <c r="F1409" s="55" t="e">
        <v>#N/A</v>
      </c>
      <c r="G1409" s="55" t="e">
        <v>#N/A</v>
      </c>
      <c r="H1409" s="55" t="e">
        <v>#N/A</v>
      </c>
      <c r="I1409" s="55" t="e">
        <v>#N/A</v>
      </c>
      <c r="J1409" s="55" t="e">
        <v>#N/A</v>
      </c>
      <c r="K1409" s="55" t="e">
        <v>#N/A</v>
      </c>
    </row>
    <row r="1410" spans="1:11" ht="45" hidden="1" x14ac:dyDescent="0.25">
      <c r="A1410" s="2" t="s">
        <v>46</v>
      </c>
      <c r="B1410" s="3">
        <v>85576</v>
      </c>
      <c r="C1410" s="4" t="s">
        <v>1614</v>
      </c>
      <c r="D1410" s="62" t="e">
        <v>#N/A</v>
      </c>
      <c r="E1410" s="55" t="e">
        <v>#N/A</v>
      </c>
      <c r="F1410" s="55" t="e">
        <v>#N/A</v>
      </c>
      <c r="G1410" s="55" t="e">
        <v>#N/A</v>
      </c>
      <c r="H1410" s="55" t="e">
        <v>#N/A</v>
      </c>
      <c r="I1410" s="55" t="e">
        <v>#N/A</v>
      </c>
      <c r="J1410" s="55" t="e">
        <v>#N/A</v>
      </c>
      <c r="K1410" s="55" t="e">
        <v>#N/A</v>
      </c>
    </row>
    <row r="1411" spans="1:11" ht="45" hidden="1" x14ac:dyDescent="0.25">
      <c r="A1411" s="2" t="s">
        <v>46</v>
      </c>
      <c r="B1411" s="3">
        <v>85577</v>
      </c>
      <c r="C1411" s="4" t="s">
        <v>1615</v>
      </c>
      <c r="D1411" s="62" t="e">
        <v>#N/A</v>
      </c>
      <c r="E1411" s="55" t="e">
        <v>#N/A</v>
      </c>
      <c r="F1411" s="55" t="e">
        <v>#N/A</v>
      </c>
      <c r="G1411" s="55" t="e">
        <v>#N/A</v>
      </c>
      <c r="H1411" s="55" t="e">
        <v>#N/A</v>
      </c>
      <c r="I1411" s="55" t="e">
        <v>#N/A</v>
      </c>
      <c r="J1411" s="55" t="e">
        <v>#N/A</v>
      </c>
      <c r="K1411" s="55" t="e">
        <v>#N/A</v>
      </c>
    </row>
    <row r="1412" spans="1:11" ht="45" hidden="1" x14ac:dyDescent="0.25">
      <c r="A1412" s="2" t="s">
        <v>46</v>
      </c>
      <c r="B1412" s="3">
        <v>85578</v>
      </c>
      <c r="C1412" s="4" t="s">
        <v>79</v>
      </c>
      <c r="D1412" s="62" t="e">
        <v>#N/A</v>
      </c>
      <c r="E1412" s="55" t="e">
        <v>#N/A</v>
      </c>
      <c r="F1412" s="55" t="e">
        <v>#N/A</v>
      </c>
      <c r="G1412" s="55" t="e">
        <v>#N/A</v>
      </c>
      <c r="H1412" s="55" t="e">
        <v>#N/A</v>
      </c>
      <c r="I1412" s="55" t="e">
        <v>#N/A</v>
      </c>
      <c r="J1412" s="55" t="e">
        <v>#N/A</v>
      </c>
      <c r="K1412" s="55" t="e">
        <v>#N/A</v>
      </c>
    </row>
    <row r="1413" spans="1:11" ht="30" hidden="1" x14ac:dyDescent="0.25">
      <c r="A1413" s="2" t="s">
        <v>46</v>
      </c>
      <c r="B1413" s="3">
        <v>85579</v>
      </c>
      <c r="C1413" s="4" t="s">
        <v>80</v>
      </c>
      <c r="D1413" s="62" t="e">
        <v>#N/A</v>
      </c>
      <c r="E1413" s="55" t="e">
        <v>#N/A</v>
      </c>
      <c r="F1413" s="55" t="e">
        <v>#N/A</v>
      </c>
      <c r="G1413" s="55" t="e">
        <v>#N/A</v>
      </c>
      <c r="H1413" s="55" t="e">
        <v>#N/A</v>
      </c>
      <c r="I1413" s="55" t="e">
        <v>#N/A</v>
      </c>
      <c r="J1413" s="55" t="e">
        <v>#N/A</v>
      </c>
      <c r="K1413" s="55" t="e">
        <v>#N/A</v>
      </c>
    </row>
    <row r="1414" spans="1:11" ht="30" hidden="1" x14ac:dyDescent="0.25">
      <c r="A1414" s="2" t="s">
        <v>46</v>
      </c>
      <c r="B1414" s="3">
        <v>85581</v>
      </c>
      <c r="C1414" s="4" t="s">
        <v>1616</v>
      </c>
      <c r="D1414" s="62" t="e">
        <v>#N/A</v>
      </c>
      <c r="E1414" s="55" t="e">
        <v>#N/A</v>
      </c>
      <c r="F1414" s="55" t="e">
        <v>#N/A</v>
      </c>
      <c r="G1414" s="55" t="e">
        <v>#N/A</v>
      </c>
      <c r="H1414" s="55" t="e">
        <v>#N/A</v>
      </c>
      <c r="I1414" s="55" t="e">
        <v>#N/A</v>
      </c>
      <c r="J1414" s="55" t="e">
        <v>#N/A</v>
      </c>
      <c r="K1414" s="55" t="e">
        <v>#N/A</v>
      </c>
    </row>
    <row r="1415" spans="1:11" ht="60" hidden="1" x14ac:dyDescent="0.25">
      <c r="A1415" s="2" t="s">
        <v>46</v>
      </c>
      <c r="B1415" s="3">
        <v>85582</v>
      </c>
      <c r="C1415" s="4" t="s">
        <v>1617</v>
      </c>
      <c r="D1415" s="62" t="e">
        <v>#N/A</v>
      </c>
      <c r="E1415" s="55" t="e">
        <v>#N/A</v>
      </c>
      <c r="F1415" s="55" t="e">
        <v>#N/A</v>
      </c>
      <c r="G1415" s="55" t="e">
        <v>#N/A</v>
      </c>
      <c r="H1415" s="55" t="e">
        <v>#N/A</v>
      </c>
      <c r="I1415" s="55" t="e">
        <v>#N/A</v>
      </c>
      <c r="J1415" s="55" t="e">
        <v>#N/A</v>
      </c>
      <c r="K1415" s="55" t="e">
        <v>#N/A</v>
      </c>
    </row>
    <row r="1416" spans="1:11" ht="45" hidden="1" x14ac:dyDescent="0.25">
      <c r="A1416" s="2" t="s">
        <v>46</v>
      </c>
      <c r="B1416" s="3">
        <v>85583</v>
      </c>
      <c r="C1416" s="4" t="s">
        <v>1618</v>
      </c>
      <c r="D1416" s="62" t="e">
        <v>#N/A</v>
      </c>
      <c r="E1416" s="55" t="e">
        <v>#N/A</v>
      </c>
      <c r="F1416" s="55" t="e">
        <v>#N/A</v>
      </c>
      <c r="G1416" s="55" t="e">
        <v>#N/A</v>
      </c>
      <c r="H1416" s="55" t="e">
        <v>#N/A</v>
      </c>
      <c r="I1416" s="55" t="e">
        <v>#N/A</v>
      </c>
      <c r="J1416" s="55" t="e">
        <v>#N/A</v>
      </c>
      <c r="K1416" s="55" t="e">
        <v>#N/A</v>
      </c>
    </row>
    <row r="1417" spans="1:11" ht="60" hidden="1" x14ac:dyDescent="0.25">
      <c r="A1417" s="2" t="s">
        <v>46</v>
      </c>
      <c r="B1417" s="3">
        <v>85584</v>
      </c>
      <c r="C1417" s="4" t="s">
        <v>1619</v>
      </c>
      <c r="D1417" s="62" t="e">
        <v>#N/A</v>
      </c>
      <c r="E1417" s="55" t="e">
        <v>#N/A</v>
      </c>
      <c r="F1417" s="55" t="e">
        <v>#N/A</v>
      </c>
      <c r="G1417" s="55" t="e">
        <v>#N/A</v>
      </c>
      <c r="H1417" s="55" t="e">
        <v>#N/A</v>
      </c>
      <c r="I1417" s="55" t="e">
        <v>#N/A</v>
      </c>
      <c r="J1417" s="55" t="e">
        <v>#N/A</v>
      </c>
      <c r="K1417" s="55" t="e">
        <v>#N/A</v>
      </c>
    </row>
    <row r="1418" spans="1:11" ht="60" hidden="1" x14ac:dyDescent="0.25">
      <c r="A1418" s="2" t="s">
        <v>46</v>
      </c>
      <c r="B1418" s="3">
        <v>85585</v>
      </c>
      <c r="C1418" s="4" t="s">
        <v>1620</v>
      </c>
      <c r="D1418" s="62" t="e">
        <v>#N/A</v>
      </c>
      <c r="E1418" s="55" t="e">
        <v>#N/A</v>
      </c>
      <c r="F1418" s="55" t="e">
        <v>#N/A</v>
      </c>
      <c r="G1418" s="55" t="e">
        <v>#N/A</v>
      </c>
      <c r="H1418" s="55" t="e">
        <v>#N/A</v>
      </c>
      <c r="I1418" s="55" t="e">
        <v>#N/A</v>
      </c>
      <c r="J1418" s="55" t="e">
        <v>#N/A</v>
      </c>
      <c r="K1418" s="55" t="e">
        <v>#N/A</v>
      </c>
    </row>
    <row r="1419" spans="1:11" ht="45" hidden="1" x14ac:dyDescent="0.25">
      <c r="A1419" s="2" t="s">
        <v>46</v>
      </c>
      <c r="B1419" s="3">
        <v>85586</v>
      </c>
      <c r="C1419" s="4" t="s">
        <v>1621</v>
      </c>
      <c r="D1419" s="62" t="e">
        <v>#N/A</v>
      </c>
      <c r="E1419" s="55" t="e">
        <v>#N/A</v>
      </c>
      <c r="F1419" s="55" t="e">
        <v>#N/A</v>
      </c>
      <c r="G1419" s="55" t="e">
        <v>#N/A</v>
      </c>
      <c r="H1419" s="55" t="e">
        <v>#N/A</v>
      </c>
      <c r="I1419" s="55" t="e">
        <v>#N/A</v>
      </c>
      <c r="J1419" s="55" t="e">
        <v>#N/A</v>
      </c>
      <c r="K1419" s="55" t="e">
        <v>#N/A</v>
      </c>
    </row>
    <row r="1420" spans="1:11" ht="60" hidden="1" x14ac:dyDescent="0.25">
      <c r="A1420" s="2" t="s">
        <v>46</v>
      </c>
      <c r="B1420" s="3">
        <v>85587</v>
      </c>
      <c r="C1420" s="4" t="s">
        <v>1622</v>
      </c>
      <c r="D1420" s="62" t="e">
        <v>#N/A</v>
      </c>
      <c r="E1420" s="55" t="e">
        <v>#N/A</v>
      </c>
      <c r="F1420" s="55" t="e">
        <v>#N/A</v>
      </c>
      <c r="G1420" s="55" t="e">
        <v>#N/A</v>
      </c>
      <c r="H1420" s="55" t="e">
        <v>#N/A</v>
      </c>
      <c r="I1420" s="55" t="e">
        <v>#N/A</v>
      </c>
      <c r="J1420" s="55" t="e">
        <v>#N/A</v>
      </c>
      <c r="K1420" s="55" t="e">
        <v>#N/A</v>
      </c>
    </row>
    <row r="1421" spans="1:11" ht="45" hidden="1" x14ac:dyDescent="0.25">
      <c r="A1421" s="2" t="s">
        <v>46</v>
      </c>
      <c r="B1421" s="3">
        <v>85589</v>
      </c>
      <c r="C1421" s="4" t="s">
        <v>1623</v>
      </c>
      <c r="D1421" s="62" t="e">
        <v>#N/A</v>
      </c>
      <c r="E1421" s="55" t="e">
        <v>#N/A</v>
      </c>
      <c r="F1421" s="55" t="e">
        <v>#N/A</v>
      </c>
      <c r="G1421" s="55" t="e">
        <v>#N/A</v>
      </c>
      <c r="H1421" s="55" t="e">
        <v>#N/A</v>
      </c>
      <c r="I1421" s="55" t="e">
        <v>#N/A</v>
      </c>
      <c r="J1421" s="55" t="e">
        <v>#N/A</v>
      </c>
      <c r="K1421" s="55" t="e">
        <v>#N/A</v>
      </c>
    </row>
    <row r="1422" spans="1:11" ht="45" hidden="1" x14ac:dyDescent="0.25">
      <c r="A1422" s="2" t="s">
        <v>46</v>
      </c>
      <c r="B1422" s="3">
        <v>85591</v>
      </c>
      <c r="C1422" s="4" t="s">
        <v>1624</v>
      </c>
      <c r="D1422" s="62" t="e">
        <v>#N/A</v>
      </c>
      <c r="E1422" s="55" t="e">
        <v>#N/A</v>
      </c>
      <c r="F1422" s="55" t="e">
        <v>#N/A</v>
      </c>
      <c r="G1422" s="55" t="e">
        <v>#N/A</v>
      </c>
      <c r="H1422" s="55" t="e">
        <v>#N/A</v>
      </c>
      <c r="I1422" s="55" t="e">
        <v>#N/A</v>
      </c>
      <c r="J1422" s="55" t="e">
        <v>#N/A</v>
      </c>
      <c r="K1422" s="55" t="e">
        <v>#N/A</v>
      </c>
    </row>
    <row r="1423" spans="1:11" ht="75" hidden="1" x14ac:dyDescent="0.25">
      <c r="A1423" s="2" t="s">
        <v>46</v>
      </c>
      <c r="B1423" s="3">
        <v>85592</v>
      </c>
      <c r="C1423" s="4" t="s">
        <v>81</v>
      </c>
      <c r="D1423" s="62" t="s">
        <v>113</v>
      </c>
      <c r="E1423" s="55" t="e">
        <v>#N/A</v>
      </c>
      <c r="F1423" s="55" t="s">
        <v>116</v>
      </c>
      <c r="G1423" s="55">
        <v>0</v>
      </c>
      <c r="H1423" s="55" t="e">
        <v>#N/A</v>
      </c>
      <c r="I1423" s="55" t="e">
        <v>#N/A</v>
      </c>
      <c r="J1423" s="55" t="e">
        <v>#N/A</v>
      </c>
      <c r="K1423" s="55" t="e">
        <v>#N/A</v>
      </c>
    </row>
    <row r="1424" spans="1:11" ht="30" hidden="1" x14ac:dyDescent="0.25">
      <c r="A1424" s="2" t="s">
        <v>46</v>
      </c>
      <c r="B1424" s="3">
        <v>85593</v>
      </c>
      <c r="C1424" s="4" t="s">
        <v>82</v>
      </c>
      <c r="D1424" s="62" t="s">
        <v>1970</v>
      </c>
      <c r="E1424" s="55" t="e">
        <v>#N/A</v>
      </c>
      <c r="F1424" s="55" t="s">
        <v>116</v>
      </c>
      <c r="G1424" s="55">
        <v>0</v>
      </c>
      <c r="H1424" s="55" t="e">
        <v>#N/A</v>
      </c>
      <c r="I1424" s="55" t="e">
        <v>#N/A</v>
      </c>
      <c r="J1424" s="55" t="e">
        <v>#N/A</v>
      </c>
      <c r="K1424" s="55" t="e">
        <v>#N/A</v>
      </c>
    </row>
    <row r="1425" spans="1:11" ht="30" hidden="1" x14ac:dyDescent="0.25">
      <c r="A1425" s="2" t="s">
        <v>46</v>
      </c>
      <c r="B1425" s="3">
        <v>85594</v>
      </c>
      <c r="C1425" s="4" t="s">
        <v>1625</v>
      </c>
      <c r="D1425" s="62" t="e">
        <v>#N/A</v>
      </c>
      <c r="E1425" s="55" t="e">
        <v>#N/A</v>
      </c>
      <c r="F1425" s="55" t="e">
        <v>#N/A</v>
      </c>
      <c r="G1425" s="55" t="e">
        <v>#N/A</v>
      </c>
      <c r="H1425" s="55" t="e">
        <v>#N/A</v>
      </c>
      <c r="I1425" s="55" t="e">
        <v>#N/A</v>
      </c>
      <c r="J1425" s="55" t="e">
        <v>#N/A</v>
      </c>
      <c r="K1425" s="55" t="e">
        <v>#N/A</v>
      </c>
    </row>
    <row r="1426" spans="1:11" ht="60" hidden="1" x14ac:dyDescent="0.25">
      <c r="A1426" s="2" t="s">
        <v>46</v>
      </c>
      <c r="B1426" s="3">
        <v>85595</v>
      </c>
      <c r="C1426" s="4" t="s">
        <v>83</v>
      </c>
      <c r="D1426" s="62" t="s">
        <v>1971</v>
      </c>
      <c r="E1426" s="55" t="e">
        <v>#N/A</v>
      </c>
      <c r="F1426" s="55" t="s">
        <v>116</v>
      </c>
      <c r="G1426" s="55">
        <v>0</v>
      </c>
      <c r="H1426" s="55" t="e">
        <v>#N/A</v>
      </c>
      <c r="I1426" s="55" t="e">
        <v>#N/A</v>
      </c>
      <c r="J1426" s="55" t="e">
        <v>#N/A</v>
      </c>
      <c r="K1426" s="55" t="e">
        <v>#N/A</v>
      </c>
    </row>
    <row r="1427" spans="1:11" ht="30" hidden="1" x14ac:dyDescent="0.25">
      <c r="A1427" s="2" t="s">
        <v>46</v>
      </c>
      <c r="B1427" s="3">
        <v>85596</v>
      </c>
      <c r="C1427" s="4" t="s">
        <v>1626</v>
      </c>
      <c r="D1427" s="62" t="e">
        <v>#N/A</v>
      </c>
      <c r="E1427" s="55" t="e">
        <v>#N/A</v>
      </c>
      <c r="F1427" s="55" t="e">
        <v>#N/A</v>
      </c>
      <c r="G1427" s="55" t="e">
        <v>#N/A</v>
      </c>
      <c r="H1427" s="55" t="e">
        <v>#N/A</v>
      </c>
      <c r="I1427" s="55" t="e">
        <v>#N/A</v>
      </c>
      <c r="J1427" s="55" t="e">
        <v>#N/A</v>
      </c>
      <c r="K1427" s="55" t="e">
        <v>#N/A</v>
      </c>
    </row>
    <row r="1428" spans="1:11" ht="45" hidden="1" x14ac:dyDescent="0.25">
      <c r="A1428" s="2" t="s">
        <v>46</v>
      </c>
      <c r="B1428" s="3">
        <v>85597</v>
      </c>
      <c r="C1428" s="4" t="s">
        <v>84</v>
      </c>
      <c r="D1428" s="62" t="e">
        <v>#N/A</v>
      </c>
      <c r="E1428" s="55" t="e">
        <v>#N/A</v>
      </c>
      <c r="F1428" s="55" t="e">
        <v>#N/A</v>
      </c>
      <c r="G1428" s="55" t="e">
        <v>#N/A</v>
      </c>
      <c r="H1428" s="55" t="e">
        <v>#N/A</v>
      </c>
      <c r="I1428" s="55" t="e">
        <v>#N/A</v>
      </c>
      <c r="J1428" s="55" t="e">
        <v>#N/A</v>
      </c>
      <c r="K1428" s="55" t="e">
        <v>#N/A</v>
      </c>
    </row>
    <row r="1429" spans="1:11" ht="45" hidden="1" x14ac:dyDescent="0.25">
      <c r="A1429" s="2" t="s">
        <v>46</v>
      </c>
      <c r="B1429" s="3">
        <v>85599</v>
      </c>
      <c r="C1429" s="4" t="s">
        <v>85</v>
      </c>
      <c r="D1429" s="62" t="s">
        <v>1972</v>
      </c>
      <c r="E1429" s="55" t="e">
        <v>#N/A</v>
      </c>
      <c r="F1429" s="55" t="s">
        <v>116</v>
      </c>
      <c r="G1429" s="55">
        <v>0</v>
      </c>
      <c r="H1429" s="55" t="e">
        <v>#N/A</v>
      </c>
      <c r="I1429" s="55" t="e">
        <v>#N/A</v>
      </c>
      <c r="J1429" s="55" t="e">
        <v>#N/A</v>
      </c>
      <c r="K1429" s="55" t="e">
        <v>#N/A</v>
      </c>
    </row>
    <row r="1430" spans="1:11" ht="30" hidden="1" x14ac:dyDescent="0.25">
      <c r="A1430" s="2" t="s">
        <v>46</v>
      </c>
      <c r="B1430" s="3">
        <v>85610</v>
      </c>
      <c r="C1430" s="4" t="s">
        <v>1627</v>
      </c>
      <c r="D1430" s="62" t="e">
        <v>#N/A</v>
      </c>
      <c r="E1430" s="55" t="e">
        <v>#N/A</v>
      </c>
      <c r="F1430" s="55" t="e">
        <v>#N/A</v>
      </c>
      <c r="G1430" s="55" t="s">
        <v>2090</v>
      </c>
      <c r="H1430" s="55" t="e">
        <v>#N/A</v>
      </c>
      <c r="I1430" s="55" t="e">
        <v>#N/A</v>
      </c>
      <c r="J1430" s="55" t="e">
        <v>#N/A</v>
      </c>
      <c r="K1430" s="55" t="e">
        <v>#N/A</v>
      </c>
    </row>
    <row r="1431" spans="1:11" ht="60" hidden="1" x14ac:dyDescent="0.25">
      <c r="A1431" s="2" t="s">
        <v>46</v>
      </c>
      <c r="B1431" s="3">
        <v>85691</v>
      </c>
      <c r="C1431" s="4" t="s">
        <v>1628</v>
      </c>
      <c r="D1431" s="62" t="e">
        <v>#N/A</v>
      </c>
      <c r="E1431" s="55" t="e">
        <v>#N/A</v>
      </c>
      <c r="F1431" s="55" t="e">
        <v>#N/A</v>
      </c>
      <c r="G1431" s="55" t="e">
        <v>#N/A</v>
      </c>
      <c r="H1431" s="55" t="e">
        <v>#N/A</v>
      </c>
      <c r="I1431" s="55" t="e">
        <v>#N/A</v>
      </c>
      <c r="J1431" s="55" t="e">
        <v>#N/A</v>
      </c>
      <c r="K1431" s="55" t="e">
        <v>#N/A</v>
      </c>
    </row>
    <row r="1432" spans="1:11" ht="60" hidden="1" x14ac:dyDescent="0.25">
      <c r="A1432" s="2" t="s">
        <v>46</v>
      </c>
      <c r="B1432" s="3">
        <v>85692</v>
      </c>
      <c r="C1432" s="4" t="s">
        <v>1628</v>
      </c>
      <c r="D1432" s="62" t="e">
        <v>#N/A</v>
      </c>
      <c r="E1432" s="55" t="e">
        <v>#N/A</v>
      </c>
      <c r="F1432" s="55" t="e">
        <v>#N/A</v>
      </c>
      <c r="G1432" s="55" t="e">
        <v>#N/A</v>
      </c>
      <c r="H1432" s="55" t="e">
        <v>#N/A</v>
      </c>
      <c r="I1432" s="55" t="e">
        <v>#N/A</v>
      </c>
      <c r="J1432" s="55" t="e">
        <v>#N/A</v>
      </c>
      <c r="K1432" s="55" t="e">
        <v>#N/A</v>
      </c>
    </row>
    <row r="1433" spans="1:11" ht="45" hidden="1" x14ac:dyDescent="0.25">
      <c r="A1433" s="2" t="s">
        <v>46</v>
      </c>
      <c r="B1433" s="3">
        <v>85693</v>
      </c>
      <c r="C1433" s="4" t="s">
        <v>1629</v>
      </c>
      <c r="D1433" s="62" t="e">
        <v>#N/A</v>
      </c>
      <c r="E1433" s="55" t="e">
        <v>#N/A</v>
      </c>
      <c r="F1433" s="55" t="e">
        <v>#N/A</v>
      </c>
      <c r="G1433" s="55" t="e">
        <v>#N/A</v>
      </c>
      <c r="H1433" s="55" t="e">
        <v>#N/A</v>
      </c>
      <c r="I1433" s="55" t="e">
        <v>#N/A</v>
      </c>
      <c r="J1433" s="55" t="e">
        <v>#N/A</v>
      </c>
      <c r="K1433" s="55" t="e">
        <v>#N/A</v>
      </c>
    </row>
    <row r="1434" spans="1:11" ht="45" hidden="1" x14ac:dyDescent="0.25">
      <c r="A1434" s="2" t="s">
        <v>46</v>
      </c>
      <c r="B1434" s="3">
        <v>85694</v>
      </c>
      <c r="C1434" s="4" t="s">
        <v>1630</v>
      </c>
      <c r="D1434" s="62" t="e">
        <v>#N/A</v>
      </c>
      <c r="E1434" s="55" t="e">
        <v>#N/A</v>
      </c>
      <c r="F1434" s="55" t="e">
        <v>#N/A</v>
      </c>
      <c r="G1434" s="55" t="e">
        <v>#N/A</v>
      </c>
      <c r="H1434" s="55" t="e">
        <v>#N/A</v>
      </c>
      <c r="I1434" s="55" t="e">
        <v>#N/A</v>
      </c>
      <c r="J1434" s="55" t="e">
        <v>#N/A</v>
      </c>
      <c r="K1434" s="55" t="e">
        <v>#N/A</v>
      </c>
    </row>
    <row r="1435" spans="1:11" ht="45" hidden="1" x14ac:dyDescent="0.25">
      <c r="A1435" s="2" t="s">
        <v>46</v>
      </c>
      <c r="B1435" s="3">
        <v>85699</v>
      </c>
      <c r="C1435" s="4" t="s">
        <v>1631</v>
      </c>
      <c r="D1435" s="62" t="e">
        <v>#N/A</v>
      </c>
      <c r="E1435" s="55" t="e">
        <v>#N/A</v>
      </c>
      <c r="F1435" s="55" t="e">
        <v>#N/A</v>
      </c>
      <c r="G1435" s="55" t="e">
        <v>#N/A</v>
      </c>
      <c r="H1435" s="55" t="e">
        <v>#N/A</v>
      </c>
      <c r="I1435" s="55" t="e">
        <v>#N/A</v>
      </c>
      <c r="J1435" s="55" t="e">
        <v>#N/A</v>
      </c>
      <c r="K1435" s="55" t="e">
        <v>#N/A</v>
      </c>
    </row>
    <row r="1436" spans="1:11" ht="30" hidden="1" x14ac:dyDescent="0.25">
      <c r="A1436" s="2" t="s">
        <v>86</v>
      </c>
      <c r="B1436" s="3">
        <v>86101</v>
      </c>
      <c r="C1436" s="4" t="s">
        <v>87</v>
      </c>
      <c r="D1436" s="62" t="s">
        <v>114</v>
      </c>
      <c r="E1436" s="55" t="e">
        <v>#N/A</v>
      </c>
      <c r="F1436" s="55" t="s">
        <v>111</v>
      </c>
      <c r="G1436" s="55">
        <v>0</v>
      </c>
      <c r="H1436" s="55" t="e">
        <v>#N/A</v>
      </c>
      <c r="I1436" s="55" t="e">
        <v>#N/A</v>
      </c>
      <c r="J1436" s="55" t="e">
        <v>#N/A</v>
      </c>
      <c r="K1436" s="55" t="e">
        <v>#N/A</v>
      </c>
    </row>
    <row r="1437" spans="1:11" hidden="1" x14ac:dyDescent="0.25">
      <c r="A1437" s="2" t="s">
        <v>86</v>
      </c>
      <c r="B1437" s="3">
        <v>86102</v>
      </c>
      <c r="C1437" s="4" t="s">
        <v>88</v>
      </c>
      <c r="D1437" s="62" t="s">
        <v>1848</v>
      </c>
      <c r="E1437" s="55" t="e">
        <v>#N/A</v>
      </c>
      <c r="F1437" s="55" t="s">
        <v>111</v>
      </c>
      <c r="G1437" s="55">
        <v>0</v>
      </c>
      <c r="H1437" s="55" t="e">
        <v>#N/A</v>
      </c>
      <c r="I1437" s="55" t="e">
        <v>#N/A</v>
      </c>
      <c r="J1437" s="55" t="e">
        <v>#N/A</v>
      </c>
      <c r="K1437" s="55" t="e">
        <v>#N/A</v>
      </c>
    </row>
    <row r="1438" spans="1:11" ht="30" hidden="1" x14ac:dyDescent="0.25">
      <c r="A1438" s="2" t="s">
        <v>86</v>
      </c>
      <c r="B1438" s="3">
        <v>86103</v>
      </c>
      <c r="C1438" s="4" t="s">
        <v>89</v>
      </c>
      <c r="D1438" s="62" t="s">
        <v>1849</v>
      </c>
      <c r="E1438" s="55" t="e">
        <v>#N/A</v>
      </c>
      <c r="F1438" s="55" t="s">
        <v>111</v>
      </c>
      <c r="G1438" s="55">
        <v>0</v>
      </c>
      <c r="H1438" s="55" t="e">
        <v>#N/A</v>
      </c>
      <c r="I1438" s="55" t="e">
        <v>#N/A</v>
      </c>
      <c r="J1438" s="55" t="e">
        <v>#N/A</v>
      </c>
      <c r="K1438" s="55" t="e">
        <v>#N/A</v>
      </c>
    </row>
    <row r="1439" spans="1:11" ht="30" hidden="1" x14ac:dyDescent="0.25">
      <c r="A1439" s="2" t="s">
        <v>86</v>
      </c>
      <c r="B1439" s="3">
        <v>86104</v>
      </c>
      <c r="C1439" s="4" t="s">
        <v>1632</v>
      </c>
      <c r="D1439" s="62" t="e">
        <v>#N/A</v>
      </c>
      <c r="E1439" s="55" t="e">
        <v>#N/A</v>
      </c>
      <c r="F1439" s="55" t="e">
        <v>#N/A</v>
      </c>
      <c r="G1439" s="55" t="e">
        <v>#N/A</v>
      </c>
      <c r="H1439" s="55" t="e">
        <v>#N/A</v>
      </c>
      <c r="I1439" s="55" t="e">
        <v>#N/A</v>
      </c>
      <c r="J1439" s="55" t="e">
        <v>#N/A</v>
      </c>
      <c r="K1439" s="55" t="e">
        <v>#N/A</v>
      </c>
    </row>
    <row r="1440" spans="1:11" ht="30" hidden="1" x14ac:dyDescent="0.25">
      <c r="A1440" s="2" t="s">
        <v>86</v>
      </c>
      <c r="B1440" s="3">
        <v>86105</v>
      </c>
      <c r="C1440" s="4" t="s">
        <v>90</v>
      </c>
      <c r="D1440" s="62" t="s">
        <v>1850</v>
      </c>
      <c r="E1440" s="55" t="e">
        <v>#N/A</v>
      </c>
      <c r="F1440" s="55" t="s">
        <v>111</v>
      </c>
      <c r="G1440" s="55">
        <v>0</v>
      </c>
      <c r="H1440" s="55" t="e">
        <v>#N/A</v>
      </c>
      <c r="I1440" s="55" t="e">
        <v>#N/A</v>
      </c>
      <c r="J1440" s="55" t="e">
        <v>#N/A</v>
      </c>
      <c r="K1440" s="55" t="e">
        <v>#N/A</v>
      </c>
    </row>
    <row r="1441" spans="1:11" ht="30" hidden="1" x14ac:dyDescent="0.25">
      <c r="A1441" s="2" t="s">
        <v>86</v>
      </c>
      <c r="B1441" s="3">
        <v>86109</v>
      </c>
      <c r="C1441" s="4" t="s">
        <v>1633</v>
      </c>
      <c r="D1441" s="62" t="e">
        <v>#N/A</v>
      </c>
      <c r="E1441" s="55" t="e">
        <v>#N/A</v>
      </c>
      <c r="F1441" s="55" t="e">
        <v>#N/A</v>
      </c>
      <c r="G1441" s="55" t="e">
        <v>#N/A</v>
      </c>
      <c r="H1441" s="55" t="e">
        <v>#N/A</v>
      </c>
      <c r="I1441" s="55" t="e">
        <v>#N/A</v>
      </c>
      <c r="J1441" s="55" t="e">
        <v>#N/A</v>
      </c>
      <c r="K1441" s="55" t="e">
        <v>#N/A</v>
      </c>
    </row>
    <row r="1442" spans="1:11" ht="30" hidden="1" x14ac:dyDescent="0.25">
      <c r="A1442" s="2" t="s">
        <v>86</v>
      </c>
      <c r="B1442" s="3">
        <v>86201</v>
      </c>
      <c r="C1442" s="4" t="s">
        <v>91</v>
      </c>
      <c r="D1442" s="62" t="s">
        <v>1851</v>
      </c>
      <c r="E1442" s="55" t="e">
        <v>#N/A</v>
      </c>
      <c r="F1442" s="55" t="s">
        <v>111</v>
      </c>
      <c r="G1442" s="55">
        <v>0</v>
      </c>
      <c r="H1442" s="55" t="e">
        <v>#N/A</v>
      </c>
      <c r="I1442" s="55" t="e">
        <v>#N/A</v>
      </c>
      <c r="J1442" s="55" t="e">
        <v>#N/A</v>
      </c>
      <c r="K1442" s="55" t="e">
        <v>#N/A</v>
      </c>
    </row>
    <row r="1443" spans="1:11" ht="45" hidden="1" x14ac:dyDescent="0.25">
      <c r="A1443" s="2" t="s">
        <v>86</v>
      </c>
      <c r="B1443" s="3">
        <v>86202</v>
      </c>
      <c r="C1443" s="4" t="s">
        <v>92</v>
      </c>
      <c r="D1443" s="62" t="s">
        <v>115</v>
      </c>
      <c r="E1443" s="55" t="e">
        <v>#N/A</v>
      </c>
      <c r="F1443" s="55" t="s">
        <v>111</v>
      </c>
      <c r="G1443" s="55">
        <v>0</v>
      </c>
      <c r="H1443" s="55" t="e">
        <v>#N/A</v>
      </c>
      <c r="I1443" s="55" t="e">
        <v>#N/A</v>
      </c>
      <c r="J1443" s="55" t="e">
        <v>#N/A</v>
      </c>
      <c r="K1443" s="55" t="e">
        <v>#N/A</v>
      </c>
    </row>
    <row r="1444" spans="1:11" ht="30" hidden="1" x14ac:dyDescent="0.25">
      <c r="A1444" s="2" t="s">
        <v>86</v>
      </c>
      <c r="B1444" s="3">
        <v>86203</v>
      </c>
      <c r="C1444" s="4" t="s">
        <v>93</v>
      </c>
      <c r="D1444" s="62" t="e">
        <v>#N/A</v>
      </c>
      <c r="E1444" s="55" t="e">
        <v>#N/A</v>
      </c>
      <c r="F1444" s="55" t="e">
        <v>#N/A</v>
      </c>
      <c r="G1444" s="55" t="e">
        <v>#N/A</v>
      </c>
      <c r="H1444" s="55" t="e">
        <v>#N/A</v>
      </c>
      <c r="I1444" s="55" t="e">
        <v>#N/A</v>
      </c>
      <c r="J1444" s="55" t="e">
        <v>#N/A</v>
      </c>
      <c r="K1444" s="55" t="e">
        <v>#N/A</v>
      </c>
    </row>
    <row r="1445" spans="1:11" ht="45" hidden="1" x14ac:dyDescent="0.25">
      <c r="A1445" s="2" t="s">
        <v>86</v>
      </c>
      <c r="B1445" s="3">
        <v>86910</v>
      </c>
      <c r="C1445" s="4" t="s">
        <v>1634</v>
      </c>
      <c r="D1445" s="62" t="e">
        <v>#N/A</v>
      </c>
      <c r="E1445" s="55" t="e">
        <v>#N/A</v>
      </c>
      <c r="F1445" s="55" t="e">
        <v>#N/A</v>
      </c>
      <c r="G1445" s="55" t="s">
        <v>2090</v>
      </c>
      <c r="H1445" s="55" t="e">
        <v>#N/A</v>
      </c>
      <c r="I1445" s="55" t="e">
        <v>#N/A</v>
      </c>
      <c r="J1445" s="55" t="e">
        <v>#N/A</v>
      </c>
      <c r="K1445" s="55" t="e">
        <v>#N/A</v>
      </c>
    </row>
    <row r="1446" spans="1:11" ht="75" hidden="1" x14ac:dyDescent="0.25">
      <c r="A1446" s="2" t="s">
        <v>86</v>
      </c>
      <c r="B1446" s="3">
        <v>86991</v>
      </c>
      <c r="C1446" s="4" t="s">
        <v>1635</v>
      </c>
      <c r="D1446" s="62" t="e">
        <v>#N/A</v>
      </c>
      <c r="E1446" s="55" t="e">
        <v>#N/A</v>
      </c>
      <c r="F1446" s="55" t="e">
        <v>#N/A</v>
      </c>
      <c r="G1446" s="55" t="e">
        <v>#N/A</v>
      </c>
      <c r="H1446" s="55" t="e">
        <v>#N/A</v>
      </c>
      <c r="I1446" s="55" t="e">
        <v>#N/A</v>
      </c>
      <c r="J1446" s="55" t="e">
        <v>#N/A</v>
      </c>
      <c r="K1446" s="55" t="e">
        <v>#N/A</v>
      </c>
    </row>
    <row r="1447" spans="1:11" ht="60" hidden="1" x14ac:dyDescent="0.25">
      <c r="A1447" s="2" t="s">
        <v>86</v>
      </c>
      <c r="B1447" s="3">
        <v>86992</v>
      </c>
      <c r="C1447" s="4" t="s">
        <v>1636</v>
      </c>
      <c r="D1447" s="62" t="s">
        <v>1973</v>
      </c>
      <c r="E1447" s="55" t="e">
        <v>#N/A</v>
      </c>
      <c r="F1447" s="55" t="s">
        <v>116</v>
      </c>
      <c r="G1447" s="55">
        <v>0</v>
      </c>
      <c r="H1447" s="55" t="e">
        <v>#N/A</v>
      </c>
      <c r="I1447" s="55" t="e">
        <v>#N/A</v>
      </c>
      <c r="J1447" s="55" t="e">
        <v>#N/A</v>
      </c>
      <c r="K1447" s="55" t="e">
        <v>#N/A</v>
      </c>
    </row>
    <row r="1448" spans="1:11" ht="60" hidden="1" x14ac:dyDescent="0.25">
      <c r="A1448" s="2" t="s">
        <v>86</v>
      </c>
      <c r="B1448" s="3">
        <v>86993</v>
      </c>
      <c r="C1448" s="4" t="s">
        <v>94</v>
      </c>
      <c r="D1448" s="62" t="s">
        <v>1852</v>
      </c>
      <c r="E1448" s="55" t="e">
        <v>#N/A</v>
      </c>
      <c r="F1448" s="55" t="s">
        <v>111</v>
      </c>
      <c r="G1448" s="55">
        <v>0</v>
      </c>
      <c r="H1448" s="55" t="e">
        <v>#N/A</v>
      </c>
      <c r="I1448" s="55" t="e">
        <v>#N/A</v>
      </c>
      <c r="J1448" s="55" t="e">
        <v>#N/A</v>
      </c>
      <c r="K1448" s="55" t="e">
        <v>#N/A</v>
      </c>
    </row>
    <row r="1449" spans="1:11" ht="60" hidden="1" x14ac:dyDescent="0.25">
      <c r="A1449" s="2" t="s">
        <v>86</v>
      </c>
      <c r="B1449" s="3">
        <v>86994</v>
      </c>
      <c r="C1449" s="4" t="s">
        <v>1637</v>
      </c>
      <c r="D1449" s="62" t="e">
        <v>#N/A</v>
      </c>
      <c r="E1449" s="55" t="e">
        <v>#N/A</v>
      </c>
      <c r="F1449" s="55" t="e">
        <v>#N/A</v>
      </c>
      <c r="G1449" s="55" t="e">
        <v>#N/A</v>
      </c>
      <c r="H1449" s="55" t="e">
        <v>#N/A</v>
      </c>
      <c r="I1449" s="55" t="e">
        <v>#N/A</v>
      </c>
      <c r="J1449" s="55" t="e">
        <v>#N/A</v>
      </c>
      <c r="K1449" s="55" t="e">
        <v>#N/A</v>
      </c>
    </row>
    <row r="1450" spans="1:11" ht="30" hidden="1" x14ac:dyDescent="0.25">
      <c r="A1450" s="2" t="s">
        <v>86</v>
      </c>
      <c r="B1450" s="3">
        <v>86995</v>
      </c>
      <c r="C1450" s="4" t="s">
        <v>1638</v>
      </c>
      <c r="D1450" s="62" t="e">
        <v>#N/A</v>
      </c>
      <c r="E1450" s="55" t="e">
        <v>#N/A</v>
      </c>
      <c r="F1450" s="55" t="e">
        <v>#N/A</v>
      </c>
      <c r="G1450" s="55" t="e">
        <v>#N/A</v>
      </c>
      <c r="H1450" s="55" t="e">
        <v>#N/A</v>
      </c>
      <c r="I1450" s="55" t="e">
        <v>#N/A</v>
      </c>
      <c r="J1450" s="55" t="e">
        <v>#N/A</v>
      </c>
      <c r="K1450" s="55" t="e">
        <v>#N/A</v>
      </c>
    </row>
    <row r="1451" spans="1:11" ht="60" hidden="1" x14ac:dyDescent="0.25">
      <c r="A1451" s="2" t="s">
        <v>86</v>
      </c>
      <c r="B1451" s="3">
        <v>87101</v>
      </c>
      <c r="C1451" s="4" t="s">
        <v>1639</v>
      </c>
      <c r="D1451" s="62" t="e">
        <v>#N/A</v>
      </c>
      <c r="E1451" s="55" t="e">
        <v>#N/A</v>
      </c>
      <c r="F1451" s="55" t="e">
        <v>#N/A</v>
      </c>
      <c r="G1451" s="55" t="e">
        <v>#N/A</v>
      </c>
      <c r="H1451" s="55" t="e">
        <v>#N/A</v>
      </c>
      <c r="I1451" s="55" t="e">
        <v>#N/A</v>
      </c>
      <c r="J1451" s="55" t="e">
        <v>#N/A</v>
      </c>
      <c r="K1451" s="55" t="e">
        <v>#N/A</v>
      </c>
    </row>
    <row r="1452" spans="1:11" ht="60" hidden="1" x14ac:dyDescent="0.25">
      <c r="A1452" s="2" t="s">
        <v>86</v>
      </c>
      <c r="B1452" s="3">
        <v>87102</v>
      </c>
      <c r="C1452" s="4" t="s">
        <v>1639</v>
      </c>
      <c r="D1452" s="62" t="e">
        <v>#N/A</v>
      </c>
      <c r="E1452" s="55" t="e">
        <v>#N/A</v>
      </c>
      <c r="F1452" s="55" t="e">
        <v>#N/A</v>
      </c>
      <c r="G1452" s="55" t="e">
        <v>#N/A</v>
      </c>
      <c r="H1452" s="55" t="e">
        <v>#N/A</v>
      </c>
      <c r="I1452" s="55" t="e">
        <v>#N/A</v>
      </c>
      <c r="J1452" s="55" t="e">
        <v>#N/A</v>
      </c>
      <c r="K1452" s="55" t="e">
        <v>#N/A</v>
      </c>
    </row>
    <row r="1453" spans="1:11" ht="60" hidden="1" x14ac:dyDescent="0.25">
      <c r="A1453" s="2" t="s">
        <v>86</v>
      </c>
      <c r="B1453" s="3">
        <v>87201</v>
      </c>
      <c r="C1453" s="4" t="s">
        <v>1640</v>
      </c>
      <c r="D1453" s="62" t="e">
        <v>#N/A</v>
      </c>
      <c r="E1453" s="55" t="e">
        <v>#N/A</v>
      </c>
      <c r="F1453" s="55" t="e">
        <v>#N/A</v>
      </c>
      <c r="G1453" s="55" t="e">
        <v>#N/A</v>
      </c>
      <c r="H1453" s="55" t="e">
        <v>#N/A</v>
      </c>
      <c r="I1453" s="55" t="e">
        <v>#N/A</v>
      </c>
      <c r="J1453" s="55" t="e">
        <v>#N/A</v>
      </c>
      <c r="K1453" s="55" t="e">
        <v>#N/A</v>
      </c>
    </row>
    <row r="1454" spans="1:11" ht="60" hidden="1" x14ac:dyDescent="0.25">
      <c r="A1454" s="2" t="s">
        <v>86</v>
      </c>
      <c r="B1454" s="3">
        <v>87202</v>
      </c>
      <c r="C1454" s="4" t="s">
        <v>1641</v>
      </c>
      <c r="D1454" s="62" t="e">
        <v>#N/A</v>
      </c>
      <c r="E1454" s="55" t="e">
        <v>#N/A</v>
      </c>
      <c r="F1454" s="55" t="e">
        <v>#N/A</v>
      </c>
      <c r="G1454" s="55" t="e">
        <v>#N/A</v>
      </c>
      <c r="H1454" s="55" t="e">
        <v>#N/A</v>
      </c>
      <c r="I1454" s="55" t="e">
        <v>#N/A</v>
      </c>
      <c r="J1454" s="55" t="e">
        <v>#N/A</v>
      </c>
      <c r="K1454" s="55" t="e">
        <v>#N/A</v>
      </c>
    </row>
    <row r="1455" spans="1:11" ht="60" hidden="1" x14ac:dyDescent="0.25">
      <c r="A1455" s="2" t="s">
        <v>86</v>
      </c>
      <c r="B1455" s="3">
        <v>87301</v>
      </c>
      <c r="C1455" s="4" t="s">
        <v>1642</v>
      </c>
      <c r="D1455" s="62" t="e">
        <v>#N/A</v>
      </c>
      <c r="E1455" s="55" t="e">
        <v>#N/A</v>
      </c>
      <c r="F1455" s="55" t="e">
        <v>#N/A</v>
      </c>
      <c r="G1455" s="55" t="e">
        <v>#N/A</v>
      </c>
      <c r="H1455" s="55" t="e">
        <v>#N/A</v>
      </c>
      <c r="I1455" s="55" t="e">
        <v>#N/A</v>
      </c>
      <c r="J1455" s="55" t="e">
        <v>#N/A</v>
      </c>
      <c r="K1455" s="55" t="e">
        <v>#N/A</v>
      </c>
    </row>
    <row r="1456" spans="1:11" ht="45" hidden="1" x14ac:dyDescent="0.25">
      <c r="A1456" s="2" t="s">
        <v>86</v>
      </c>
      <c r="B1456" s="3">
        <v>87302</v>
      </c>
      <c r="C1456" s="4" t="s">
        <v>1643</v>
      </c>
      <c r="D1456" s="62" t="e">
        <v>#N/A</v>
      </c>
      <c r="E1456" s="55" t="e">
        <v>#N/A</v>
      </c>
      <c r="F1456" s="55" t="e">
        <v>#N/A</v>
      </c>
      <c r="G1456" s="55" t="e">
        <v>#N/A</v>
      </c>
      <c r="H1456" s="55" t="e">
        <v>#N/A</v>
      </c>
      <c r="I1456" s="55" t="e">
        <v>#N/A</v>
      </c>
      <c r="J1456" s="55" t="e">
        <v>#N/A</v>
      </c>
      <c r="K1456" s="55" t="e">
        <v>#N/A</v>
      </c>
    </row>
    <row r="1457" spans="1:11" ht="60" hidden="1" x14ac:dyDescent="0.25">
      <c r="A1457" s="2" t="s">
        <v>86</v>
      </c>
      <c r="B1457" s="3">
        <v>87303</v>
      </c>
      <c r="C1457" s="4" t="s">
        <v>1644</v>
      </c>
      <c r="D1457" s="62" t="e">
        <v>#N/A</v>
      </c>
      <c r="E1457" s="55" t="e">
        <v>#N/A</v>
      </c>
      <c r="F1457" s="55" t="e">
        <v>#N/A</v>
      </c>
      <c r="G1457" s="55" t="e">
        <v>#N/A</v>
      </c>
      <c r="H1457" s="55" t="e">
        <v>#N/A</v>
      </c>
      <c r="I1457" s="55" t="e">
        <v>#N/A</v>
      </c>
      <c r="J1457" s="55" t="e">
        <v>#N/A</v>
      </c>
      <c r="K1457" s="55" t="e">
        <v>#N/A</v>
      </c>
    </row>
    <row r="1458" spans="1:11" ht="45" hidden="1" x14ac:dyDescent="0.25">
      <c r="A1458" s="2" t="s">
        <v>86</v>
      </c>
      <c r="B1458" s="3">
        <v>87910</v>
      </c>
      <c r="C1458" s="4" t="s">
        <v>1645</v>
      </c>
      <c r="D1458" s="62" t="e">
        <v>#N/A</v>
      </c>
      <c r="E1458" s="55" t="e">
        <v>#N/A</v>
      </c>
      <c r="F1458" s="55" t="e">
        <v>#N/A</v>
      </c>
      <c r="G1458" s="55" t="s">
        <v>2090</v>
      </c>
      <c r="H1458" s="55" t="e">
        <v>#N/A</v>
      </c>
      <c r="I1458" s="55" t="e">
        <v>#N/A</v>
      </c>
      <c r="J1458" s="55" t="e">
        <v>#N/A</v>
      </c>
      <c r="K1458" s="55" t="e">
        <v>#N/A</v>
      </c>
    </row>
    <row r="1459" spans="1:11" ht="60" hidden="1" x14ac:dyDescent="0.25">
      <c r="A1459" s="2" t="s">
        <v>86</v>
      </c>
      <c r="B1459" s="3">
        <v>87991</v>
      </c>
      <c r="C1459" s="4" t="s">
        <v>1646</v>
      </c>
      <c r="D1459" s="62" t="e">
        <v>#N/A</v>
      </c>
      <c r="E1459" s="55" t="e">
        <v>#N/A</v>
      </c>
      <c r="F1459" s="55" t="e">
        <v>#N/A</v>
      </c>
      <c r="G1459" s="55" t="e">
        <v>#N/A</v>
      </c>
      <c r="H1459" s="55" t="e">
        <v>#N/A</v>
      </c>
      <c r="I1459" s="55" t="e">
        <v>#N/A</v>
      </c>
      <c r="J1459" s="55" t="e">
        <v>#N/A</v>
      </c>
      <c r="K1459" s="55" t="e">
        <v>#N/A</v>
      </c>
    </row>
    <row r="1460" spans="1:11" ht="75" hidden="1" x14ac:dyDescent="0.25">
      <c r="A1460" s="2" t="s">
        <v>86</v>
      </c>
      <c r="B1460" s="3">
        <v>87992</v>
      </c>
      <c r="C1460" s="4" t="s">
        <v>1647</v>
      </c>
      <c r="D1460" s="62" t="e">
        <v>#N/A</v>
      </c>
      <c r="E1460" s="55" t="e">
        <v>#N/A</v>
      </c>
      <c r="F1460" s="55" t="e">
        <v>#N/A</v>
      </c>
      <c r="G1460" s="55" t="e">
        <v>#N/A</v>
      </c>
      <c r="H1460" s="55" t="e">
        <v>#N/A</v>
      </c>
      <c r="I1460" s="55" t="e">
        <v>#N/A</v>
      </c>
      <c r="J1460" s="55" t="e">
        <v>#N/A</v>
      </c>
      <c r="K1460" s="55" t="e">
        <v>#N/A</v>
      </c>
    </row>
    <row r="1461" spans="1:11" ht="45" hidden="1" x14ac:dyDescent="0.25">
      <c r="A1461" s="2" t="s">
        <v>86</v>
      </c>
      <c r="B1461" s="3">
        <v>87993</v>
      </c>
      <c r="C1461" s="4" t="s">
        <v>1648</v>
      </c>
      <c r="D1461" s="62" t="e">
        <v>#N/A</v>
      </c>
      <c r="E1461" s="55" t="e">
        <v>#N/A</v>
      </c>
      <c r="F1461" s="55" t="e">
        <v>#N/A</v>
      </c>
      <c r="G1461" s="55" t="e">
        <v>#N/A</v>
      </c>
      <c r="H1461" s="55" t="e">
        <v>#N/A</v>
      </c>
      <c r="I1461" s="55" t="e">
        <v>#N/A</v>
      </c>
      <c r="J1461" s="55" t="e">
        <v>#N/A</v>
      </c>
      <c r="K1461" s="55" t="e">
        <v>#N/A</v>
      </c>
    </row>
    <row r="1462" spans="1:11" ht="60" hidden="1" x14ac:dyDescent="0.25">
      <c r="A1462" s="2" t="s">
        <v>86</v>
      </c>
      <c r="B1462" s="3">
        <v>88101</v>
      </c>
      <c r="C1462" s="4" t="s">
        <v>1649</v>
      </c>
      <c r="D1462" s="62" t="e">
        <v>#N/A</v>
      </c>
      <c r="E1462" s="55" t="e">
        <v>#N/A</v>
      </c>
      <c r="F1462" s="55" t="e">
        <v>#N/A</v>
      </c>
      <c r="G1462" s="55" t="e">
        <v>#N/A</v>
      </c>
      <c r="H1462" s="55" t="e">
        <v>#N/A</v>
      </c>
      <c r="I1462" s="55" t="e">
        <v>#N/A</v>
      </c>
      <c r="J1462" s="55" t="e">
        <v>#N/A</v>
      </c>
      <c r="K1462" s="55" t="e">
        <v>#N/A</v>
      </c>
    </row>
    <row r="1463" spans="1:11" ht="60" hidden="1" x14ac:dyDescent="0.25">
      <c r="A1463" s="2" t="s">
        <v>86</v>
      </c>
      <c r="B1463" s="3">
        <v>88102</v>
      </c>
      <c r="C1463" s="4" t="s">
        <v>1650</v>
      </c>
      <c r="D1463" s="62" t="e">
        <v>#N/A</v>
      </c>
      <c r="E1463" s="55" t="e">
        <v>#N/A</v>
      </c>
      <c r="F1463" s="55" t="e">
        <v>#N/A</v>
      </c>
      <c r="G1463" s="55" t="e">
        <v>#N/A</v>
      </c>
      <c r="H1463" s="55" t="e">
        <v>#N/A</v>
      </c>
      <c r="I1463" s="55" t="e">
        <v>#N/A</v>
      </c>
      <c r="J1463" s="55" t="e">
        <v>#N/A</v>
      </c>
      <c r="K1463" s="55" t="e">
        <v>#N/A</v>
      </c>
    </row>
    <row r="1464" spans="1:11" ht="45" hidden="1" x14ac:dyDescent="0.25">
      <c r="A1464" s="2" t="s">
        <v>86</v>
      </c>
      <c r="B1464" s="3">
        <v>88901</v>
      </c>
      <c r="C1464" s="4" t="s">
        <v>1651</v>
      </c>
      <c r="D1464" s="62" t="e">
        <v>#N/A</v>
      </c>
      <c r="E1464" s="55" t="e">
        <v>#N/A</v>
      </c>
      <c r="F1464" s="55" t="e">
        <v>#N/A</v>
      </c>
      <c r="G1464" s="55" t="e">
        <v>#N/A</v>
      </c>
      <c r="H1464" s="55" t="e">
        <v>#N/A</v>
      </c>
      <c r="I1464" s="55" t="e">
        <v>#N/A</v>
      </c>
      <c r="J1464" s="55" t="e">
        <v>#N/A</v>
      </c>
      <c r="K1464" s="55" t="e">
        <v>#N/A</v>
      </c>
    </row>
    <row r="1465" spans="1:11" ht="60" hidden="1" x14ac:dyDescent="0.25">
      <c r="A1465" s="2" t="s">
        <v>86</v>
      </c>
      <c r="B1465" s="3">
        <v>88902</v>
      </c>
      <c r="C1465" s="4" t="s">
        <v>1650</v>
      </c>
      <c r="D1465" s="62" t="e">
        <v>#N/A</v>
      </c>
      <c r="E1465" s="55" t="e">
        <v>#N/A</v>
      </c>
      <c r="F1465" s="55" t="e">
        <v>#N/A</v>
      </c>
      <c r="G1465" s="55" t="e">
        <v>#N/A</v>
      </c>
      <c r="H1465" s="55" t="e">
        <v>#N/A</v>
      </c>
      <c r="I1465" s="55" t="e">
        <v>#N/A</v>
      </c>
      <c r="J1465" s="55" t="e">
        <v>#N/A</v>
      </c>
      <c r="K1465" s="55" t="e">
        <v>#N/A</v>
      </c>
    </row>
    <row r="1466" spans="1:11" ht="45" hidden="1" x14ac:dyDescent="0.25">
      <c r="A1466" s="2" t="s">
        <v>86</v>
      </c>
      <c r="B1466" s="3">
        <v>88903</v>
      </c>
      <c r="C1466" s="4" t="s">
        <v>95</v>
      </c>
      <c r="D1466" s="62" t="s">
        <v>1853</v>
      </c>
      <c r="E1466" s="55" t="e">
        <v>#N/A</v>
      </c>
      <c r="F1466" s="55" t="s">
        <v>111</v>
      </c>
      <c r="G1466" s="55">
        <v>0</v>
      </c>
      <c r="H1466" s="55" t="e">
        <v>#N/A</v>
      </c>
      <c r="I1466" s="55" t="e">
        <v>#N/A</v>
      </c>
      <c r="J1466" s="55" t="e">
        <v>#N/A</v>
      </c>
      <c r="K1466" s="55" t="e">
        <v>#N/A</v>
      </c>
    </row>
    <row r="1467" spans="1:11" ht="45" hidden="1" x14ac:dyDescent="0.25">
      <c r="A1467" s="2" t="s">
        <v>86</v>
      </c>
      <c r="B1467" s="3">
        <v>88904</v>
      </c>
      <c r="C1467" s="4" t="s">
        <v>1652</v>
      </c>
      <c r="D1467" s="62" t="e">
        <v>#N/A</v>
      </c>
      <c r="E1467" s="55" t="e">
        <v>#N/A</v>
      </c>
      <c r="F1467" s="55" t="e">
        <v>#N/A</v>
      </c>
      <c r="G1467" s="55" t="e">
        <v>#N/A</v>
      </c>
      <c r="H1467" s="55" t="e">
        <v>#N/A</v>
      </c>
      <c r="I1467" s="55" t="e">
        <v>#N/A</v>
      </c>
      <c r="J1467" s="55" t="e">
        <v>#N/A</v>
      </c>
      <c r="K1467" s="55" t="e">
        <v>#N/A</v>
      </c>
    </row>
    <row r="1468" spans="1:11" ht="45" hidden="1" x14ac:dyDescent="0.25">
      <c r="A1468" s="2" t="s">
        <v>86</v>
      </c>
      <c r="B1468" s="3">
        <v>88905</v>
      </c>
      <c r="C1468" s="4" t="s">
        <v>1653</v>
      </c>
      <c r="D1468" s="62" t="e">
        <v>#N/A</v>
      </c>
      <c r="E1468" s="55" t="e">
        <v>#N/A</v>
      </c>
      <c r="F1468" s="55" t="e">
        <v>#N/A</v>
      </c>
      <c r="G1468" s="55" t="e">
        <v>#N/A</v>
      </c>
      <c r="H1468" s="55" t="e">
        <v>#N/A</v>
      </c>
      <c r="I1468" s="55" t="e">
        <v>#N/A</v>
      </c>
      <c r="J1468" s="55" t="e">
        <v>#N/A</v>
      </c>
      <c r="K1468" s="55" t="e">
        <v>#N/A</v>
      </c>
    </row>
    <row r="1469" spans="1:11" ht="30" hidden="1" x14ac:dyDescent="0.25">
      <c r="A1469" s="2" t="s">
        <v>86</v>
      </c>
      <c r="B1469" s="3">
        <v>88906</v>
      </c>
      <c r="C1469" s="4" t="s">
        <v>96</v>
      </c>
      <c r="D1469" s="62" t="s">
        <v>1854</v>
      </c>
      <c r="E1469" s="55" t="e">
        <v>#N/A</v>
      </c>
      <c r="F1469" s="55" t="s">
        <v>111</v>
      </c>
      <c r="G1469" s="55">
        <v>0</v>
      </c>
      <c r="H1469" s="55" t="e">
        <v>#N/A</v>
      </c>
      <c r="I1469" s="55" t="e">
        <v>#N/A</v>
      </c>
      <c r="J1469" s="55" t="e">
        <v>#N/A</v>
      </c>
      <c r="K1469" s="55" t="e">
        <v>#N/A</v>
      </c>
    </row>
    <row r="1470" spans="1:11" ht="30" hidden="1" x14ac:dyDescent="0.25">
      <c r="A1470" s="2" t="s">
        <v>86</v>
      </c>
      <c r="B1470" s="3">
        <v>88907</v>
      </c>
      <c r="C1470" s="4" t="s">
        <v>97</v>
      </c>
      <c r="D1470" s="62" t="s">
        <v>1855</v>
      </c>
      <c r="E1470" s="55" t="e">
        <v>#N/A</v>
      </c>
      <c r="F1470" s="55" t="s">
        <v>111</v>
      </c>
      <c r="G1470" s="55">
        <v>0</v>
      </c>
      <c r="H1470" s="55" t="e">
        <v>#N/A</v>
      </c>
      <c r="I1470" s="55" t="e">
        <v>#N/A</v>
      </c>
      <c r="J1470" s="55" t="e">
        <v>#N/A</v>
      </c>
      <c r="K1470" s="55" t="e">
        <v>#N/A</v>
      </c>
    </row>
    <row r="1471" spans="1:11" ht="45" hidden="1" x14ac:dyDescent="0.25">
      <c r="A1471" s="2" t="s">
        <v>98</v>
      </c>
      <c r="B1471" s="3">
        <v>90111</v>
      </c>
      <c r="C1471" s="4" t="s">
        <v>99</v>
      </c>
      <c r="D1471" s="62" t="s">
        <v>1974</v>
      </c>
      <c r="E1471" s="55" t="e">
        <v>#N/A</v>
      </c>
      <c r="F1471" s="55" t="s">
        <v>116</v>
      </c>
      <c r="G1471" s="55" t="s">
        <v>2090</v>
      </c>
      <c r="H1471" s="55" t="e">
        <v>#N/A</v>
      </c>
      <c r="I1471" s="55" t="e">
        <v>#N/A</v>
      </c>
      <c r="J1471" s="55" t="e">
        <v>#N/A</v>
      </c>
      <c r="K1471" s="55" t="e">
        <v>#N/A</v>
      </c>
    </row>
    <row r="1472" spans="1:11" ht="45" hidden="1" x14ac:dyDescent="0.25">
      <c r="A1472" s="2" t="s">
        <v>98</v>
      </c>
      <c r="B1472" s="3">
        <v>90112</v>
      </c>
      <c r="C1472" s="4" t="s">
        <v>100</v>
      </c>
      <c r="D1472" s="62" t="s">
        <v>1975</v>
      </c>
      <c r="E1472" s="55" t="e">
        <v>#N/A</v>
      </c>
      <c r="F1472" s="55" t="s">
        <v>116</v>
      </c>
      <c r="G1472" s="55">
        <v>0</v>
      </c>
      <c r="H1472" s="55" t="e">
        <v>#N/A</v>
      </c>
      <c r="I1472" s="55" t="e">
        <v>#N/A</v>
      </c>
      <c r="J1472" s="55" t="e">
        <v>#N/A</v>
      </c>
      <c r="K1472" s="55" t="e">
        <v>#N/A</v>
      </c>
    </row>
    <row r="1473" spans="1:11" ht="30" hidden="1" x14ac:dyDescent="0.25">
      <c r="A1473" s="2" t="s">
        <v>98</v>
      </c>
      <c r="B1473" s="3">
        <v>90113</v>
      </c>
      <c r="C1473" s="4" t="s">
        <v>1654</v>
      </c>
      <c r="D1473" s="62" t="e">
        <v>#N/A</v>
      </c>
      <c r="E1473" s="55" t="e">
        <v>#N/A</v>
      </c>
      <c r="F1473" s="55" t="e">
        <v>#N/A</v>
      </c>
      <c r="G1473" s="55" t="s">
        <v>2090</v>
      </c>
      <c r="H1473" s="55" t="e">
        <v>#N/A</v>
      </c>
      <c r="I1473" s="55" t="e">
        <v>#N/A</v>
      </c>
      <c r="J1473" s="55" t="e">
        <v>#N/A</v>
      </c>
      <c r="K1473" s="55" t="e">
        <v>#N/A</v>
      </c>
    </row>
    <row r="1474" spans="1:11" ht="45" hidden="1" x14ac:dyDescent="0.25">
      <c r="A1474" s="2" t="s">
        <v>98</v>
      </c>
      <c r="B1474" s="3">
        <v>90120</v>
      </c>
      <c r="C1474" s="4" t="s">
        <v>101</v>
      </c>
      <c r="D1474" s="62" t="s">
        <v>1976</v>
      </c>
      <c r="E1474" s="55" t="e">
        <v>#N/A</v>
      </c>
      <c r="F1474" s="55" t="s">
        <v>116</v>
      </c>
      <c r="G1474" s="55">
        <v>0</v>
      </c>
      <c r="H1474" s="55" t="e">
        <v>#N/A</v>
      </c>
      <c r="I1474" s="55" t="e">
        <v>#N/A</v>
      </c>
      <c r="J1474" s="55" t="e">
        <v>#N/A</v>
      </c>
      <c r="K1474" s="55" t="e">
        <v>#N/A</v>
      </c>
    </row>
    <row r="1475" spans="1:11" ht="45" hidden="1" x14ac:dyDescent="0.25">
      <c r="A1475" s="2" t="s">
        <v>98</v>
      </c>
      <c r="B1475" s="3">
        <v>90130</v>
      </c>
      <c r="C1475" s="4" t="s">
        <v>102</v>
      </c>
      <c r="D1475" s="62" t="s">
        <v>1977</v>
      </c>
      <c r="E1475" s="55" t="e">
        <v>#N/A</v>
      </c>
      <c r="F1475" s="55" t="s">
        <v>116</v>
      </c>
      <c r="G1475" s="55">
        <v>0</v>
      </c>
      <c r="H1475" s="55" t="e">
        <v>#N/A</v>
      </c>
      <c r="I1475" s="55" t="e">
        <v>#N/A</v>
      </c>
      <c r="J1475" s="55" t="e">
        <v>#N/A</v>
      </c>
      <c r="K1475" s="55" t="e">
        <v>#N/A</v>
      </c>
    </row>
    <row r="1476" spans="1:11" ht="165" hidden="1" x14ac:dyDescent="0.25">
      <c r="A1476" s="2" t="s">
        <v>98</v>
      </c>
      <c r="B1476" s="3">
        <v>90200</v>
      </c>
      <c r="C1476" s="4" t="s">
        <v>103</v>
      </c>
      <c r="D1476" s="62" t="s">
        <v>1978</v>
      </c>
      <c r="E1476" s="55" t="e">
        <v>#N/A</v>
      </c>
      <c r="F1476" s="55" t="s">
        <v>116</v>
      </c>
      <c r="G1476" s="55" t="s">
        <v>2090</v>
      </c>
      <c r="H1476" s="55" t="e">
        <v>#N/A</v>
      </c>
      <c r="I1476" s="55" t="e">
        <v>#N/A</v>
      </c>
      <c r="J1476" s="55" t="e">
        <v>#N/A</v>
      </c>
      <c r="K1476" s="55" t="e">
        <v>#N/A</v>
      </c>
    </row>
    <row r="1477" spans="1:11" ht="60" hidden="1" x14ac:dyDescent="0.25">
      <c r="A1477" s="2" t="s">
        <v>98</v>
      </c>
      <c r="B1477" s="3">
        <v>90310</v>
      </c>
      <c r="C1477" s="4" t="s">
        <v>1655</v>
      </c>
      <c r="D1477" s="62" t="e">
        <v>#N/A</v>
      </c>
      <c r="E1477" s="55" t="e">
        <v>#N/A</v>
      </c>
      <c r="F1477" s="55" t="e">
        <v>#N/A</v>
      </c>
      <c r="G1477" s="55" t="e">
        <v>#N/A</v>
      </c>
      <c r="H1477" s="55" t="e">
        <v>#N/A</v>
      </c>
      <c r="I1477" s="55" t="e">
        <v>#N/A</v>
      </c>
      <c r="J1477" s="55" t="e">
        <v>#N/A</v>
      </c>
      <c r="K1477" s="55" t="e">
        <v>#N/A</v>
      </c>
    </row>
    <row r="1478" spans="1:11" ht="45" hidden="1" x14ac:dyDescent="0.25">
      <c r="A1478" s="2" t="s">
        <v>98</v>
      </c>
      <c r="B1478" s="3">
        <v>90391</v>
      </c>
      <c r="C1478" s="4" t="s">
        <v>104</v>
      </c>
      <c r="D1478" s="62" t="s">
        <v>1979</v>
      </c>
      <c r="E1478" s="55" t="e">
        <v>#N/A</v>
      </c>
      <c r="F1478" s="55" t="s">
        <v>116</v>
      </c>
      <c r="G1478" s="55">
        <v>0</v>
      </c>
      <c r="H1478" s="55" t="e">
        <v>#N/A</v>
      </c>
      <c r="I1478" s="55" t="e">
        <v>#N/A</v>
      </c>
      <c r="J1478" s="55" t="e">
        <v>#N/A</v>
      </c>
      <c r="K1478" s="55" t="e">
        <v>#N/A</v>
      </c>
    </row>
    <row r="1479" spans="1:11" ht="75" hidden="1" x14ac:dyDescent="0.25">
      <c r="A1479" s="2" t="s">
        <v>98</v>
      </c>
      <c r="B1479" s="3">
        <v>90399</v>
      </c>
      <c r="C1479" s="4" t="s">
        <v>105</v>
      </c>
      <c r="D1479" s="62" t="s">
        <v>1980</v>
      </c>
      <c r="E1479" s="55" t="e">
        <v>#N/A</v>
      </c>
      <c r="F1479" s="55" t="s">
        <v>116</v>
      </c>
      <c r="G1479" s="55">
        <v>0</v>
      </c>
      <c r="H1479" s="55" t="e">
        <v>#N/A</v>
      </c>
      <c r="I1479" s="55" t="e">
        <v>#N/A</v>
      </c>
      <c r="J1479" s="55" t="e">
        <v>#N/A</v>
      </c>
      <c r="K1479" s="55" t="e">
        <v>#N/A</v>
      </c>
    </row>
    <row r="1480" spans="1:11" ht="45" hidden="1" x14ac:dyDescent="0.25">
      <c r="A1480" s="2" t="s">
        <v>98</v>
      </c>
      <c r="B1480" s="3">
        <v>91111</v>
      </c>
      <c r="C1480" s="4" t="s">
        <v>106</v>
      </c>
      <c r="D1480" s="62" t="s">
        <v>1856</v>
      </c>
      <c r="E1480" s="55" t="e">
        <v>#N/A</v>
      </c>
      <c r="F1480" s="55" t="s">
        <v>111</v>
      </c>
      <c r="G1480" s="55">
        <v>0</v>
      </c>
      <c r="H1480" s="55" t="e">
        <v>#N/A</v>
      </c>
      <c r="I1480" s="55" t="e">
        <v>#N/A</v>
      </c>
      <c r="J1480" s="55" t="e">
        <v>#N/A</v>
      </c>
      <c r="K1480" s="55" t="e">
        <v>#N/A</v>
      </c>
    </row>
    <row r="1481" spans="1:11" ht="45" hidden="1" x14ac:dyDescent="0.25">
      <c r="A1481" s="2" t="s">
        <v>98</v>
      </c>
      <c r="B1481" s="3">
        <v>91112</v>
      </c>
      <c r="C1481" s="4" t="s">
        <v>1656</v>
      </c>
      <c r="D1481" s="62" t="e">
        <v>#N/A</v>
      </c>
      <c r="E1481" s="55" t="e">
        <v>#N/A</v>
      </c>
      <c r="F1481" s="55" t="e">
        <v>#N/A</v>
      </c>
      <c r="G1481" s="55" t="e">
        <v>#N/A</v>
      </c>
      <c r="H1481" s="55" t="e">
        <v>#N/A</v>
      </c>
      <c r="I1481" s="55" t="e">
        <v>#N/A</v>
      </c>
      <c r="J1481" s="55" t="e">
        <v>#N/A</v>
      </c>
      <c r="K1481" s="55" t="e">
        <v>#N/A</v>
      </c>
    </row>
    <row r="1482" spans="1:11" ht="30" hidden="1" x14ac:dyDescent="0.25">
      <c r="A1482" s="2" t="s">
        <v>98</v>
      </c>
      <c r="B1482" s="3">
        <v>91121</v>
      </c>
      <c r="C1482" s="4" t="s">
        <v>1657</v>
      </c>
      <c r="D1482" s="62" t="e">
        <v>#N/A</v>
      </c>
      <c r="E1482" s="55" t="e">
        <v>#N/A</v>
      </c>
      <c r="F1482" s="55" t="e">
        <v>#N/A</v>
      </c>
      <c r="G1482" s="55" t="e">
        <v>#N/A</v>
      </c>
      <c r="H1482" s="55" t="e">
        <v>#N/A</v>
      </c>
      <c r="I1482" s="55" t="e">
        <v>#N/A</v>
      </c>
      <c r="J1482" s="55" t="e">
        <v>#N/A</v>
      </c>
      <c r="K1482" s="55" t="e">
        <v>#N/A</v>
      </c>
    </row>
    <row r="1483" spans="1:11" ht="30" hidden="1" x14ac:dyDescent="0.25">
      <c r="A1483" s="2" t="s">
        <v>98</v>
      </c>
      <c r="B1483" s="3">
        <v>91122</v>
      </c>
      <c r="C1483" s="4" t="s">
        <v>1658</v>
      </c>
      <c r="D1483" s="62" t="e">
        <v>#N/A</v>
      </c>
      <c r="E1483" s="55" t="e">
        <v>#N/A</v>
      </c>
      <c r="F1483" s="55" t="e">
        <v>#N/A</v>
      </c>
      <c r="G1483" s="55" t="e">
        <v>#N/A</v>
      </c>
      <c r="H1483" s="55" t="e">
        <v>#N/A</v>
      </c>
      <c r="I1483" s="55" t="e">
        <v>#N/A</v>
      </c>
      <c r="J1483" s="55" t="e">
        <v>#N/A</v>
      </c>
      <c r="K1483" s="55" t="e">
        <v>#N/A</v>
      </c>
    </row>
    <row r="1484" spans="1:11" ht="45" hidden="1" x14ac:dyDescent="0.25">
      <c r="A1484" s="2" t="s">
        <v>98</v>
      </c>
      <c r="B1484" s="3">
        <v>91211</v>
      </c>
      <c r="C1484" s="4" t="s">
        <v>107</v>
      </c>
      <c r="D1484" s="62" t="s">
        <v>1857</v>
      </c>
      <c r="E1484" s="55" t="e">
        <v>#N/A</v>
      </c>
      <c r="F1484" s="55" t="s">
        <v>111</v>
      </c>
      <c r="G1484" s="55">
        <v>0</v>
      </c>
      <c r="H1484" s="55" t="e">
        <v>#N/A</v>
      </c>
      <c r="I1484" s="55" t="e">
        <v>#N/A</v>
      </c>
      <c r="J1484" s="55" t="e">
        <v>#N/A</v>
      </c>
      <c r="K1484" s="55" t="e">
        <v>#N/A</v>
      </c>
    </row>
    <row r="1485" spans="1:11" ht="30" hidden="1" x14ac:dyDescent="0.25">
      <c r="A1485" s="2" t="s">
        <v>98</v>
      </c>
      <c r="B1485" s="3">
        <v>91212</v>
      </c>
      <c r="C1485" s="4" t="s">
        <v>1659</v>
      </c>
      <c r="D1485" s="62" t="e">
        <v>#N/A</v>
      </c>
      <c r="E1485" s="55" t="e">
        <v>#N/A</v>
      </c>
      <c r="F1485" s="55" t="e">
        <v>#N/A</v>
      </c>
      <c r="G1485" s="55" t="e">
        <v>#N/A</v>
      </c>
      <c r="H1485" s="55" t="e">
        <v>#N/A</v>
      </c>
      <c r="I1485" s="55" t="e">
        <v>#N/A</v>
      </c>
      <c r="J1485" s="55" t="e">
        <v>#N/A</v>
      </c>
      <c r="K1485" s="55" t="e">
        <v>#N/A</v>
      </c>
    </row>
    <row r="1486" spans="1:11" ht="60" hidden="1" x14ac:dyDescent="0.25">
      <c r="A1486" s="2" t="s">
        <v>98</v>
      </c>
      <c r="B1486" s="3">
        <v>91221</v>
      </c>
      <c r="C1486" s="4" t="s">
        <v>108</v>
      </c>
      <c r="D1486" s="62" t="s">
        <v>1858</v>
      </c>
      <c r="E1486" s="55" t="e">
        <v>#N/A</v>
      </c>
      <c r="F1486" s="55" t="s">
        <v>111</v>
      </c>
      <c r="G1486" s="55">
        <v>0</v>
      </c>
      <c r="H1486" s="55" t="e">
        <v>#N/A</v>
      </c>
      <c r="I1486" s="55" t="e">
        <v>#N/A</v>
      </c>
      <c r="J1486" s="55" t="e">
        <v>#N/A</v>
      </c>
      <c r="K1486" s="55" t="e">
        <v>#N/A</v>
      </c>
    </row>
    <row r="1487" spans="1:11" ht="60" hidden="1" x14ac:dyDescent="0.25">
      <c r="A1487" s="2" t="s">
        <v>98</v>
      </c>
      <c r="B1487" s="3">
        <v>91222</v>
      </c>
      <c r="C1487" s="4" t="s">
        <v>108</v>
      </c>
      <c r="D1487" s="62" t="e">
        <v>#N/A</v>
      </c>
      <c r="E1487" s="55" t="e">
        <v>#N/A</v>
      </c>
      <c r="F1487" s="55" t="e">
        <v>#N/A</v>
      </c>
      <c r="G1487" s="55" t="e">
        <v>#N/A</v>
      </c>
      <c r="H1487" s="55" t="e">
        <v>#N/A</v>
      </c>
      <c r="I1487" s="55" t="e">
        <v>#N/A</v>
      </c>
      <c r="J1487" s="55" t="e">
        <v>#N/A</v>
      </c>
      <c r="K1487" s="55" t="e">
        <v>#N/A</v>
      </c>
    </row>
    <row r="1488" spans="1:11" ht="75" hidden="1" x14ac:dyDescent="0.25">
      <c r="A1488" s="2" t="s">
        <v>98</v>
      </c>
      <c r="B1488" s="3">
        <v>91300</v>
      </c>
      <c r="C1488" s="4" t="s">
        <v>1660</v>
      </c>
      <c r="D1488" s="62" t="e">
        <v>#N/A</v>
      </c>
      <c r="E1488" s="55" t="e">
        <v>#N/A</v>
      </c>
      <c r="F1488" s="55" t="e">
        <v>#N/A</v>
      </c>
      <c r="G1488" s="55" t="e">
        <v>#N/A</v>
      </c>
      <c r="H1488" s="55" t="e">
        <v>#N/A</v>
      </c>
      <c r="I1488" s="55" t="e">
        <v>#N/A</v>
      </c>
      <c r="J1488" s="55" t="e">
        <v>#N/A</v>
      </c>
      <c r="K1488" s="55" t="e">
        <v>#N/A</v>
      </c>
    </row>
    <row r="1489" spans="1:11" ht="45" hidden="1" x14ac:dyDescent="0.25">
      <c r="A1489" s="2" t="s">
        <v>98</v>
      </c>
      <c r="B1489" s="3">
        <v>91410</v>
      </c>
      <c r="C1489" s="4" t="s">
        <v>1661</v>
      </c>
      <c r="D1489" s="62" t="e">
        <v>#N/A</v>
      </c>
      <c r="E1489" s="55" t="e">
        <v>#N/A</v>
      </c>
      <c r="F1489" s="55" t="e">
        <v>#N/A</v>
      </c>
      <c r="G1489" s="55" t="e">
        <v>#N/A</v>
      </c>
      <c r="H1489" s="55" t="e">
        <v>#N/A</v>
      </c>
      <c r="I1489" s="55" t="e">
        <v>#N/A</v>
      </c>
      <c r="J1489" s="55" t="e">
        <v>#N/A</v>
      </c>
      <c r="K1489" s="55" t="e">
        <v>#N/A</v>
      </c>
    </row>
    <row r="1490" spans="1:11" hidden="1" x14ac:dyDescent="0.25">
      <c r="A1490" s="2" t="s">
        <v>98</v>
      </c>
      <c r="B1490" s="3">
        <v>91421</v>
      </c>
      <c r="C1490" s="4" t="s">
        <v>1662</v>
      </c>
      <c r="D1490" s="62" t="e">
        <v>#N/A</v>
      </c>
      <c r="E1490" s="55" t="e">
        <v>#N/A</v>
      </c>
      <c r="F1490" s="55" t="e">
        <v>#N/A</v>
      </c>
      <c r="G1490" s="55" t="e">
        <v>#N/A</v>
      </c>
      <c r="H1490" s="55" t="e">
        <v>#N/A</v>
      </c>
      <c r="I1490" s="55" t="e">
        <v>#N/A</v>
      </c>
      <c r="J1490" s="55" t="e">
        <v>#N/A</v>
      </c>
      <c r="K1490" s="55" t="e">
        <v>#N/A</v>
      </c>
    </row>
    <row r="1491" spans="1:11" hidden="1" x14ac:dyDescent="0.25">
      <c r="A1491" s="2" t="s">
        <v>98</v>
      </c>
      <c r="B1491" s="3">
        <v>91422</v>
      </c>
      <c r="C1491" s="4" t="s">
        <v>1663</v>
      </c>
      <c r="D1491" s="62" t="e">
        <v>#N/A</v>
      </c>
      <c r="E1491" s="55" t="e">
        <v>#N/A</v>
      </c>
      <c r="F1491" s="55" t="e">
        <v>#N/A</v>
      </c>
      <c r="G1491" s="55" t="e">
        <v>#N/A</v>
      </c>
      <c r="H1491" s="55" t="e">
        <v>#N/A</v>
      </c>
      <c r="I1491" s="55" t="e">
        <v>#N/A</v>
      </c>
      <c r="J1491" s="55" t="e">
        <v>#N/A</v>
      </c>
      <c r="K1491" s="55" t="e">
        <v>#N/A</v>
      </c>
    </row>
    <row r="1492" spans="1:11" hidden="1" x14ac:dyDescent="0.25">
      <c r="A1492" s="2" t="s">
        <v>98</v>
      </c>
      <c r="B1492" s="3">
        <v>91423</v>
      </c>
      <c r="C1492" s="4" t="s">
        <v>1664</v>
      </c>
      <c r="D1492" s="62" t="e">
        <v>#N/A</v>
      </c>
      <c r="E1492" s="55" t="e">
        <v>#N/A</v>
      </c>
      <c r="F1492" s="55" t="e">
        <v>#N/A</v>
      </c>
      <c r="G1492" s="55" t="e">
        <v>#N/A</v>
      </c>
      <c r="H1492" s="55" t="e">
        <v>#N/A</v>
      </c>
      <c r="I1492" s="55" t="e">
        <v>#N/A</v>
      </c>
      <c r="J1492" s="55" t="e">
        <v>#N/A</v>
      </c>
      <c r="K1492" s="55" t="e">
        <v>#N/A</v>
      </c>
    </row>
    <row r="1493" spans="1:11" hidden="1" x14ac:dyDescent="0.25">
      <c r="A1493" s="2" t="s">
        <v>98</v>
      </c>
      <c r="B1493" s="3">
        <v>91424</v>
      </c>
      <c r="C1493" s="4" t="s">
        <v>1665</v>
      </c>
      <c r="D1493" s="62" t="e">
        <v>#N/A</v>
      </c>
      <c r="E1493" s="55" t="e">
        <v>#N/A</v>
      </c>
      <c r="F1493" s="55" t="e">
        <v>#N/A</v>
      </c>
      <c r="G1493" s="55" t="e">
        <v>#N/A</v>
      </c>
      <c r="H1493" s="55" t="e">
        <v>#N/A</v>
      </c>
      <c r="I1493" s="55" t="e">
        <v>#N/A</v>
      </c>
      <c r="J1493" s="55" t="e">
        <v>#N/A</v>
      </c>
      <c r="K1493" s="55" t="e">
        <v>#N/A</v>
      </c>
    </row>
    <row r="1494" spans="1:11" hidden="1" x14ac:dyDescent="0.25">
      <c r="A1494" s="2" t="s">
        <v>98</v>
      </c>
      <c r="B1494" s="3">
        <v>91425</v>
      </c>
      <c r="C1494" s="4" t="s">
        <v>1666</v>
      </c>
      <c r="D1494" s="62" t="e">
        <v>#N/A</v>
      </c>
      <c r="E1494" s="55" t="e">
        <v>#N/A</v>
      </c>
      <c r="F1494" s="55" t="e">
        <v>#N/A</v>
      </c>
      <c r="G1494" s="55" t="e">
        <v>#N/A</v>
      </c>
      <c r="H1494" s="55" t="e">
        <v>#N/A</v>
      </c>
      <c r="I1494" s="55" t="e">
        <v>#N/A</v>
      </c>
      <c r="J1494" s="55" t="e">
        <v>#N/A</v>
      </c>
      <c r="K1494" s="55" t="e">
        <v>#N/A</v>
      </c>
    </row>
    <row r="1495" spans="1:11" hidden="1" x14ac:dyDescent="0.25">
      <c r="A1495" s="2" t="s">
        <v>98</v>
      </c>
      <c r="B1495" s="3">
        <v>91426</v>
      </c>
      <c r="C1495" s="4" t="s">
        <v>1667</v>
      </c>
      <c r="D1495" s="62" t="e">
        <v>#N/A</v>
      </c>
      <c r="E1495" s="55" t="e">
        <v>#N/A</v>
      </c>
      <c r="F1495" s="55" t="e">
        <v>#N/A</v>
      </c>
      <c r="G1495" s="55" t="e">
        <v>#N/A</v>
      </c>
      <c r="H1495" s="55" t="e">
        <v>#N/A</v>
      </c>
      <c r="I1495" s="55" t="e">
        <v>#N/A</v>
      </c>
      <c r="J1495" s="55" t="e">
        <v>#N/A</v>
      </c>
      <c r="K1495" s="55" t="e">
        <v>#N/A</v>
      </c>
    </row>
    <row r="1496" spans="1:11" ht="30" hidden="1" x14ac:dyDescent="0.25">
      <c r="A1496" s="2" t="s">
        <v>98</v>
      </c>
      <c r="B1496" s="3">
        <v>91429</v>
      </c>
      <c r="C1496" s="4" t="s">
        <v>1668</v>
      </c>
      <c r="D1496" s="62" t="e">
        <v>#N/A</v>
      </c>
      <c r="E1496" s="55" t="e">
        <v>#N/A</v>
      </c>
      <c r="F1496" s="55" t="e">
        <v>#N/A</v>
      </c>
      <c r="G1496" s="55" t="e">
        <v>#N/A</v>
      </c>
      <c r="H1496" s="55" t="e">
        <v>#N/A</v>
      </c>
      <c r="I1496" s="55" t="e">
        <v>#N/A</v>
      </c>
      <c r="J1496" s="55" t="e">
        <v>#N/A</v>
      </c>
      <c r="K1496" s="55" t="e">
        <v>#N/A</v>
      </c>
    </row>
    <row r="1497" spans="1:11" ht="30" hidden="1" x14ac:dyDescent="0.25">
      <c r="A1497" s="2" t="s">
        <v>98</v>
      </c>
      <c r="B1497" s="3">
        <v>92000</v>
      </c>
      <c r="C1497" s="4" t="s">
        <v>1669</v>
      </c>
      <c r="D1497" s="62" t="e">
        <v>#N/A</v>
      </c>
      <c r="E1497" s="55" t="e">
        <v>#N/A</v>
      </c>
      <c r="F1497" s="55" t="e">
        <v>#N/A</v>
      </c>
      <c r="G1497" s="55" t="e">
        <v>#N/A</v>
      </c>
      <c r="H1497" s="55" t="e">
        <v>#N/A</v>
      </c>
      <c r="I1497" s="55" t="e">
        <v>#N/A</v>
      </c>
      <c r="J1497" s="55" t="e">
        <v>#N/A</v>
      </c>
      <c r="K1497" s="55" t="e">
        <v>#N/A</v>
      </c>
    </row>
    <row r="1498" spans="1:11" hidden="1" x14ac:dyDescent="0.25">
      <c r="A1498" s="2" t="s">
        <v>98</v>
      </c>
      <c r="B1498" s="3">
        <v>93111</v>
      </c>
      <c r="C1498" s="4" t="s">
        <v>1670</v>
      </c>
      <c r="D1498" s="62" t="e">
        <v>#N/A</v>
      </c>
      <c r="E1498" s="55" t="e">
        <v>#N/A</v>
      </c>
      <c r="F1498" s="55" t="e">
        <v>#N/A</v>
      </c>
      <c r="G1498" s="55" t="e">
        <v>#N/A</v>
      </c>
      <c r="H1498" s="55" t="e">
        <v>#N/A</v>
      </c>
      <c r="I1498" s="55" t="e">
        <v>#N/A</v>
      </c>
      <c r="J1498" s="55" t="e">
        <v>#N/A</v>
      </c>
      <c r="K1498" s="55" t="e">
        <v>#N/A</v>
      </c>
    </row>
    <row r="1499" spans="1:11" hidden="1" x14ac:dyDescent="0.25">
      <c r="A1499" s="2" t="s">
        <v>98</v>
      </c>
      <c r="B1499" s="3">
        <v>93112</v>
      </c>
      <c r="C1499" s="4" t="s">
        <v>1671</v>
      </c>
      <c r="D1499" s="62" t="e">
        <v>#N/A</v>
      </c>
      <c r="E1499" s="55" t="e">
        <v>#N/A</v>
      </c>
      <c r="F1499" s="55" t="e">
        <v>#N/A</v>
      </c>
      <c r="G1499" s="55" t="e">
        <v>#N/A</v>
      </c>
      <c r="H1499" s="55" t="e">
        <v>#N/A</v>
      </c>
      <c r="I1499" s="55" t="e">
        <v>#N/A</v>
      </c>
      <c r="J1499" s="55" t="e">
        <v>#N/A</v>
      </c>
      <c r="K1499" s="55" t="e">
        <v>#N/A</v>
      </c>
    </row>
    <row r="1500" spans="1:11" ht="30" hidden="1" x14ac:dyDescent="0.25">
      <c r="A1500" s="2" t="s">
        <v>98</v>
      </c>
      <c r="B1500" s="3">
        <v>93113</v>
      </c>
      <c r="C1500" s="4" t="s">
        <v>1672</v>
      </c>
      <c r="D1500" s="62" t="e">
        <v>#N/A</v>
      </c>
      <c r="E1500" s="55" t="e">
        <v>#N/A</v>
      </c>
      <c r="F1500" s="55" t="e">
        <v>#N/A</v>
      </c>
      <c r="G1500" s="55" t="e">
        <v>#N/A</v>
      </c>
      <c r="H1500" s="55" t="e">
        <v>#N/A</v>
      </c>
      <c r="I1500" s="55" t="e">
        <v>#N/A</v>
      </c>
      <c r="J1500" s="55" t="e">
        <v>#N/A</v>
      </c>
      <c r="K1500" s="55" t="e">
        <v>#N/A</v>
      </c>
    </row>
    <row r="1501" spans="1:11" hidden="1" x14ac:dyDescent="0.25">
      <c r="A1501" s="2" t="s">
        <v>98</v>
      </c>
      <c r="B1501" s="3">
        <v>93114</v>
      </c>
      <c r="C1501" s="4" t="s">
        <v>1673</v>
      </c>
      <c r="D1501" s="62" t="e">
        <v>#N/A</v>
      </c>
      <c r="E1501" s="55" t="e">
        <v>#N/A</v>
      </c>
      <c r="F1501" s="55" t="e">
        <v>#N/A</v>
      </c>
      <c r="G1501" s="55" t="e">
        <v>#N/A</v>
      </c>
      <c r="H1501" s="55" t="e">
        <v>#N/A</v>
      </c>
      <c r="I1501" s="55" t="e">
        <v>#N/A</v>
      </c>
      <c r="J1501" s="55" t="e">
        <v>#N/A</v>
      </c>
      <c r="K1501" s="55" t="e">
        <v>#N/A</v>
      </c>
    </row>
    <row r="1502" spans="1:11" ht="30" hidden="1" x14ac:dyDescent="0.25">
      <c r="A1502" s="2" t="s">
        <v>98</v>
      </c>
      <c r="B1502" s="3">
        <v>93115</v>
      </c>
      <c r="C1502" s="4" t="s">
        <v>1674</v>
      </c>
      <c r="D1502" s="62" t="e">
        <v>#N/A</v>
      </c>
      <c r="E1502" s="55" t="e">
        <v>#N/A</v>
      </c>
      <c r="F1502" s="55" t="e">
        <v>#N/A</v>
      </c>
      <c r="G1502" s="55" t="e">
        <v>#N/A</v>
      </c>
      <c r="H1502" s="55" t="e">
        <v>#N/A</v>
      </c>
      <c r="I1502" s="55" t="e">
        <v>#N/A</v>
      </c>
      <c r="J1502" s="55" t="e">
        <v>#N/A</v>
      </c>
      <c r="K1502" s="55" t="e">
        <v>#N/A</v>
      </c>
    </row>
    <row r="1503" spans="1:11" ht="45" hidden="1" x14ac:dyDescent="0.25">
      <c r="A1503" s="2" t="s">
        <v>98</v>
      </c>
      <c r="B1503" s="3">
        <v>93116</v>
      </c>
      <c r="C1503" s="4" t="s">
        <v>1675</v>
      </c>
      <c r="D1503" s="62" t="e">
        <v>#N/A</v>
      </c>
      <c r="E1503" s="55" t="e">
        <v>#N/A</v>
      </c>
      <c r="F1503" s="55" t="e">
        <v>#N/A</v>
      </c>
      <c r="G1503" s="55" t="e">
        <v>#N/A</v>
      </c>
      <c r="H1503" s="55" t="e">
        <v>#N/A</v>
      </c>
      <c r="I1503" s="55" t="e">
        <v>#N/A</v>
      </c>
      <c r="J1503" s="55" t="e">
        <v>#N/A</v>
      </c>
      <c r="K1503" s="55" t="e">
        <v>#N/A</v>
      </c>
    </row>
    <row r="1504" spans="1:11" ht="45" hidden="1" x14ac:dyDescent="0.25">
      <c r="A1504" s="2" t="s">
        <v>98</v>
      </c>
      <c r="B1504" s="3">
        <v>93119</v>
      </c>
      <c r="C1504" s="4" t="s">
        <v>1676</v>
      </c>
      <c r="D1504" s="62" t="e">
        <v>#N/A</v>
      </c>
      <c r="E1504" s="55" t="e">
        <v>#N/A</v>
      </c>
      <c r="F1504" s="55" t="e">
        <v>#N/A</v>
      </c>
      <c r="G1504" s="55" t="e">
        <v>#N/A</v>
      </c>
      <c r="H1504" s="55" t="e">
        <v>#N/A</v>
      </c>
      <c r="I1504" s="55" t="e">
        <v>#N/A</v>
      </c>
      <c r="J1504" s="55" t="e">
        <v>#N/A</v>
      </c>
      <c r="K1504" s="55" t="e">
        <v>#N/A</v>
      </c>
    </row>
    <row r="1505" spans="1:11" hidden="1" x14ac:dyDescent="0.25">
      <c r="A1505" s="2" t="s">
        <v>98</v>
      </c>
      <c r="B1505" s="3">
        <v>93121</v>
      </c>
      <c r="C1505" s="4" t="s">
        <v>1677</v>
      </c>
      <c r="D1505" s="62" t="e">
        <v>#N/A</v>
      </c>
      <c r="E1505" s="55" t="e">
        <v>#N/A</v>
      </c>
      <c r="F1505" s="55" t="e">
        <v>#N/A</v>
      </c>
      <c r="G1505" s="55" t="e">
        <v>#N/A</v>
      </c>
      <c r="H1505" s="55" t="e">
        <v>#N/A</v>
      </c>
      <c r="I1505" s="55" t="e">
        <v>#N/A</v>
      </c>
      <c r="J1505" s="55" t="e">
        <v>#N/A</v>
      </c>
      <c r="K1505" s="55" t="e">
        <v>#N/A</v>
      </c>
    </row>
    <row r="1506" spans="1:11" hidden="1" x14ac:dyDescent="0.25">
      <c r="A1506" s="2" t="s">
        <v>98</v>
      </c>
      <c r="B1506" s="3">
        <v>93122</v>
      </c>
      <c r="C1506" s="4" t="s">
        <v>1678</v>
      </c>
      <c r="D1506" s="62" t="e">
        <v>#N/A</v>
      </c>
      <c r="E1506" s="55" t="e">
        <v>#N/A</v>
      </c>
      <c r="F1506" s="55" t="e">
        <v>#N/A</v>
      </c>
      <c r="G1506" s="55" t="e">
        <v>#N/A</v>
      </c>
      <c r="H1506" s="55" t="e">
        <v>#N/A</v>
      </c>
      <c r="I1506" s="55" t="e">
        <v>#N/A</v>
      </c>
      <c r="J1506" s="55" t="e">
        <v>#N/A</v>
      </c>
      <c r="K1506" s="55" t="e">
        <v>#N/A</v>
      </c>
    </row>
    <row r="1507" spans="1:11" hidden="1" x14ac:dyDescent="0.25">
      <c r="A1507" s="2" t="s">
        <v>98</v>
      </c>
      <c r="B1507" s="3">
        <v>93123</v>
      </c>
      <c r="C1507" s="4" t="s">
        <v>1679</v>
      </c>
      <c r="D1507" s="62" t="e">
        <v>#N/A</v>
      </c>
      <c r="E1507" s="55" t="e">
        <v>#N/A</v>
      </c>
      <c r="F1507" s="55" t="e">
        <v>#N/A</v>
      </c>
      <c r="G1507" s="55" t="e">
        <v>#N/A</v>
      </c>
      <c r="H1507" s="55" t="e">
        <v>#N/A</v>
      </c>
      <c r="I1507" s="55" t="e">
        <v>#N/A</v>
      </c>
      <c r="J1507" s="55" t="e">
        <v>#N/A</v>
      </c>
      <c r="K1507" s="55" t="e">
        <v>#N/A</v>
      </c>
    </row>
    <row r="1508" spans="1:11" ht="30" hidden="1" x14ac:dyDescent="0.25">
      <c r="A1508" s="2" t="s">
        <v>98</v>
      </c>
      <c r="B1508" s="3">
        <v>93124</v>
      </c>
      <c r="C1508" s="4" t="s">
        <v>1680</v>
      </c>
      <c r="D1508" s="62" t="e">
        <v>#N/A</v>
      </c>
      <c r="E1508" s="55" t="e">
        <v>#N/A</v>
      </c>
      <c r="F1508" s="55" t="e">
        <v>#N/A</v>
      </c>
      <c r="G1508" s="55" t="e">
        <v>#N/A</v>
      </c>
      <c r="H1508" s="55" t="e">
        <v>#N/A</v>
      </c>
      <c r="I1508" s="55" t="e">
        <v>#N/A</v>
      </c>
      <c r="J1508" s="55" t="e">
        <v>#N/A</v>
      </c>
      <c r="K1508" s="55" t="e">
        <v>#N/A</v>
      </c>
    </row>
    <row r="1509" spans="1:11" hidden="1" x14ac:dyDescent="0.25">
      <c r="A1509" s="2" t="s">
        <v>98</v>
      </c>
      <c r="B1509" s="3">
        <v>93125</v>
      </c>
      <c r="C1509" s="4" t="s">
        <v>1681</v>
      </c>
      <c r="D1509" s="62" t="e">
        <v>#N/A</v>
      </c>
      <c r="E1509" s="55" t="e">
        <v>#N/A</v>
      </c>
      <c r="F1509" s="55" t="e">
        <v>#N/A</v>
      </c>
      <c r="G1509" s="55" t="e">
        <v>#N/A</v>
      </c>
      <c r="H1509" s="55" t="e">
        <v>#N/A</v>
      </c>
      <c r="I1509" s="55" t="e">
        <v>#N/A</v>
      </c>
      <c r="J1509" s="55" t="e">
        <v>#N/A</v>
      </c>
      <c r="K1509" s="55" t="e">
        <v>#N/A</v>
      </c>
    </row>
    <row r="1510" spans="1:11" hidden="1" x14ac:dyDescent="0.25">
      <c r="A1510" s="2" t="s">
        <v>98</v>
      </c>
      <c r="B1510" s="3">
        <v>93126</v>
      </c>
      <c r="C1510" s="4" t="s">
        <v>1682</v>
      </c>
      <c r="D1510" s="62" t="e">
        <v>#N/A</v>
      </c>
      <c r="E1510" s="55" t="e">
        <v>#N/A</v>
      </c>
      <c r="F1510" s="55" t="e">
        <v>#N/A</v>
      </c>
      <c r="G1510" s="55" t="e">
        <v>#N/A</v>
      </c>
      <c r="H1510" s="55" t="e">
        <v>#N/A</v>
      </c>
      <c r="I1510" s="55" t="e">
        <v>#N/A</v>
      </c>
      <c r="J1510" s="55" t="e">
        <v>#N/A</v>
      </c>
      <c r="K1510" s="55" t="e">
        <v>#N/A</v>
      </c>
    </row>
    <row r="1511" spans="1:11" ht="45" hidden="1" x14ac:dyDescent="0.25">
      <c r="A1511" s="2" t="s">
        <v>98</v>
      </c>
      <c r="B1511" s="3">
        <v>93127</v>
      </c>
      <c r="C1511" s="4" t="s">
        <v>1683</v>
      </c>
      <c r="D1511" s="62" t="e">
        <v>#N/A</v>
      </c>
      <c r="E1511" s="55" t="e">
        <v>#N/A</v>
      </c>
      <c r="F1511" s="55" t="e">
        <v>#N/A</v>
      </c>
      <c r="G1511" s="55" t="e">
        <v>#N/A</v>
      </c>
      <c r="H1511" s="55" t="e">
        <v>#N/A</v>
      </c>
      <c r="I1511" s="55" t="e">
        <v>#N/A</v>
      </c>
      <c r="J1511" s="55" t="e">
        <v>#N/A</v>
      </c>
      <c r="K1511" s="55" t="e">
        <v>#N/A</v>
      </c>
    </row>
    <row r="1512" spans="1:11" hidden="1" x14ac:dyDescent="0.25">
      <c r="A1512" s="2" t="s">
        <v>98</v>
      </c>
      <c r="B1512" s="3">
        <v>93128</v>
      </c>
      <c r="C1512" s="4" t="s">
        <v>1684</v>
      </c>
      <c r="D1512" s="62" t="e">
        <v>#N/A</v>
      </c>
      <c r="E1512" s="55" t="e">
        <v>#N/A</v>
      </c>
      <c r="F1512" s="55" t="e">
        <v>#N/A</v>
      </c>
      <c r="G1512" s="55" t="e">
        <v>#N/A</v>
      </c>
      <c r="H1512" s="55" t="e">
        <v>#N/A</v>
      </c>
      <c r="I1512" s="55" t="e">
        <v>#N/A</v>
      </c>
      <c r="J1512" s="55" t="e">
        <v>#N/A</v>
      </c>
      <c r="K1512" s="55" t="e">
        <v>#N/A</v>
      </c>
    </row>
    <row r="1513" spans="1:11" ht="30" hidden="1" x14ac:dyDescent="0.25">
      <c r="A1513" s="2" t="s">
        <v>98</v>
      </c>
      <c r="B1513" s="3">
        <v>93129</v>
      </c>
      <c r="C1513" s="4" t="s">
        <v>1685</v>
      </c>
      <c r="D1513" s="62" t="e">
        <v>#N/A</v>
      </c>
      <c r="E1513" s="55" t="e">
        <v>#N/A</v>
      </c>
      <c r="F1513" s="55" t="e">
        <v>#N/A</v>
      </c>
      <c r="G1513" s="55" t="e">
        <v>#N/A</v>
      </c>
      <c r="H1513" s="55" t="e">
        <v>#N/A</v>
      </c>
      <c r="I1513" s="55" t="e">
        <v>#N/A</v>
      </c>
      <c r="J1513" s="55" t="e">
        <v>#N/A</v>
      </c>
      <c r="K1513" s="55" t="e">
        <v>#N/A</v>
      </c>
    </row>
    <row r="1514" spans="1:11" ht="30" hidden="1" x14ac:dyDescent="0.25">
      <c r="A1514" s="2" t="s">
        <v>98</v>
      </c>
      <c r="B1514" s="3">
        <v>93191</v>
      </c>
      <c r="C1514" s="4" t="s">
        <v>1686</v>
      </c>
      <c r="D1514" s="62" t="e">
        <v>#N/A</v>
      </c>
      <c r="E1514" s="55" t="e">
        <v>#N/A</v>
      </c>
      <c r="F1514" s="55" t="e">
        <v>#N/A</v>
      </c>
      <c r="G1514" s="55" t="e">
        <v>#N/A</v>
      </c>
      <c r="H1514" s="55" t="e">
        <v>#N/A</v>
      </c>
      <c r="I1514" s="55" t="e">
        <v>#N/A</v>
      </c>
      <c r="J1514" s="55" t="e">
        <v>#N/A</v>
      </c>
      <c r="K1514" s="55" t="e">
        <v>#N/A</v>
      </c>
    </row>
    <row r="1515" spans="1:11" ht="30" hidden="1" x14ac:dyDescent="0.25">
      <c r="A1515" s="2" t="s">
        <v>98</v>
      </c>
      <c r="B1515" s="3">
        <v>93192</v>
      </c>
      <c r="C1515" s="4" t="s">
        <v>1687</v>
      </c>
      <c r="D1515" s="62" t="e">
        <v>#N/A</v>
      </c>
      <c r="E1515" s="55" t="e">
        <v>#N/A</v>
      </c>
      <c r="F1515" s="55" t="e">
        <v>#N/A</v>
      </c>
      <c r="G1515" s="55" t="e">
        <v>#N/A</v>
      </c>
      <c r="H1515" s="55" t="e">
        <v>#N/A</v>
      </c>
      <c r="I1515" s="55" t="e">
        <v>#N/A</v>
      </c>
      <c r="J1515" s="55" t="e">
        <v>#N/A</v>
      </c>
      <c r="K1515" s="55" t="e">
        <v>#N/A</v>
      </c>
    </row>
    <row r="1516" spans="1:11" ht="45" hidden="1" x14ac:dyDescent="0.25">
      <c r="A1516" s="2" t="s">
        <v>98</v>
      </c>
      <c r="B1516" s="3">
        <v>93193</v>
      </c>
      <c r="C1516" s="4" t="s">
        <v>1688</v>
      </c>
      <c r="D1516" s="62" t="e">
        <v>#N/A</v>
      </c>
      <c r="E1516" s="55" t="e">
        <v>#N/A</v>
      </c>
      <c r="F1516" s="55" t="e">
        <v>#N/A</v>
      </c>
      <c r="G1516" s="55" t="e">
        <v>#N/A</v>
      </c>
      <c r="H1516" s="55" t="e">
        <v>#N/A</v>
      </c>
      <c r="I1516" s="55" t="e">
        <v>#N/A</v>
      </c>
      <c r="J1516" s="55" t="e">
        <v>#N/A</v>
      </c>
      <c r="K1516" s="55" t="e">
        <v>#N/A</v>
      </c>
    </row>
    <row r="1517" spans="1:11" ht="30" hidden="1" x14ac:dyDescent="0.25">
      <c r="A1517" s="2" t="s">
        <v>98</v>
      </c>
      <c r="B1517" s="3">
        <v>93194</v>
      </c>
      <c r="C1517" s="4" t="s">
        <v>1689</v>
      </c>
      <c r="D1517" s="62" t="e">
        <v>#N/A</v>
      </c>
      <c r="E1517" s="55" t="e">
        <v>#N/A</v>
      </c>
      <c r="F1517" s="55" t="e">
        <v>#N/A</v>
      </c>
      <c r="G1517" s="55" t="e">
        <v>#N/A</v>
      </c>
      <c r="H1517" s="55" t="e">
        <v>#N/A</v>
      </c>
      <c r="I1517" s="55" t="e">
        <v>#N/A</v>
      </c>
      <c r="J1517" s="55" t="e">
        <v>#N/A</v>
      </c>
      <c r="K1517" s="55" t="e">
        <v>#N/A</v>
      </c>
    </row>
    <row r="1518" spans="1:11" ht="30" hidden="1" x14ac:dyDescent="0.25">
      <c r="A1518" s="2" t="s">
        <v>98</v>
      </c>
      <c r="B1518" s="3">
        <v>93195</v>
      </c>
      <c r="C1518" s="4" t="s">
        <v>1690</v>
      </c>
      <c r="D1518" s="62" t="e">
        <v>#N/A</v>
      </c>
      <c r="E1518" s="55" t="e">
        <v>#N/A</v>
      </c>
      <c r="F1518" s="55" t="e">
        <v>#N/A</v>
      </c>
      <c r="G1518" s="55" t="e">
        <v>#N/A</v>
      </c>
      <c r="H1518" s="55" t="e">
        <v>#N/A</v>
      </c>
      <c r="I1518" s="55" t="e">
        <v>#N/A</v>
      </c>
      <c r="J1518" s="55" t="e">
        <v>#N/A</v>
      </c>
      <c r="K1518" s="55" t="e">
        <v>#N/A</v>
      </c>
    </row>
    <row r="1519" spans="1:11" ht="45" hidden="1" x14ac:dyDescent="0.25">
      <c r="A1519" s="2" t="s">
        <v>98</v>
      </c>
      <c r="B1519" s="3">
        <v>93196</v>
      </c>
      <c r="C1519" s="4" t="s">
        <v>1691</v>
      </c>
      <c r="D1519" s="62" t="e">
        <v>#N/A</v>
      </c>
      <c r="E1519" s="55" t="e">
        <v>#N/A</v>
      </c>
      <c r="F1519" s="55" t="e">
        <v>#N/A</v>
      </c>
      <c r="G1519" s="55" t="e">
        <v>#N/A</v>
      </c>
      <c r="H1519" s="55" t="e">
        <v>#N/A</v>
      </c>
      <c r="I1519" s="55" t="e">
        <v>#N/A</v>
      </c>
      <c r="J1519" s="55" t="e">
        <v>#N/A</v>
      </c>
      <c r="K1519" s="55" t="e">
        <v>#N/A</v>
      </c>
    </row>
    <row r="1520" spans="1:11" ht="45" hidden="1" x14ac:dyDescent="0.25">
      <c r="A1520" s="2" t="s">
        <v>98</v>
      </c>
      <c r="B1520" s="3">
        <v>93197</v>
      </c>
      <c r="C1520" s="4" t="s">
        <v>1692</v>
      </c>
      <c r="D1520" s="62" t="e">
        <v>#N/A</v>
      </c>
      <c r="E1520" s="55" t="e">
        <v>#N/A</v>
      </c>
      <c r="F1520" s="55" t="e">
        <v>#N/A</v>
      </c>
      <c r="G1520" s="55" t="e">
        <v>#N/A</v>
      </c>
      <c r="H1520" s="55" t="e">
        <v>#N/A</v>
      </c>
      <c r="I1520" s="55" t="e">
        <v>#N/A</v>
      </c>
      <c r="J1520" s="55" t="e">
        <v>#N/A</v>
      </c>
      <c r="K1520" s="55" t="e">
        <v>#N/A</v>
      </c>
    </row>
    <row r="1521" spans="1:11" ht="60" hidden="1" x14ac:dyDescent="0.25">
      <c r="A1521" s="2" t="s">
        <v>98</v>
      </c>
      <c r="B1521" s="3">
        <v>93199</v>
      </c>
      <c r="C1521" s="4" t="s">
        <v>1693</v>
      </c>
      <c r="D1521" s="62" t="e">
        <v>#N/A</v>
      </c>
      <c r="E1521" s="55" t="e">
        <v>#N/A</v>
      </c>
      <c r="F1521" s="55" t="e">
        <v>#N/A</v>
      </c>
      <c r="G1521" s="55" t="e">
        <v>#N/A</v>
      </c>
      <c r="H1521" s="55" t="e">
        <v>#N/A</v>
      </c>
      <c r="I1521" s="55" t="e">
        <v>#N/A</v>
      </c>
      <c r="J1521" s="55" t="e">
        <v>#N/A</v>
      </c>
      <c r="K1521" s="55" t="e">
        <v>#N/A</v>
      </c>
    </row>
    <row r="1522" spans="1:11" ht="45" hidden="1" x14ac:dyDescent="0.25">
      <c r="A1522" s="2" t="s">
        <v>98</v>
      </c>
      <c r="B1522" s="3">
        <v>93210</v>
      </c>
      <c r="C1522" s="4" t="s">
        <v>1694</v>
      </c>
      <c r="D1522" s="62" t="e">
        <v>#N/A</v>
      </c>
      <c r="E1522" s="55" t="e">
        <v>#N/A</v>
      </c>
      <c r="F1522" s="55" t="e">
        <v>#N/A</v>
      </c>
      <c r="G1522" s="55" t="e">
        <v>#N/A</v>
      </c>
      <c r="H1522" s="55" t="e">
        <v>#N/A</v>
      </c>
      <c r="I1522" s="55" t="e">
        <v>#N/A</v>
      </c>
      <c r="J1522" s="55" t="e">
        <v>#N/A</v>
      </c>
      <c r="K1522" s="55" t="e">
        <v>#N/A</v>
      </c>
    </row>
    <row r="1523" spans="1:11" ht="30" hidden="1" x14ac:dyDescent="0.25">
      <c r="A1523" s="2" t="s">
        <v>98</v>
      </c>
      <c r="B1523" s="3">
        <v>93291</v>
      </c>
      <c r="C1523" s="4" t="s">
        <v>1695</v>
      </c>
      <c r="D1523" s="62" t="e">
        <v>#N/A</v>
      </c>
      <c r="E1523" s="55" t="e">
        <v>#N/A</v>
      </c>
      <c r="F1523" s="55" t="e">
        <v>#N/A</v>
      </c>
      <c r="G1523" s="55" t="e">
        <v>#N/A</v>
      </c>
      <c r="H1523" s="55" t="e">
        <v>#N/A</v>
      </c>
      <c r="I1523" s="55" t="e">
        <v>#N/A</v>
      </c>
      <c r="J1523" s="55" t="e">
        <v>#N/A</v>
      </c>
      <c r="K1523" s="55" t="e">
        <v>#N/A</v>
      </c>
    </row>
    <row r="1524" spans="1:11" ht="30" hidden="1" x14ac:dyDescent="0.25">
      <c r="A1524" s="2" t="s">
        <v>98</v>
      </c>
      <c r="B1524" s="3">
        <v>93292</v>
      </c>
      <c r="C1524" s="4" t="s">
        <v>1696</v>
      </c>
      <c r="D1524" s="62" t="e">
        <v>#N/A</v>
      </c>
      <c r="E1524" s="55" t="e">
        <v>#N/A</v>
      </c>
      <c r="F1524" s="55" t="e">
        <v>#N/A</v>
      </c>
      <c r="G1524" s="55" t="e">
        <v>#N/A</v>
      </c>
      <c r="H1524" s="55" t="e">
        <v>#N/A</v>
      </c>
      <c r="I1524" s="55" t="e">
        <v>#N/A</v>
      </c>
      <c r="J1524" s="55" t="e">
        <v>#N/A</v>
      </c>
      <c r="K1524" s="55" t="e">
        <v>#N/A</v>
      </c>
    </row>
    <row r="1525" spans="1:11" ht="30" hidden="1" x14ac:dyDescent="0.25">
      <c r="A1525" s="2" t="s">
        <v>98</v>
      </c>
      <c r="B1525" s="3">
        <v>93293</v>
      </c>
      <c r="C1525" s="4" t="s">
        <v>1697</v>
      </c>
      <c r="D1525" s="62" t="e">
        <v>#N/A</v>
      </c>
      <c r="E1525" s="55" t="e">
        <v>#N/A</v>
      </c>
      <c r="F1525" s="55" t="e">
        <v>#N/A</v>
      </c>
      <c r="G1525" s="55" t="e">
        <v>#N/A</v>
      </c>
      <c r="H1525" s="55" t="e">
        <v>#N/A</v>
      </c>
      <c r="I1525" s="55" t="e">
        <v>#N/A</v>
      </c>
      <c r="J1525" s="55" t="e">
        <v>#N/A</v>
      </c>
      <c r="K1525" s="55" t="e">
        <v>#N/A</v>
      </c>
    </row>
    <row r="1526" spans="1:11" ht="45" hidden="1" x14ac:dyDescent="0.25">
      <c r="A1526" s="2" t="s">
        <v>98</v>
      </c>
      <c r="B1526" s="3">
        <v>93294</v>
      </c>
      <c r="C1526" s="4" t="s">
        <v>1698</v>
      </c>
      <c r="D1526" s="62" t="e">
        <v>#N/A</v>
      </c>
      <c r="E1526" s="55" t="e">
        <v>#N/A</v>
      </c>
      <c r="F1526" s="55" t="e">
        <v>#N/A</v>
      </c>
      <c r="G1526" s="55" t="e">
        <v>#N/A</v>
      </c>
      <c r="H1526" s="55" t="e">
        <v>#N/A</v>
      </c>
      <c r="I1526" s="55" t="e">
        <v>#N/A</v>
      </c>
      <c r="J1526" s="55" t="e">
        <v>#N/A</v>
      </c>
      <c r="K1526" s="55" t="e">
        <v>#N/A</v>
      </c>
    </row>
    <row r="1527" spans="1:11" hidden="1" x14ac:dyDescent="0.25">
      <c r="A1527" s="2" t="s">
        <v>98</v>
      </c>
      <c r="B1527" s="3">
        <v>93295</v>
      </c>
      <c r="C1527" s="4" t="s">
        <v>1699</v>
      </c>
      <c r="D1527" s="62" t="e">
        <v>#N/A</v>
      </c>
      <c r="E1527" s="55" t="e">
        <v>#N/A</v>
      </c>
      <c r="F1527" s="55" t="e">
        <v>#N/A</v>
      </c>
      <c r="G1527" s="55" t="e">
        <v>#N/A</v>
      </c>
      <c r="H1527" s="55" t="e">
        <v>#N/A</v>
      </c>
      <c r="I1527" s="55" t="e">
        <v>#N/A</v>
      </c>
      <c r="J1527" s="55" t="e">
        <v>#N/A</v>
      </c>
      <c r="K1527" s="55" t="e">
        <v>#N/A</v>
      </c>
    </row>
    <row r="1528" spans="1:11" hidden="1" x14ac:dyDescent="0.25">
      <c r="A1528" s="2" t="s">
        <v>98</v>
      </c>
      <c r="B1528" s="3">
        <v>93296</v>
      </c>
      <c r="C1528" s="4" t="s">
        <v>1700</v>
      </c>
      <c r="D1528" s="62" t="e">
        <v>#N/A</v>
      </c>
      <c r="E1528" s="55" t="e">
        <v>#N/A</v>
      </c>
      <c r="F1528" s="55" t="e">
        <v>#N/A</v>
      </c>
      <c r="G1528" s="55" t="e">
        <v>#N/A</v>
      </c>
      <c r="H1528" s="55" t="e">
        <v>#N/A</v>
      </c>
      <c r="I1528" s="55" t="e">
        <v>#N/A</v>
      </c>
      <c r="J1528" s="55" t="e">
        <v>#N/A</v>
      </c>
      <c r="K1528" s="55" t="e">
        <v>#N/A</v>
      </c>
    </row>
    <row r="1529" spans="1:11" hidden="1" x14ac:dyDescent="0.25">
      <c r="A1529" s="2" t="s">
        <v>98</v>
      </c>
      <c r="B1529" s="3">
        <v>93297</v>
      </c>
      <c r="C1529" s="4" t="s">
        <v>1701</v>
      </c>
      <c r="D1529" s="62" t="e">
        <v>#N/A</v>
      </c>
      <c r="E1529" s="55" t="e">
        <v>#N/A</v>
      </c>
      <c r="F1529" s="55" t="e">
        <v>#N/A</v>
      </c>
      <c r="G1529" s="55" t="e">
        <v>#N/A</v>
      </c>
      <c r="H1529" s="55" t="e">
        <v>#N/A</v>
      </c>
      <c r="I1529" s="55" t="e">
        <v>#N/A</v>
      </c>
      <c r="J1529" s="55" t="e">
        <v>#N/A</v>
      </c>
      <c r="K1529" s="55" t="e">
        <v>#N/A</v>
      </c>
    </row>
    <row r="1530" spans="1:11" ht="45" hidden="1" x14ac:dyDescent="0.25">
      <c r="A1530" s="2" t="s">
        <v>98</v>
      </c>
      <c r="B1530" s="3">
        <v>93299</v>
      </c>
      <c r="C1530" s="4" t="s">
        <v>1702</v>
      </c>
      <c r="D1530" s="62" t="e">
        <v>#N/A</v>
      </c>
      <c r="E1530" s="55" t="e">
        <v>#N/A</v>
      </c>
      <c r="F1530" s="55" t="e">
        <v>#N/A</v>
      </c>
      <c r="G1530" s="55" t="e">
        <v>#N/A</v>
      </c>
      <c r="H1530" s="55" t="e">
        <v>#N/A</v>
      </c>
      <c r="I1530" s="55" t="e">
        <v>#N/A</v>
      </c>
      <c r="J1530" s="55" t="e">
        <v>#N/A</v>
      </c>
      <c r="K1530" s="55" t="e">
        <v>#N/A</v>
      </c>
    </row>
    <row r="1531" spans="1:11" ht="120" hidden="1" x14ac:dyDescent="0.25">
      <c r="A1531" s="2" t="s">
        <v>109</v>
      </c>
      <c r="B1531" s="3">
        <v>94110</v>
      </c>
      <c r="C1531" s="4" t="s">
        <v>1703</v>
      </c>
      <c r="D1531" s="62" t="s">
        <v>1867</v>
      </c>
      <c r="E1531" s="55" t="e">
        <v>#N/A</v>
      </c>
      <c r="F1531" s="55" t="s">
        <v>111</v>
      </c>
      <c r="G1531" s="55">
        <v>0</v>
      </c>
      <c r="H1531" s="55" t="e">
        <v>#N/A</v>
      </c>
      <c r="I1531" s="55" t="e">
        <v>#N/A</v>
      </c>
      <c r="J1531" s="55" t="e">
        <v>#N/A</v>
      </c>
      <c r="K1531" s="55" t="e">
        <v>#N/A</v>
      </c>
    </row>
    <row r="1532" spans="1:11" ht="90" hidden="1" x14ac:dyDescent="0.25">
      <c r="A1532" s="2" t="s">
        <v>109</v>
      </c>
      <c r="B1532" s="3">
        <v>94121</v>
      </c>
      <c r="C1532" s="4" t="s">
        <v>1704</v>
      </c>
      <c r="D1532" s="62" t="s">
        <v>1868</v>
      </c>
      <c r="E1532" s="55" t="s">
        <v>2096</v>
      </c>
      <c r="F1532" s="55" t="s">
        <v>111</v>
      </c>
      <c r="G1532" s="55">
        <v>0</v>
      </c>
      <c r="H1532" s="55" t="s">
        <v>2311</v>
      </c>
      <c r="I1532" s="55" t="s">
        <v>2489</v>
      </c>
      <c r="J1532" s="55" t="s">
        <v>2560</v>
      </c>
      <c r="K1532" s="55" t="s">
        <v>2615</v>
      </c>
    </row>
    <row r="1533" spans="1:11" ht="165" hidden="1" x14ac:dyDescent="0.25">
      <c r="A1533" s="2" t="s">
        <v>109</v>
      </c>
      <c r="B1533" s="3">
        <v>94122</v>
      </c>
      <c r="C1533" s="4" t="s">
        <v>1705</v>
      </c>
      <c r="D1533" s="62" t="s">
        <v>1869</v>
      </c>
      <c r="E1533" s="55" t="s">
        <v>2097</v>
      </c>
      <c r="F1533" s="55" t="s">
        <v>111</v>
      </c>
      <c r="G1533" s="55">
        <v>0</v>
      </c>
      <c r="H1533" s="55" t="s">
        <v>2312</v>
      </c>
      <c r="I1533" s="55" t="s">
        <v>2490</v>
      </c>
      <c r="J1533" s="55" t="s">
        <v>2560</v>
      </c>
      <c r="K1533" s="55" t="s">
        <v>2616</v>
      </c>
    </row>
    <row r="1534" spans="1:11" ht="165" hidden="1" x14ac:dyDescent="0.25">
      <c r="A1534" s="2" t="s">
        <v>109</v>
      </c>
      <c r="B1534" s="3">
        <v>94200</v>
      </c>
      <c r="C1534" s="4" t="s">
        <v>1706</v>
      </c>
      <c r="D1534" s="62" t="s">
        <v>1870</v>
      </c>
      <c r="E1534" s="55" t="s">
        <v>2098</v>
      </c>
      <c r="F1534" s="55" t="s">
        <v>111</v>
      </c>
      <c r="G1534" s="55">
        <v>0</v>
      </c>
      <c r="H1534" s="55" t="s">
        <v>2313</v>
      </c>
      <c r="I1534" s="55" t="s">
        <v>2491</v>
      </c>
      <c r="J1534" s="55" t="s">
        <v>2560</v>
      </c>
      <c r="K1534" s="55" t="s">
        <v>2617</v>
      </c>
    </row>
    <row r="1535" spans="1:11" ht="90" hidden="1" x14ac:dyDescent="0.25">
      <c r="A1535" s="2" t="s">
        <v>109</v>
      </c>
      <c r="B1535" s="3">
        <v>94910</v>
      </c>
      <c r="C1535" s="4" t="s">
        <v>1707</v>
      </c>
      <c r="D1535" s="62" t="s">
        <v>1871</v>
      </c>
      <c r="E1535" s="55" t="s">
        <v>2099</v>
      </c>
      <c r="F1535" s="55" t="s">
        <v>111</v>
      </c>
      <c r="G1535" s="55">
        <v>0</v>
      </c>
      <c r="H1535" s="55" t="s">
        <v>2314</v>
      </c>
      <c r="I1535" s="55" t="s">
        <v>2492</v>
      </c>
      <c r="J1535" s="55" t="s">
        <v>2560</v>
      </c>
      <c r="K1535" s="55" t="s">
        <v>2618</v>
      </c>
    </row>
    <row r="1536" spans="1:11" ht="75" hidden="1" x14ac:dyDescent="0.25">
      <c r="A1536" s="2" t="s">
        <v>109</v>
      </c>
      <c r="B1536" s="3">
        <v>94920</v>
      </c>
      <c r="C1536" s="4" t="s">
        <v>1708</v>
      </c>
      <c r="D1536" s="62" t="s">
        <v>1872</v>
      </c>
      <c r="E1536" s="55" t="s">
        <v>2100</v>
      </c>
      <c r="F1536" s="55" t="s">
        <v>111</v>
      </c>
      <c r="G1536" s="55">
        <v>0</v>
      </c>
      <c r="H1536" s="55" t="s">
        <v>2315</v>
      </c>
      <c r="I1536" s="55" t="s">
        <v>2493</v>
      </c>
      <c r="J1536" s="55" t="s">
        <v>2560</v>
      </c>
      <c r="K1536" s="55" t="s">
        <v>2619</v>
      </c>
    </row>
    <row r="1537" spans="1:11" ht="120" hidden="1" x14ac:dyDescent="0.25">
      <c r="A1537" s="2" t="s">
        <v>109</v>
      </c>
      <c r="B1537" s="3">
        <v>94990</v>
      </c>
      <c r="C1537" s="4" t="s">
        <v>1709</v>
      </c>
      <c r="D1537" s="62" t="s">
        <v>1997</v>
      </c>
      <c r="E1537" s="55" t="s">
        <v>2101</v>
      </c>
      <c r="F1537" s="55" t="s">
        <v>116</v>
      </c>
      <c r="G1537" s="55">
        <v>0</v>
      </c>
      <c r="H1537" s="55" t="s">
        <v>2316</v>
      </c>
      <c r="I1537" s="55" t="s">
        <v>2494</v>
      </c>
      <c r="J1537" s="55" t="s">
        <v>2560</v>
      </c>
      <c r="K1537" s="55" t="s">
        <v>2620</v>
      </c>
    </row>
    <row r="1538" spans="1:11" ht="105" hidden="1" x14ac:dyDescent="0.25">
      <c r="A1538" s="2" t="s">
        <v>109</v>
      </c>
      <c r="B1538" s="3">
        <v>95101</v>
      </c>
      <c r="C1538" s="4" t="s">
        <v>1710</v>
      </c>
      <c r="D1538" s="62" t="s">
        <v>1998</v>
      </c>
      <c r="E1538" s="55" t="s">
        <v>2102</v>
      </c>
      <c r="F1538" s="55" t="s">
        <v>116</v>
      </c>
      <c r="G1538" s="55" t="s">
        <v>2092</v>
      </c>
      <c r="H1538" s="55" t="s">
        <v>2317</v>
      </c>
      <c r="I1538" s="55" t="s">
        <v>2495</v>
      </c>
      <c r="J1538" s="55" t="s">
        <v>2560</v>
      </c>
      <c r="K1538" s="55" t="s">
        <v>2621</v>
      </c>
    </row>
    <row r="1539" spans="1:11" ht="120" hidden="1" x14ac:dyDescent="0.25">
      <c r="A1539" s="2" t="s">
        <v>109</v>
      </c>
      <c r="B1539" s="3">
        <v>95102</v>
      </c>
      <c r="C1539" s="4" t="s">
        <v>1711</v>
      </c>
      <c r="D1539" s="62" t="s">
        <v>1999</v>
      </c>
      <c r="E1539" s="55" t="s">
        <v>2375</v>
      </c>
      <c r="F1539" s="55" t="s">
        <v>116</v>
      </c>
      <c r="G1539" s="55">
        <v>0</v>
      </c>
      <c r="H1539" s="55" t="s">
        <v>2318</v>
      </c>
      <c r="I1539" s="55" t="s">
        <v>2375</v>
      </c>
      <c r="J1539" s="55" t="s">
        <v>2560</v>
      </c>
      <c r="K1539" s="55" t="s">
        <v>2375</v>
      </c>
    </row>
    <row r="1540" spans="1:11" ht="60" hidden="1" x14ac:dyDescent="0.25">
      <c r="A1540" s="2" t="s">
        <v>109</v>
      </c>
      <c r="B1540" s="3">
        <v>95210</v>
      </c>
      <c r="C1540" s="4" t="s">
        <v>1712</v>
      </c>
      <c r="D1540" s="62" t="s">
        <v>2000</v>
      </c>
      <c r="E1540" s="55" t="s">
        <v>2424</v>
      </c>
      <c r="F1540" s="55" t="s">
        <v>116</v>
      </c>
      <c r="G1540" s="55">
        <v>0</v>
      </c>
      <c r="H1540" s="55" t="s">
        <v>2319</v>
      </c>
      <c r="I1540" s="55" t="s">
        <v>2496</v>
      </c>
      <c r="J1540" s="55" t="s">
        <v>2560</v>
      </c>
      <c r="K1540" s="55" t="s">
        <v>2654</v>
      </c>
    </row>
    <row r="1541" spans="1:11" ht="90" hidden="1" x14ac:dyDescent="0.25">
      <c r="A1541" s="2" t="s">
        <v>109</v>
      </c>
      <c r="B1541" s="3">
        <v>95220</v>
      </c>
      <c r="C1541" s="4" t="s">
        <v>2672</v>
      </c>
      <c r="D1541" s="62" t="s">
        <v>2001</v>
      </c>
      <c r="E1541" s="55" t="s">
        <v>2103</v>
      </c>
      <c r="F1541" s="55" t="s">
        <v>116</v>
      </c>
      <c r="G1541" s="55">
        <v>0</v>
      </c>
      <c r="H1541" s="55" t="s">
        <v>2375</v>
      </c>
      <c r="I1541" s="55" t="s">
        <v>2375</v>
      </c>
      <c r="J1541" s="55" t="s">
        <v>2560</v>
      </c>
      <c r="K1541" s="55" t="s">
        <v>2622</v>
      </c>
    </row>
    <row r="1542" spans="1:11" ht="75" hidden="1" x14ac:dyDescent="0.25">
      <c r="A1542" s="2" t="s">
        <v>109</v>
      </c>
      <c r="B1542" s="3">
        <v>95230</v>
      </c>
      <c r="C1542" s="4" t="s">
        <v>1714</v>
      </c>
      <c r="D1542" s="62" t="s">
        <v>2002</v>
      </c>
      <c r="E1542" s="55" t="s">
        <v>2104</v>
      </c>
      <c r="F1542" s="55" t="s">
        <v>116</v>
      </c>
      <c r="G1542" s="55">
        <v>0</v>
      </c>
      <c r="H1542" s="55" t="s">
        <v>2375</v>
      </c>
      <c r="I1542" s="55" t="s">
        <v>2375</v>
      </c>
      <c r="J1542" s="55" t="s">
        <v>2560</v>
      </c>
      <c r="K1542" s="55" t="s">
        <v>2623</v>
      </c>
    </row>
    <row r="1543" spans="1:11" ht="75" hidden="1" x14ac:dyDescent="0.25">
      <c r="A1543" s="2" t="s">
        <v>109</v>
      </c>
      <c r="B1543" s="3">
        <v>95240</v>
      </c>
      <c r="C1543" s="4" t="s">
        <v>1715</v>
      </c>
      <c r="D1543" s="62" t="s">
        <v>2003</v>
      </c>
      <c r="E1543" s="55" t="s">
        <v>2105</v>
      </c>
      <c r="F1543" s="55" t="s">
        <v>116</v>
      </c>
      <c r="G1543" s="55">
        <v>0</v>
      </c>
      <c r="H1543" s="55" t="s">
        <v>2375</v>
      </c>
      <c r="I1543" s="55" t="s">
        <v>2497</v>
      </c>
      <c r="J1543" s="55" t="s">
        <v>2560</v>
      </c>
      <c r="K1543" s="55" t="s">
        <v>2624</v>
      </c>
    </row>
    <row r="1544" spans="1:11" ht="45" hidden="1" x14ac:dyDescent="0.25">
      <c r="A1544" s="2" t="s">
        <v>109</v>
      </c>
      <c r="B1544" s="3">
        <v>95291</v>
      </c>
      <c r="C1544" s="4" t="s">
        <v>1716</v>
      </c>
      <c r="D1544" s="62" t="s">
        <v>2004</v>
      </c>
      <c r="E1544" s="55" t="s">
        <v>2106</v>
      </c>
      <c r="F1544" s="55" t="s">
        <v>116</v>
      </c>
      <c r="G1544" s="55">
        <v>0</v>
      </c>
      <c r="H1544" s="55" t="s">
        <v>2320</v>
      </c>
      <c r="I1544" s="55" t="s">
        <v>2498</v>
      </c>
      <c r="J1544" s="55" t="s">
        <v>2560</v>
      </c>
      <c r="K1544" s="55" t="s">
        <v>2625</v>
      </c>
    </row>
    <row r="1545" spans="1:11" ht="105" hidden="1" x14ac:dyDescent="0.25">
      <c r="A1545" s="2" t="s">
        <v>109</v>
      </c>
      <c r="B1545" s="3">
        <v>95299</v>
      </c>
      <c r="C1545" s="4" t="s">
        <v>2673</v>
      </c>
      <c r="D1545" s="62" t="e">
        <v>#N/A</v>
      </c>
      <c r="E1545" s="55" t="s">
        <v>2107</v>
      </c>
      <c r="F1545" s="55" t="e">
        <v>#N/A</v>
      </c>
      <c r="G1545" s="55" t="e">
        <v>#N/A</v>
      </c>
      <c r="H1545" s="55" t="s">
        <v>2321</v>
      </c>
      <c r="I1545" s="55" t="s">
        <v>2499</v>
      </c>
      <c r="J1545" s="55" t="s">
        <v>2560</v>
      </c>
      <c r="K1545" s="55" t="s">
        <v>2626</v>
      </c>
    </row>
    <row r="1546" spans="1:11" ht="60" hidden="1" x14ac:dyDescent="0.25">
      <c r="A1546" s="2" t="s">
        <v>109</v>
      </c>
      <c r="B1546" s="3">
        <v>95311</v>
      </c>
      <c r="C1546" s="4" t="s">
        <v>1718</v>
      </c>
      <c r="D1546" s="62" t="s">
        <v>2005</v>
      </c>
      <c r="E1546" s="55" t="s">
        <v>2108</v>
      </c>
      <c r="F1546" s="55" t="s">
        <v>116</v>
      </c>
      <c r="G1546" s="55">
        <v>0</v>
      </c>
      <c r="H1546" s="55" t="s">
        <v>2322</v>
      </c>
      <c r="I1546" s="55" t="s">
        <v>2500</v>
      </c>
      <c r="J1546" s="55" t="s">
        <v>2560</v>
      </c>
      <c r="K1546" s="55" t="s">
        <v>2627</v>
      </c>
    </row>
    <row r="1547" spans="1:11" ht="45" hidden="1" x14ac:dyDescent="0.25">
      <c r="A1547" s="2" t="s">
        <v>109</v>
      </c>
      <c r="B1547" s="3">
        <v>95312</v>
      </c>
      <c r="C1547" s="4" t="s">
        <v>1719</v>
      </c>
      <c r="D1547" s="62" t="s">
        <v>2006</v>
      </c>
      <c r="E1547" s="55" t="s">
        <v>2109</v>
      </c>
      <c r="F1547" s="55" t="s">
        <v>116</v>
      </c>
      <c r="G1547" s="55">
        <v>0</v>
      </c>
      <c r="H1547" s="55" t="s">
        <v>2323</v>
      </c>
      <c r="I1547" s="55" t="s">
        <v>2501</v>
      </c>
      <c r="J1547" s="55" t="s">
        <v>2560</v>
      </c>
      <c r="K1547" s="55" t="s">
        <v>2628</v>
      </c>
    </row>
    <row r="1548" spans="1:11" ht="75" hidden="1" x14ac:dyDescent="0.25">
      <c r="A1548" s="2" t="s">
        <v>109</v>
      </c>
      <c r="B1548" s="3">
        <v>95320</v>
      </c>
      <c r="C1548" s="4" t="s">
        <v>1720</v>
      </c>
      <c r="D1548" s="62" t="s">
        <v>2007</v>
      </c>
      <c r="E1548" s="55" t="s">
        <v>2110</v>
      </c>
      <c r="F1548" s="55" t="s">
        <v>116</v>
      </c>
      <c r="G1548" s="55">
        <v>0</v>
      </c>
      <c r="H1548" s="55" t="s">
        <v>2324</v>
      </c>
      <c r="I1548" s="55" t="s">
        <v>2502</v>
      </c>
      <c r="J1548" s="55" t="s">
        <v>2560</v>
      </c>
      <c r="K1548" s="55" t="s">
        <v>2629</v>
      </c>
    </row>
    <row r="1549" spans="1:11" ht="60" hidden="1" x14ac:dyDescent="0.25">
      <c r="A1549" s="2" t="s">
        <v>109</v>
      </c>
      <c r="B1549" s="3">
        <v>95400</v>
      </c>
      <c r="C1549" s="4" t="s">
        <v>1721</v>
      </c>
      <c r="D1549" s="62" t="e">
        <v>#N/A</v>
      </c>
      <c r="E1549" s="55" t="s">
        <v>2111</v>
      </c>
      <c r="F1549" s="55" t="e">
        <v>#N/A</v>
      </c>
      <c r="G1549" s="55" t="s">
        <v>2090</v>
      </c>
      <c r="H1549" s="55" t="s">
        <v>2325</v>
      </c>
      <c r="I1549" s="55" t="s">
        <v>2503</v>
      </c>
      <c r="J1549" s="55" t="s">
        <v>2560</v>
      </c>
      <c r="K1549" s="55" t="s">
        <v>2630</v>
      </c>
    </row>
    <row r="1550" spans="1:11" ht="90" hidden="1" x14ac:dyDescent="0.25">
      <c r="A1550" s="2" t="s">
        <v>109</v>
      </c>
      <c r="B1550" s="3">
        <v>96100</v>
      </c>
      <c r="C1550" s="4" t="s">
        <v>1722</v>
      </c>
      <c r="D1550" s="62" t="s">
        <v>2008</v>
      </c>
      <c r="E1550" s="55" t="s">
        <v>2112</v>
      </c>
      <c r="F1550" s="55" t="s">
        <v>116</v>
      </c>
      <c r="G1550" s="55">
        <v>0</v>
      </c>
      <c r="H1550" s="55" t="s">
        <v>2326</v>
      </c>
      <c r="I1550" s="55" t="s">
        <v>2504</v>
      </c>
      <c r="J1550" s="55" t="s">
        <v>2560</v>
      </c>
      <c r="K1550" s="55" t="s">
        <v>2631</v>
      </c>
    </row>
    <row r="1551" spans="1:11" ht="90" hidden="1" x14ac:dyDescent="0.25">
      <c r="A1551" s="2" t="s">
        <v>109</v>
      </c>
      <c r="B1551" s="3">
        <v>96210</v>
      </c>
      <c r="C1551" s="4" t="s">
        <v>1723</v>
      </c>
      <c r="D1551" s="62" t="s">
        <v>2009</v>
      </c>
      <c r="E1551" s="55" t="s">
        <v>2112</v>
      </c>
      <c r="F1551" s="55" t="s">
        <v>116</v>
      </c>
      <c r="G1551" s="55">
        <v>0</v>
      </c>
      <c r="H1551" s="55" t="s">
        <v>2327</v>
      </c>
      <c r="I1551" s="55" t="s">
        <v>2505</v>
      </c>
      <c r="J1551" s="55" t="s">
        <v>2560</v>
      </c>
      <c r="K1551" s="55" t="s">
        <v>2631</v>
      </c>
    </row>
    <row r="1552" spans="1:11" ht="90" hidden="1" x14ac:dyDescent="0.25">
      <c r="A1552" s="2" t="s">
        <v>109</v>
      </c>
      <c r="B1552" s="3">
        <v>96220</v>
      </c>
      <c r="C1552" s="4" t="s">
        <v>1724</v>
      </c>
      <c r="D1552" s="62" t="s">
        <v>2010</v>
      </c>
      <c r="E1552" s="55" t="s">
        <v>2113</v>
      </c>
      <c r="F1552" s="55" t="s">
        <v>116</v>
      </c>
      <c r="G1552" s="55">
        <v>0</v>
      </c>
      <c r="H1552" s="55" t="s">
        <v>2328</v>
      </c>
      <c r="I1552" s="55" t="s">
        <v>2506</v>
      </c>
      <c r="J1552" s="55" t="s">
        <v>2560</v>
      </c>
      <c r="K1552" s="55" t="s">
        <v>2632</v>
      </c>
    </row>
    <row r="1553" spans="1:11" ht="60" hidden="1" x14ac:dyDescent="0.25">
      <c r="A1553" s="2" t="s">
        <v>109</v>
      </c>
      <c r="B1553" s="3">
        <v>96230</v>
      </c>
      <c r="C1553" s="4" t="s">
        <v>1725</v>
      </c>
      <c r="D1553" s="62" t="s">
        <v>2011</v>
      </c>
      <c r="E1553" s="55" t="s">
        <v>2114</v>
      </c>
      <c r="F1553" s="55" t="s">
        <v>116</v>
      </c>
      <c r="G1553" s="55">
        <v>0</v>
      </c>
      <c r="H1553" s="55" t="s">
        <v>2329</v>
      </c>
      <c r="I1553" s="55" t="s">
        <v>2507</v>
      </c>
      <c r="J1553" s="55" t="s">
        <v>2560</v>
      </c>
      <c r="K1553" s="55" t="s">
        <v>2633</v>
      </c>
    </row>
    <row r="1554" spans="1:11" ht="90" hidden="1" x14ac:dyDescent="0.25">
      <c r="A1554" s="2" t="s">
        <v>109</v>
      </c>
      <c r="B1554" s="3">
        <v>96300</v>
      </c>
      <c r="C1554" s="4" t="s">
        <v>1726</v>
      </c>
      <c r="D1554" s="62" t="s">
        <v>1873</v>
      </c>
      <c r="E1554" s="55" t="s">
        <v>2115</v>
      </c>
      <c r="F1554" s="55" t="s">
        <v>111</v>
      </c>
      <c r="G1554" s="55">
        <v>0</v>
      </c>
      <c r="H1554" s="55" t="s">
        <v>2330</v>
      </c>
      <c r="I1554" s="55" t="s">
        <v>2508</v>
      </c>
      <c r="J1554" s="55" t="s">
        <v>2560</v>
      </c>
      <c r="K1554" s="55" t="s">
        <v>2634</v>
      </c>
    </row>
    <row r="1555" spans="1:11" ht="45" hidden="1" x14ac:dyDescent="0.25">
      <c r="A1555" s="2" t="s">
        <v>109</v>
      </c>
      <c r="B1555" s="3">
        <v>96400</v>
      </c>
      <c r="C1555" s="4" t="s">
        <v>1727</v>
      </c>
      <c r="D1555" s="62" t="e">
        <v>#N/A</v>
      </c>
      <c r="E1555" s="55" t="s">
        <v>2116</v>
      </c>
      <c r="F1555" s="55" t="e">
        <v>#N/A</v>
      </c>
      <c r="G1555" s="55" t="s">
        <v>2090</v>
      </c>
      <c r="H1555" s="55" t="s">
        <v>2331</v>
      </c>
      <c r="I1555" s="55" t="s">
        <v>2509</v>
      </c>
      <c r="J1555" s="55" t="s">
        <v>2560</v>
      </c>
      <c r="K1555" s="55" t="s">
        <v>2635</v>
      </c>
    </row>
    <row r="1556" spans="1:11" ht="180" hidden="1" x14ac:dyDescent="0.25">
      <c r="A1556" s="2" t="s">
        <v>109</v>
      </c>
      <c r="B1556" s="3">
        <v>96900</v>
      </c>
      <c r="C1556" s="4" t="s">
        <v>110</v>
      </c>
      <c r="D1556" s="62" t="s">
        <v>2012</v>
      </c>
      <c r="E1556" s="55" t="s">
        <v>2117</v>
      </c>
      <c r="F1556" s="55" t="s">
        <v>116</v>
      </c>
      <c r="G1556" s="55">
        <v>0</v>
      </c>
      <c r="H1556" s="55" t="s">
        <v>2332</v>
      </c>
      <c r="I1556" s="55" t="s">
        <v>2510</v>
      </c>
      <c r="J1556" s="55" t="s">
        <v>2560</v>
      </c>
      <c r="K1556" s="55" t="s">
        <v>2636</v>
      </c>
    </row>
    <row r="1557" spans="1:11" ht="60" hidden="1" x14ac:dyDescent="0.25">
      <c r="A1557" s="2" t="s">
        <v>1728</v>
      </c>
      <c r="B1557" s="3">
        <v>97000</v>
      </c>
      <c r="C1557" s="4" t="s">
        <v>1729</v>
      </c>
      <c r="D1557" s="62" t="e">
        <v>#N/A</v>
      </c>
      <c r="E1557" s="55" t="s">
        <v>2411</v>
      </c>
      <c r="F1557" s="55" t="e">
        <v>#N/A</v>
      </c>
      <c r="G1557" s="55" t="e">
        <v>#N/A</v>
      </c>
      <c r="H1557" s="55" t="s">
        <v>2281</v>
      </c>
      <c r="I1557" s="55" t="s">
        <v>2463</v>
      </c>
      <c r="J1557" s="55" t="s">
        <v>2556</v>
      </c>
      <c r="K1557" s="55" t="s">
        <v>2592</v>
      </c>
    </row>
    <row r="1558" spans="1:11" ht="45" hidden="1" x14ac:dyDescent="0.25">
      <c r="A1558" s="2" t="s">
        <v>1728</v>
      </c>
      <c r="B1558" s="3">
        <v>98100</v>
      </c>
      <c r="C1558" s="4" t="s">
        <v>1730</v>
      </c>
      <c r="D1558" s="62" t="e">
        <v>#N/A</v>
      </c>
      <c r="E1558" s="55" t="s">
        <v>2412</v>
      </c>
      <c r="F1558" s="55" t="e">
        <v>#N/A</v>
      </c>
      <c r="G1558" s="55" t="e">
        <v>#N/A</v>
      </c>
      <c r="H1558" s="55" t="s">
        <v>2282</v>
      </c>
      <c r="I1558" s="55" t="s">
        <v>2464</v>
      </c>
      <c r="J1558" s="55" t="s">
        <v>2557</v>
      </c>
      <c r="K1558" s="55" t="s">
        <v>2593</v>
      </c>
    </row>
    <row r="1559" spans="1:11" ht="60" hidden="1" x14ac:dyDescent="0.25">
      <c r="A1559" s="2" t="s">
        <v>1728</v>
      </c>
      <c r="B1559" s="3">
        <v>98200</v>
      </c>
      <c r="C1559" s="4" t="s">
        <v>1731</v>
      </c>
      <c r="D1559" s="62" t="e">
        <v>#N/A</v>
      </c>
      <c r="E1559" s="55" t="s">
        <v>2413</v>
      </c>
      <c r="F1559" s="55" t="e">
        <v>#N/A</v>
      </c>
      <c r="G1559" s="55" t="e">
        <v>#N/A</v>
      </c>
      <c r="H1559" s="55" t="s">
        <v>2283</v>
      </c>
      <c r="I1559" s="55" t="s">
        <v>2465</v>
      </c>
      <c r="J1559" s="55" t="s">
        <v>2558</v>
      </c>
      <c r="K1559" s="55" t="s">
        <v>2594</v>
      </c>
    </row>
    <row r="1560" spans="1:11" ht="210" hidden="1" x14ac:dyDescent="0.25">
      <c r="A1560" s="2" t="s">
        <v>1732</v>
      </c>
      <c r="B1560" s="3">
        <v>99000</v>
      </c>
      <c r="C1560" s="4" t="s">
        <v>1733</v>
      </c>
      <c r="D1560" s="62" t="s">
        <v>1874</v>
      </c>
      <c r="E1560" s="55" t="s">
        <v>2674</v>
      </c>
      <c r="F1560" s="55" t="s">
        <v>111</v>
      </c>
      <c r="G1560" s="55">
        <v>0</v>
      </c>
      <c r="H1560" s="55" t="s">
        <v>2284</v>
      </c>
      <c r="I1560" s="55" t="s">
        <v>2466</v>
      </c>
      <c r="J1560" s="55" t="s">
        <v>2559</v>
      </c>
      <c r="K1560" s="55" t="s">
        <v>2595</v>
      </c>
    </row>
  </sheetData>
  <autoFilter ref="A1:F1560">
    <filterColumn colId="5">
      <filters>
        <filter val="Potensial"/>
      </filters>
    </filterColumn>
  </autoFilter>
  <hyperlinks>
    <hyperlink ref="D14" r:id="rId1" display="Riau Pos, Tribun Pekanbaru, Goriau.co, Cakaplah.com"/>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60"/>
  <sheetViews>
    <sheetView workbookViewId="0">
      <pane xSplit="3" ySplit="1" topLeftCell="D1547" activePane="bottomRight" state="frozen"/>
      <selection pane="topRight" activeCell="D1" sqref="D1"/>
      <selection pane="bottomLeft" activeCell="A2" sqref="A2"/>
      <selection pane="bottomRight" activeCell="J12" sqref="J12"/>
    </sheetView>
  </sheetViews>
  <sheetFormatPr defaultRowHeight="15" x14ac:dyDescent="0.25"/>
  <cols>
    <col min="2" max="2" width="50.5703125" style="19" customWidth="1"/>
  </cols>
  <sheetData>
    <row r="1" spans="1:5" ht="39.75" thickBot="1" x14ac:dyDescent="0.3">
      <c r="A1" s="55" t="s">
        <v>2</v>
      </c>
      <c r="B1" s="62" t="s">
        <v>3</v>
      </c>
      <c r="C1" s="55" t="s">
        <v>1</v>
      </c>
      <c r="D1" s="87" t="s">
        <v>2656</v>
      </c>
      <c r="E1" s="87" t="s">
        <v>2657</v>
      </c>
    </row>
    <row r="2" spans="1:5" ht="15.75" thickBot="1" x14ac:dyDescent="0.3">
      <c r="A2" s="15" t="s">
        <v>119</v>
      </c>
      <c r="B2" s="14" t="s">
        <v>120</v>
      </c>
      <c r="C2" s="14" t="s">
        <v>118</v>
      </c>
      <c r="D2" s="58"/>
      <c r="E2" s="58"/>
    </row>
    <row r="3" spans="1:5" ht="15.75" thickBot="1" x14ac:dyDescent="0.3">
      <c r="A3" s="15" t="s">
        <v>121</v>
      </c>
      <c r="B3" s="14" t="s">
        <v>122</v>
      </c>
      <c r="C3" s="14" t="s">
        <v>118</v>
      </c>
      <c r="D3" s="58"/>
      <c r="E3" s="58"/>
    </row>
    <row r="4" spans="1:5" ht="15.75" thickBot="1" x14ac:dyDescent="0.3">
      <c r="A4" s="15" t="s">
        <v>123</v>
      </c>
      <c r="B4" s="14" t="s">
        <v>124</v>
      </c>
      <c r="C4" s="14" t="s">
        <v>118</v>
      </c>
      <c r="D4" s="58"/>
      <c r="E4" s="58"/>
    </row>
    <row r="5" spans="1:5" ht="15.75" thickBot="1" x14ac:dyDescent="0.3">
      <c r="A5" s="15" t="s">
        <v>125</v>
      </c>
      <c r="B5" s="14" t="s">
        <v>126</v>
      </c>
      <c r="C5" s="14" t="s">
        <v>118</v>
      </c>
      <c r="D5" s="58"/>
      <c r="E5" s="58"/>
    </row>
    <row r="6" spans="1:5" ht="15.75" thickBot="1" x14ac:dyDescent="0.3">
      <c r="A6" s="15" t="s">
        <v>127</v>
      </c>
      <c r="B6" s="14" t="s">
        <v>128</v>
      </c>
      <c r="C6" s="14" t="s">
        <v>118</v>
      </c>
      <c r="D6" s="58"/>
      <c r="E6" s="58"/>
    </row>
    <row r="7" spans="1:5" ht="30.75" thickBot="1" x14ac:dyDescent="0.3">
      <c r="A7" s="15" t="s">
        <v>129</v>
      </c>
      <c r="B7" s="14" t="s">
        <v>130</v>
      </c>
      <c r="C7" s="14" t="s">
        <v>118</v>
      </c>
      <c r="D7" s="58"/>
      <c r="E7" s="58"/>
    </row>
    <row r="8" spans="1:5" ht="15.75" thickBot="1" x14ac:dyDescent="0.3">
      <c r="A8" s="15" t="s">
        <v>131</v>
      </c>
      <c r="B8" s="14" t="s">
        <v>132</v>
      </c>
      <c r="C8" s="14" t="s">
        <v>118</v>
      </c>
      <c r="D8" s="58"/>
      <c r="E8" s="58"/>
    </row>
    <row r="9" spans="1:5" ht="30.75" thickBot="1" x14ac:dyDescent="0.3">
      <c r="A9" s="15" t="s">
        <v>133</v>
      </c>
      <c r="B9" s="14" t="s">
        <v>134</v>
      </c>
      <c r="C9" s="14" t="s">
        <v>118</v>
      </c>
      <c r="D9" s="58"/>
      <c r="E9" s="58"/>
    </row>
    <row r="10" spans="1:5" ht="15.75" thickBot="1" x14ac:dyDescent="0.3">
      <c r="A10" s="15" t="s">
        <v>135</v>
      </c>
      <c r="B10" s="14" t="s">
        <v>136</v>
      </c>
      <c r="C10" s="14" t="s">
        <v>118</v>
      </c>
      <c r="D10" s="58"/>
      <c r="E10" s="58"/>
    </row>
    <row r="11" spans="1:5" ht="15.75" thickBot="1" x14ac:dyDescent="0.3">
      <c r="A11" s="15" t="s">
        <v>137</v>
      </c>
      <c r="B11" s="14" t="s">
        <v>138</v>
      </c>
      <c r="C11" s="14" t="s">
        <v>118</v>
      </c>
      <c r="D11" s="58"/>
      <c r="E11" s="58"/>
    </row>
    <row r="12" spans="1:5" ht="15.75" thickBot="1" x14ac:dyDescent="0.3">
      <c r="A12" s="15" t="s">
        <v>139</v>
      </c>
      <c r="B12" s="14" t="s">
        <v>140</v>
      </c>
      <c r="C12" s="14" t="s">
        <v>118</v>
      </c>
      <c r="D12" s="58"/>
      <c r="E12" s="58"/>
    </row>
    <row r="13" spans="1:5" ht="15.75" thickBot="1" x14ac:dyDescent="0.3">
      <c r="A13" s="15" t="s">
        <v>141</v>
      </c>
      <c r="B13" s="14" t="s">
        <v>142</v>
      </c>
      <c r="C13" s="14" t="s">
        <v>118</v>
      </c>
      <c r="D13" s="58"/>
      <c r="E13" s="58"/>
    </row>
    <row r="14" spans="1:5" ht="15.75" thickBot="1" x14ac:dyDescent="0.3">
      <c r="A14" s="15" t="s">
        <v>143</v>
      </c>
      <c r="B14" s="14" t="s">
        <v>144</v>
      </c>
      <c r="C14" s="14" t="s">
        <v>118</v>
      </c>
      <c r="D14" s="58"/>
      <c r="E14" s="58"/>
    </row>
    <row r="15" spans="1:5" ht="15.75" thickBot="1" x14ac:dyDescent="0.3">
      <c r="A15" s="15" t="s">
        <v>145</v>
      </c>
      <c r="B15" s="14" t="s">
        <v>146</v>
      </c>
      <c r="C15" s="14" t="s">
        <v>118</v>
      </c>
      <c r="D15" s="58"/>
      <c r="E15" s="58"/>
    </row>
    <row r="16" spans="1:5" ht="15.75" thickBot="1" x14ac:dyDescent="0.3">
      <c r="A16" s="15" t="s">
        <v>147</v>
      </c>
      <c r="B16" s="14" t="s">
        <v>148</v>
      </c>
      <c r="C16" s="14" t="s">
        <v>118</v>
      </c>
      <c r="D16" s="58"/>
      <c r="E16" s="58"/>
    </row>
    <row r="17" spans="1:5" ht="15.75" thickBot="1" x14ac:dyDescent="0.3">
      <c r="A17" s="15" t="s">
        <v>149</v>
      </c>
      <c r="B17" s="14" t="s">
        <v>150</v>
      </c>
      <c r="C17" s="14" t="s">
        <v>118</v>
      </c>
      <c r="D17" s="58"/>
      <c r="E17" s="58"/>
    </row>
    <row r="18" spans="1:5" ht="30.75" thickBot="1" x14ac:dyDescent="0.3">
      <c r="A18" s="15" t="s">
        <v>151</v>
      </c>
      <c r="B18" s="14" t="s">
        <v>152</v>
      </c>
      <c r="C18" s="14" t="s">
        <v>118</v>
      </c>
      <c r="D18" s="58"/>
      <c r="E18" s="58"/>
    </row>
    <row r="19" spans="1:5" ht="15.75" thickBot="1" x14ac:dyDescent="0.3">
      <c r="A19" s="15" t="s">
        <v>153</v>
      </c>
      <c r="B19" s="14" t="s">
        <v>154</v>
      </c>
      <c r="C19" s="14" t="s">
        <v>118</v>
      </c>
      <c r="D19" s="58"/>
      <c r="E19" s="58"/>
    </row>
    <row r="20" spans="1:5" ht="15.75" thickBot="1" x14ac:dyDescent="0.3">
      <c r="A20" s="15" t="s">
        <v>155</v>
      </c>
      <c r="B20" s="14" t="s">
        <v>156</v>
      </c>
      <c r="C20" s="14" t="s">
        <v>118</v>
      </c>
      <c r="D20" s="58"/>
      <c r="E20" s="58"/>
    </row>
    <row r="21" spans="1:5" ht="15.75" thickBot="1" x14ac:dyDescent="0.3">
      <c r="A21" s="15" t="s">
        <v>157</v>
      </c>
      <c r="B21" s="14" t="s">
        <v>158</v>
      </c>
      <c r="C21" s="14" t="s">
        <v>118</v>
      </c>
      <c r="D21" s="58"/>
      <c r="E21" s="58"/>
    </row>
    <row r="22" spans="1:5" ht="15.75" thickBot="1" x14ac:dyDescent="0.3">
      <c r="A22" s="15" t="s">
        <v>159</v>
      </c>
      <c r="B22" s="14" t="s">
        <v>160</v>
      </c>
      <c r="C22" s="14" t="s">
        <v>118</v>
      </c>
      <c r="D22" s="58"/>
      <c r="E22" s="58"/>
    </row>
    <row r="23" spans="1:5" ht="15.75" thickBot="1" x14ac:dyDescent="0.3">
      <c r="A23" s="15" t="s">
        <v>161</v>
      </c>
      <c r="B23" s="14" t="s">
        <v>162</v>
      </c>
      <c r="C23" s="14" t="s">
        <v>118</v>
      </c>
      <c r="D23" s="58"/>
      <c r="E23" s="58"/>
    </row>
    <row r="24" spans="1:5" ht="15.75" thickBot="1" x14ac:dyDescent="0.3">
      <c r="A24" s="15" t="s">
        <v>163</v>
      </c>
      <c r="B24" s="14" t="s">
        <v>164</v>
      </c>
      <c r="C24" s="14" t="s">
        <v>118</v>
      </c>
      <c r="D24" s="58"/>
      <c r="E24" s="58"/>
    </row>
    <row r="25" spans="1:5" ht="30.75" thickBot="1" x14ac:dyDescent="0.3">
      <c r="A25" s="15" t="s">
        <v>165</v>
      </c>
      <c r="B25" s="14" t="s">
        <v>166</v>
      </c>
      <c r="C25" s="14" t="s">
        <v>118</v>
      </c>
      <c r="D25" s="58"/>
      <c r="E25" s="58"/>
    </row>
    <row r="26" spans="1:5" ht="15.75" thickBot="1" x14ac:dyDescent="0.3">
      <c r="A26" s="15" t="s">
        <v>167</v>
      </c>
      <c r="B26" s="14" t="s">
        <v>168</v>
      </c>
      <c r="C26" s="14" t="s">
        <v>118</v>
      </c>
      <c r="D26" s="58"/>
      <c r="E26" s="58"/>
    </row>
    <row r="27" spans="1:5" ht="15.75" thickBot="1" x14ac:dyDescent="0.3">
      <c r="A27" s="15" t="s">
        <v>169</v>
      </c>
      <c r="B27" s="14" t="s">
        <v>170</v>
      </c>
      <c r="C27" s="14" t="s">
        <v>118</v>
      </c>
      <c r="D27" s="58"/>
      <c r="E27" s="58"/>
    </row>
    <row r="28" spans="1:5" ht="15.75" thickBot="1" x14ac:dyDescent="0.3">
      <c r="A28" s="15" t="s">
        <v>171</v>
      </c>
      <c r="B28" s="14" t="s">
        <v>172</v>
      </c>
      <c r="C28" s="14" t="s">
        <v>118</v>
      </c>
      <c r="D28" s="58"/>
      <c r="E28" s="58"/>
    </row>
    <row r="29" spans="1:5" ht="15.75" thickBot="1" x14ac:dyDescent="0.3">
      <c r="A29" s="15" t="s">
        <v>173</v>
      </c>
      <c r="B29" s="14" t="s">
        <v>174</v>
      </c>
      <c r="C29" s="14" t="s">
        <v>118</v>
      </c>
      <c r="D29" s="58"/>
      <c r="E29" s="58"/>
    </row>
    <row r="30" spans="1:5" ht="15.75" thickBot="1" x14ac:dyDescent="0.3">
      <c r="A30" s="15" t="s">
        <v>175</v>
      </c>
      <c r="B30" s="14" t="s">
        <v>176</v>
      </c>
      <c r="C30" s="14" t="s">
        <v>118</v>
      </c>
      <c r="D30" s="58"/>
      <c r="E30" s="58"/>
    </row>
    <row r="31" spans="1:5" ht="15.75" thickBot="1" x14ac:dyDescent="0.3">
      <c r="A31" s="15" t="s">
        <v>177</v>
      </c>
      <c r="B31" s="14" t="s">
        <v>178</v>
      </c>
      <c r="C31" s="14" t="s">
        <v>118</v>
      </c>
      <c r="D31" s="58"/>
      <c r="E31" s="58"/>
    </row>
    <row r="32" spans="1:5" ht="30.75" thickBot="1" x14ac:dyDescent="0.3">
      <c r="A32" s="15" t="s">
        <v>179</v>
      </c>
      <c r="B32" s="14" t="s">
        <v>180</v>
      </c>
      <c r="C32" s="14" t="s">
        <v>118</v>
      </c>
      <c r="D32" s="58"/>
      <c r="E32" s="58"/>
    </row>
    <row r="33" spans="1:5" ht="15.75" thickBot="1" x14ac:dyDescent="0.3">
      <c r="A33" s="15" t="s">
        <v>181</v>
      </c>
      <c r="B33" s="14" t="s">
        <v>182</v>
      </c>
      <c r="C33" s="14" t="s">
        <v>118</v>
      </c>
      <c r="D33" s="58"/>
      <c r="E33" s="58"/>
    </row>
    <row r="34" spans="1:5" ht="15.75" thickBot="1" x14ac:dyDescent="0.3">
      <c r="A34" s="15" t="s">
        <v>183</v>
      </c>
      <c r="B34" s="14" t="s">
        <v>184</v>
      </c>
      <c r="C34" s="14" t="s">
        <v>118</v>
      </c>
      <c r="D34" s="58"/>
      <c r="E34" s="58"/>
    </row>
    <row r="35" spans="1:5" ht="15.75" thickBot="1" x14ac:dyDescent="0.3">
      <c r="A35" s="15" t="s">
        <v>185</v>
      </c>
      <c r="B35" s="14" t="s">
        <v>186</v>
      </c>
      <c r="C35" s="14" t="s">
        <v>118</v>
      </c>
      <c r="D35" s="58"/>
      <c r="E35" s="58"/>
    </row>
    <row r="36" spans="1:5" ht="15.75" thickBot="1" x14ac:dyDescent="0.3">
      <c r="A36" s="15" t="s">
        <v>187</v>
      </c>
      <c r="B36" s="14" t="s">
        <v>188</v>
      </c>
      <c r="C36" s="14" t="s">
        <v>118</v>
      </c>
      <c r="D36" s="58"/>
      <c r="E36" s="58"/>
    </row>
    <row r="37" spans="1:5" ht="15.75" thickBot="1" x14ac:dyDescent="0.3">
      <c r="A37" s="15" t="s">
        <v>189</v>
      </c>
      <c r="B37" s="14" t="s">
        <v>190</v>
      </c>
      <c r="C37" s="14" t="s">
        <v>118</v>
      </c>
      <c r="D37" s="58"/>
      <c r="E37" s="58"/>
    </row>
    <row r="38" spans="1:5" ht="15.75" thickBot="1" x14ac:dyDescent="0.3">
      <c r="A38" s="15" t="s">
        <v>191</v>
      </c>
      <c r="B38" s="14" t="s">
        <v>192</v>
      </c>
      <c r="C38" s="14" t="s">
        <v>118</v>
      </c>
      <c r="D38" s="58"/>
      <c r="E38" s="58"/>
    </row>
    <row r="39" spans="1:5" ht="15.75" thickBot="1" x14ac:dyDescent="0.3">
      <c r="A39" s="15" t="s">
        <v>193</v>
      </c>
      <c r="B39" s="14" t="s">
        <v>194</v>
      </c>
      <c r="C39" s="14" t="s">
        <v>118</v>
      </c>
      <c r="D39" s="58"/>
      <c r="E39" s="58"/>
    </row>
    <row r="40" spans="1:5" ht="15.75" thickBot="1" x14ac:dyDescent="0.3">
      <c r="A40" s="15" t="s">
        <v>195</v>
      </c>
      <c r="B40" s="14" t="s">
        <v>196</v>
      </c>
      <c r="C40" s="14" t="s">
        <v>118</v>
      </c>
      <c r="D40" s="58"/>
      <c r="E40" s="58"/>
    </row>
    <row r="41" spans="1:5" ht="15.75" thickBot="1" x14ac:dyDescent="0.3">
      <c r="A41" s="15" t="s">
        <v>197</v>
      </c>
      <c r="B41" s="14" t="s">
        <v>198</v>
      </c>
      <c r="C41" s="14" t="s">
        <v>118</v>
      </c>
      <c r="D41" s="58"/>
      <c r="E41" s="58"/>
    </row>
    <row r="42" spans="1:5" ht="15.75" thickBot="1" x14ac:dyDescent="0.3">
      <c r="A42" s="15" t="s">
        <v>199</v>
      </c>
      <c r="B42" s="14" t="s">
        <v>200</v>
      </c>
      <c r="C42" s="14" t="s">
        <v>118</v>
      </c>
      <c r="D42" s="58"/>
      <c r="E42" s="58"/>
    </row>
    <row r="43" spans="1:5" ht="30.75" thickBot="1" x14ac:dyDescent="0.3">
      <c r="A43" s="15" t="s">
        <v>201</v>
      </c>
      <c r="B43" s="14" t="s">
        <v>202</v>
      </c>
      <c r="C43" s="14" t="s">
        <v>118</v>
      </c>
      <c r="D43" s="58"/>
      <c r="E43" s="58"/>
    </row>
    <row r="44" spans="1:5" ht="15.75" thickBot="1" x14ac:dyDescent="0.3">
      <c r="A44" s="15" t="s">
        <v>203</v>
      </c>
      <c r="B44" s="14" t="s">
        <v>204</v>
      </c>
      <c r="C44" s="14" t="s">
        <v>118</v>
      </c>
      <c r="D44" s="58"/>
      <c r="E44" s="58"/>
    </row>
    <row r="45" spans="1:5" ht="15.75" thickBot="1" x14ac:dyDescent="0.3">
      <c r="A45" s="15" t="s">
        <v>205</v>
      </c>
      <c r="B45" s="14" t="s">
        <v>206</v>
      </c>
      <c r="C45" s="14" t="s">
        <v>118</v>
      </c>
      <c r="D45" s="58"/>
      <c r="E45" s="58"/>
    </row>
    <row r="46" spans="1:5" ht="15.75" thickBot="1" x14ac:dyDescent="0.3">
      <c r="A46" s="15" t="s">
        <v>207</v>
      </c>
      <c r="B46" s="14" t="s">
        <v>208</v>
      </c>
      <c r="C46" s="14" t="s">
        <v>118</v>
      </c>
      <c r="D46" s="58"/>
      <c r="E46" s="58"/>
    </row>
    <row r="47" spans="1:5" ht="15.75" thickBot="1" x14ac:dyDescent="0.3">
      <c r="A47" s="15" t="s">
        <v>209</v>
      </c>
      <c r="B47" s="14" t="s">
        <v>210</v>
      </c>
      <c r="C47" s="14" t="s">
        <v>118</v>
      </c>
      <c r="D47" s="58"/>
      <c r="E47" s="58"/>
    </row>
    <row r="48" spans="1:5" ht="15.75" thickBot="1" x14ac:dyDescent="0.3">
      <c r="A48" s="15" t="s">
        <v>211</v>
      </c>
      <c r="B48" s="14" t="s">
        <v>212</v>
      </c>
      <c r="C48" s="14" t="s">
        <v>118</v>
      </c>
      <c r="D48" s="58"/>
      <c r="E48" s="58"/>
    </row>
    <row r="49" spans="1:5" ht="15.75" thickBot="1" x14ac:dyDescent="0.3">
      <c r="A49" s="15" t="s">
        <v>213</v>
      </c>
      <c r="B49" s="14" t="s">
        <v>214</v>
      </c>
      <c r="C49" s="14" t="s">
        <v>118</v>
      </c>
      <c r="D49" s="58"/>
      <c r="E49" s="58"/>
    </row>
    <row r="50" spans="1:5" ht="30.75" thickBot="1" x14ac:dyDescent="0.3">
      <c r="A50" s="15" t="s">
        <v>215</v>
      </c>
      <c r="B50" s="14" t="s">
        <v>216</v>
      </c>
      <c r="C50" s="14" t="s">
        <v>118</v>
      </c>
      <c r="D50" s="58"/>
      <c r="E50" s="58"/>
    </row>
    <row r="51" spans="1:5" ht="30.75" thickBot="1" x14ac:dyDescent="0.3">
      <c r="A51" s="15" t="s">
        <v>217</v>
      </c>
      <c r="B51" s="14" t="s">
        <v>218</v>
      </c>
      <c r="C51" s="14" t="s">
        <v>118</v>
      </c>
      <c r="D51" s="58"/>
      <c r="E51" s="58"/>
    </row>
    <row r="52" spans="1:5" ht="30.75" thickBot="1" x14ac:dyDescent="0.3">
      <c r="A52" s="15" t="s">
        <v>219</v>
      </c>
      <c r="B52" s="14" t="s">
        <v>220</v>
      </c>
      <c r="C52" s="14" t="s">
        <v>118</v>
      </c>
      <c r="D52" s="58"/>
      <c r="E52" s="58"/>
    </row>
    <row r="53" spans="1:5" ht="15.75" thickBot="1" x14ac:dyDescent="0.3">
      <c r="A53" s="15" t="s">
        <v>221</v>
      </c>
      <c r="B53" s="14" t="s">
        <v>222</v>
      </c>
      <c r="C53" s="14" t="s">
        <v>118</v>
      </c>
      <c r="D53" s="58"/>
      <c r="E53" s="58"/>
    </row>
    <row r="54" spans="1:5" ht="15.75" thickBot="1" x14ac:dyDescent="0.3">
      <c r="A54" s="15" t="s">
        <v>223</v>
      </c>
      <c r="B54" s="14" t="s">
        <v>224</v>
      </c>
      <c r="C54" s="14" t="s">
        <v>118</v>
      </c>
      <c r="D54" s="58"/>
      <c r="E54" s="58"/>
    </row>
    <row r="55" spans="1:5" ht="15.75" thickBot="1" x14ac:dyDescent="0.3">
      <c r="A55" s="15" t="s">
        <v>225</v>
      </c>
      <c r="B55" s="14" t="s">
        <v>226</v>
      </c>
      <c r="C55" s="14" t="s">
        <v>118</v>
      </c>
      <c r="D55" s="58"/>
      <c r="E55" s="58"/>
    </row>
    <row r="56" spans="1:5" ht="15.75" thickBot="1" x14ac:dyDescent="0.3">
      <c r="A56" s="15" t="s">
        <v>227</v>
      </c>
      <c r="B56" s="14" t="s">
        <v>228</v>
      </c>
      <c r="C56" s="14" t="s">
        <v>118</v>
      </c>
      <c r="D56" s="58"/>
      <c r="E56" s="58"/>
    </row>
    <row r="57" spans="1:5" ht="15.75" thickBot="1" x14ac:dyDescent="0.3">
      <c r="A57" s="15" t="s">
        <v>229</v>
      </c>
      <c r="B57" s="14" t="s">
        <v>230</v>
      </c>
      <c r="C57" s="14" t="s">
        <v>118</v>
      </c>
      <c r="D57" s="58"/>
      <c r="E57" s="58"/>
    </row>
    <row r="58" spans="1:5" ht="15.75" thickBot="1" x14ac:dyDescent="0.3">
      <c r="A58" s="15" t="s">
        <v>231</v>
      </c>
      <c r="B58" s="14" t="s">
        <v>232</v>
      </c>
      <c r="C58" s="14" t="s">
        <v>118</v>
      </c>
      <c r="D58" s="58"/>
      <c r="E58" s="58"/>
    </row>
    <row r="59" spans="1:5" ht="15.75" thickBot="1" x14ac:dyDescent="0.3">
      <c r="A59" s="15" t="s">
        <v>233</v>
      </c>
      <c r="B59" s="14" t="s">
        <v>234</v>
      </c>
      <c r="C59" s="14" t="s">
        <v>118</v>
      </c>
      <c r="D59" s="58"/>
      <c r="E59" s="58"/>
    </row>
    <row r="60" spans="1:5" ht="15.75" thickBot="1" x14ac:dyDescent="0.3">
      <c r="A60" s="15" t="s">
        <v>235</v>
      </c>
      <c r="B60" s="14" t="s">
        <v>236</v>
      </c>
      <c r="C60" s="14" t="s">
        <v>118</v>
      </c>
      <c r="D60" s="58"/>
      <c r="E60" s="58"/>
    </row>
    <row r="61" spans="1:5" ht="15.75" thickBot="1" x14ac:dyDescent="0.3">
      <c r="A61" s="15" t="s">
        <v>237</v>
      </c>
      <c r="B61" s="14" t="s">
        <v>238</v>
      </c>
      <c r="C61" s="14" t="s">
        <v>118</v>
      </c>
      <c r="D61" s="58"/>
      <c r="E61" s="58"/>
    </row>
    <row r="62" spans="1:5" ht="15.75" thickBot="1" x14ac:dyDescent="0.3">
      <c r="A62" s="15" t="s">
        <v>239</v>
      </c>
      <c r="B62" s="14" t="s">
        <v>240</v>
      </c>
      <c r="C62" s="14" t="s">
        <v>118</v>
      </c>
      <c r="D62" s="58"/>
      <c r="E62" s="58"/>
    </row>
    <row r="63" spans="1:5" ht="15.75" thickBot="1" x14ac:dyDescent="0.3">
      <c r="A63" s="15" t="s">
        <v>241</v>
      </c>
      <c r="B63" s="14" t="s">
        <v>242</v>
      </c>
      <c r="C63" s="14" t="s">
        <v>118</v>
      </c>
      <c r="D63" s="58"/>
      <c r="E63" s="58"/>
    </row>
    <row r="64" spans="1:5" ht="15.75" thickBot="1" x14ac:dyDescent="0.3">
      <c r="A64" s="15" t="s">
        <v>243</v>
      </c>
      <c r="B64" s="14" t="s">
        <v>244</v>
      </c>
      <c r="C64" s="14" t="s">
        <v>118</v>
      </c>
      <c r="D64" s="58"/>
      <c r="E64" s="58"/>
    </row>
    <row r="65" spans="1:5" ht="15.75" thickBot="1" x14ac:dyDescent="0.3">
      <c r="A65" s="15" t="s">
        <v>245</v>
      </c>
      <c r="B65" s="14" t="s">
        <v>246</v>
      </c>
      <c r="C65" s="14" t="s">
        <v>118</v>
      </c>
      <c r="D65" s="58"/>
      <c r="E65" s="58"/>
    </row>
    <row r="66" spans="1:5" ht="15.75" thickBot="1" x14ac:dyDescent="0.3">
      <c r="A66" s="15" t="s">
        <v>247</v>
      </c>
      <c r="B66" s="14" t="s">
        <v>248</v>
      </c>
      <c r="C66" s="14" t="s">
        <v>118</v>
      </c>
      <c r="D66" s="58"/>
      <c r="E66" s="58"/>
    </row>
    <row r="67" spans="1:5" ht="15.75" thickBot="1" x14ac:dyDescent="0.3">
      <c r="A67" s="15" t="s">
        <v>249</v>
      </c>
      <c r="B67" s="14" t="s">
        <v>250</v>
      </c>
      <c r="C67" s="14" t="s">
        <v>118</v>
      </c>
      <c r="D67" s="58"/>
      <c r="E67" s="58"/>
    </row>
    <row r="68" spans="1:5" ht="15.75" thickBot="1" x14ac:dyDescent="0.3">
      <c r="A68" s="15" t="s">
        <v>251</v>
      </c>
      <c r="B68" s="14" t="s">
        <v>252</v>
      </c>
      <c r="C68" s="14" t="s">
        <v>118</v>
      </c>
      <c r="D68" s="58"/>
      <c r="E68" s="58"/>
    </row>
    <row r="69" spans="1:5" ht="15.75" thickBot="1" x14ac:dyDescent="0.3">
      <c r="A69" s="15" t="s">
        <v>253</v>
      </c>
      <c r="B69" s="14" t="s">
        <v>254</v>
      </c>
      <c r="C69" s="14" t="s">
        <v>118</v>
      </c>
      <c r="D69" s="58"/>
      <c r="E69" s="58"/>
    </row>
    <row r="70" spans="1:5" ht="15.75" thickBot="1" x14ac:dyDescent="0.3">
      <c r="A70" s="15" t="s">
        <v>255</v>
      </c>
      <c r="B70" s="14" t="s">
        <v>256</v>
      </c>
      <c r="C70" s="14" t="s">
        <v>118</v>
      </c>
      <c r="D70" s="58"/>
      <c r="E70" s="58"/>
    </row>
    <row r="71" spans="1:5" ht="15.75" thickBot="1" x14ac:dyDescent="0.3">
      <c r="A71" s="15" t="s">
        <v>257</v>
      </c>
      <c r="B71" s="14" t="s">
        <v>258</v>
      </c>
      <c r="C71" s="14" t="s">
        <v>118</v>
      </c>
      <c r="D71" s="58"/>
      <c r="E71" s="58"/>
    </row>
    <row r="72" spans="1:5" ht="15.75" thickBot="1" x14ac:dyDescent="0.3">
      <c r="A72" s="15" t="s">
        <v>259</v>
      </c>
      <c r="B72" s="14" t="s">
        <v>260</v>
      </c>
      <c r="C72" s="14" t="s">
        <v>118</v>
      </c>
      <c r="D72" s="58"/>
      <c r="E72" s="58"/>
    </row>
    <row r="73" spans="1:5" ht="15.75" thickBot="1" x14ac:dyDescent="0.3">
      <c r="A73" s="15" t="s">
        <v>261</v>
      </c>
      <c r="B73" s="14" t="s">
        <v>262</v>
      </c>
      <c r="C73" s="14" t="s">
        <v>118</v>
      </c>
      <c r="D73" s="58"/>
      <c r="E73" s="58"/>
    </row>
    <row r="74" spans="1:5" ht="15.75" thickBot="1" x14ac:dyDescent="0.3">
      <c r="A74" s="15" t="s">
        <v>263</v>
      </c>
      <c r="B74" s="14" t="s">
        <v>264</v>
      </c>
      <c r="C74" s="14" t="s">
        <v>118</v>
      </c>
      <c r="D74" s="58"/>
      <c r="E74" s="58"/>
    </row>
    <row r="75" spans="1:5" ht="15.75" thickBot="1" x14ac:dyDescent="0.3">
      <c r="A75" s="15" t="s">
        <v>265</v>
      </c>
      <c r="B75" s="14" t="s">
        <v>266</v>
      </c>
      <c r="C75" s="14" t="s">
        <v>118</v>
      </c>
      <c r="D75" s="58"/>
      <c r="E75" s="58"/>
    </row>
    <row r="76" spans="1:5" ht="15.75" thickBot="1" x14ac:dyDescent="0.3">
      <c r="A76" s="15" t="s">
        <v>267</v>
      </c>
      <c r="B76" s="14" t="s">
        <v>268</v>
      </c>
      <c r="C76" s="14" t="s">
        <v>118</v>
      </c>
      <c r="D76" s="58"/>
      <c r="E76" s="58"/>
    </row>
    <row r="77" spans="1:5" ht="15.75" thickBot="1" x14ac:dyDescent="0.3">
      <c r="A77" s="15" t="s">
        <v>269</v>
      </c>
      <c r="B77" s="14" t="s">
        <v>270</v>
      </c>
      <c r="C77" s="14" t="s">
        <v>118</v>
      </c>
      <c r="D77" s="58"/>
      <c r="E77" s="58"/>
    </row>
    <row r="78" spans="1:5" ht="15.75" thickBot="1" x14ac:dyDescent="0.3">
      <c r="A78" s="15" t="s">
        <v>271</v>
      </c>
      <c r="B78" s="14" t="s">
        <v>272</v>
      </c>
      <c r="C78" s="14" t="s">
        <v>118</v>
      </c>
      <c r="D78" s="58"/>
      <c r="E78" s="58"/>
    </row>
    <row r="79" spans="1:5" ht="15.75" thickBot="1" x14ac:dyDescent="0.3">
      <c r="A79" s="15" t="s">
        <v>273</v>
      </c>
      <c r="B79" s="14" t="s">
        <v>274</v>
      </c>
      <c r="C79" s="14" t="s">
        <v>118</v>
      </c>
      <c r="D79" s="58"/>
      <c r="E79" s="58"/>
    </row>
    <row r="80" spans="1:5" ht="15.75" thickBot="1" x14ac:dyDescent="0.3">
      <c r="A80" s="15" t="s">
        <v>275</v>
      </c>
      <c r="B80" s="14" t="s">
        <v>276</v>
      </c>
      <c r="C80" s="14" t="s">
        <v>118</v>
      </c>
      <c r="D80" s="58"/>
      <c r="E80" s="58"/>
    </row>
    <row r="81" spans="1:5" ht="15.75" thickBot="1" x14ac:dyDescent="0.3">
      <c r="A81" s="15" t="s">
        <v>277</v>
      </c>
      <c r="B81" s="14" t="s">
        <v>278</v>
      </c>
      <c r="C81" s="14" t="s">
        <v>118</v>
      </c>
      <c r="D81" s="58"/>
      <c r="E81" s="58"/>
    </row>
    <row r="82" spans="1:5" ht="15.75" thickBot="1" x14ac:dyDescent="0.3">
      <c r="A82" s="15" t="s">
        <v>279</v>
      </c>
      <c r="B82" s="14" t="s">
        <v>280</v>
      </c>
      <c r="C82" s="14" t="s">
        <v>118</v>
      </c>
      <c r="D82" s="58"/>
      <c r="E82" s="58"/>
    </row>
    <row r="83" spans="1:5" ht="15.75" thickBot="1" x14ac:dyDescent="0.3">
      <c r="A83" s="15" t="s">
        <v>281</v>
      </c>
      <c r="B83" s="14" t="s">
        <v>282</v>
      </c>
      <c r="C83" s="14" t="s">
        <v>118</v>
      </c>
      <c r="D83" s="58"/>
      <c r="E83" s="58"/>
    </row>
    <row r="84" spans="1:5" ht="15.75" thickBot="1" x14ac:dyDescent="0.3">
      <c r="A84" s="15" t="s">
        <v>283</v>
      </c>
      <c r="B84" s="14" t="s">
        <v>284</v>
      </c>
      <c r="C84" s="14" t="s">
        <v>118</v>
      </c>
      <c r="D84" s="58"/>
      <c r="E84" s="58"/>
    </row>
    <row r="85" spans="1:5" ht="15.75" thickBot="1" x14ac:dyDescent="0.3">
      <c r="A85" s="15" t="s">
        <v>285</v>
      </c>
      <c r="B85" s="14" t="s">
        <v>286</v>
      </c>
      <c r="C85" s="14" t="s">
        <v>118</v>
      </c>
      <c r="D85" s="58"/>
      <c r="E85" s="58"/>
    </row>
    <row r="86" spans="1:5" ht="15.75" thickBot="1" x14ac:dyDescent="0.3">
      <c r="A86" s="15" t="s">
        <v>287</v>
      </c>
      <c r="B86" s="14" t="s">
        <v>288</v>
      </c>
      <c r="C86" s="14" t="s">
        <v>118</v>
      </c>
      <c r="D86" s="58"/>
      <c r="E86" s="58"/>
    </row>
    <row r="87" spans="1:5" ht="15.75" thickBot="1" x14ac:dyDescent="0.3">
      <c r="A87" s="15" t="s">
        <v>289</v>
      </c>
      <c r="B87" s="14" t="s">
        <v>290</v>
      </c>
      <c r="C87" s="14" t="s">
        <v>118</v>
      </c>
      <c r="D87" s="58"/>
      <c r="E87" s="58"/>
    </row>
    <row r="88" spans="1:5" ht="15.75" thickBot="1" x14ac:dyDescent="0.3">
      <c r="A88" s="15" t="s">
        <v>291</v>
      </c>
      <c r="B88" s="14" t="s">
        <v>292</v>
      </c>
      <c r="C88" s="14" t="s">
        <v>118</v>
      </c>
      <c r="D88" s="58"/>
      <c r="E88" s="58"/>
    </row>
    <row r="89" spans="1:5" ht="15.75" thickBot="1" x14ac:dyDescent="0.3">
      <c r="A89" s="15" t="s">
        <v>293</v>
      </c>
      <c r="B89" s="14" t="s">
        <v>294</v>
      </c>
      <c r="C89" s="14" t="s">
        <v>118</v>
      </c>
      <c r="D89" s="58"/>
      <c r="E89" s="58"/>
    </row>
    <row r="90" spans="1:5" ht="30.75" thickBot="1" x14ac:dyDescent="0.3">
      <c r="A90" s="15" t="s">
        <v>295</v>
      </c>
      <c r="B90" s="14" t="s">
        <v>296</v>
      </c>
      <c r="C90" s="14" t="s">
        <v>118</v>
      </c>
      <c r="D90" s="58"/>
      <c r="E90" s="58"/>
    </row>
    <row r="91" spans="1:5" ht="30.75" thickBot="1" x14ac:dyDescent="0.3">
      <c r="A91" s="15" t="s">
        <v>297</v>
      </c>
      <c r="B91" s="14" t="s">
        <v>298</v>
      </c>
      <c r="C91" s="14" t="s">
        <v>118</v>
      </c>
      <c r="D91" s="58"/>
      <c r="E91" s="58"/>
    </row>
    <row r="92" spans="1:5" ht="15.75" thickBot="1" x14ac:dyDescent="0.3">
      <c r="A92" s="15" t="s">
        <v>299</v>
      </c>
      <c r="B92" s="14" t="s">
        <v>300</v>
      </c>
      <c r="C92" s="14" t="s">
        <v>118</v>
      </c>
      <c r="D92" s="58"/>
      <c r="E92" s="58"/>
    </row>
    <row r="93" spans="1:5" ht="15.75" thickBot="1" x14ac:dyDescent="0.3">
      <c r="A93" s="15" t="s">
        <v>301</v>
      </c>
      <c r="B93" s="14" t="s">
        <v>302</v>
      </c>
      <c r="C93" s="14" t="s">
        <v>118</v>
      </c>
      <c r="D93" s="58"/>
      <c r="E93" s="58"/>
    </row>
    <row r="94" spans="1:5" ht="15.75" thickBot="1" x14ac:dyDescent="0.3">
      <c r="A94" s="15" t="s">
        <v>303</v>
      </c>
      <c r="B94" s="14" t="s">
        <v>304</v>
      </c>
      <c r="C94" s="14" t="s">
        <v>118</v>
      </c>
      <c r="D94" s="58"/>
      <c r="E94" s="58"/>
    </row>
    <row r="95" spans="1:5" ht="15.75" thickBot="1" x14ac:dyDescent="0.3">
      <c r="A95" s="15" t="s">
        <v>305</v>
      </c>
      <c r="B95" s="14" t="s">
        <v>306</v>
      </c>
      <c r="C95" s="14" t="s">
        <v>118</v>
      </c>
      <c r="D95" s="58"/>
      <c r="E95" s="58"/>
    </row>
    <row r="96" spans="1:5" ht="15.75" thickBot="1" x14ac:dyDescent="0.3">
      <c r="A96" s="15" t="s">
        <v>307</v>
      </c>
      <c r="B96" s="14" t="s">
        <v>308</v>
      </c>
      <c r="C96" s="14" t="s">
        <v>118</v>
      </c>
      <c r="D96" s="58"/>
      <c r="E96" s="58"/>
    </row>
    <row r="97" spans="1:5" ht="15.75" thickBot="1" x14ac:dyDescent="0.3">
      <c r="A97" s="15" t="s">
        <v>309</v>
      </c>
      <c r="B97" s="14" t="s">
        <v>310</v>
      </c>
      <c r="C97" s="14" t="s">
        <v>118</v>
      </c>
      <c r="D97" s="58"/>
      <c r="E97" s="58"/>
    </row>
    <row r="98" spans="1:5" ht="15.75" thickBot="1" x14ac:dyDescent="0.3">
      <c r="A98" s="15" t="s">
        <v>311</v>
      </c>
      <c r="B98" s="14" t="s">
        <v>312</v>
      </c>
      <c r="C98" s="14" t="s">
        <v>118</v>
      </c>
      <c r="D98" s="58"/>
      <c r="E98" s="58"/>
    </row>
    <row r="99" spans="1:5" ht="30.75" thickBot="1" x14ac:dyDescent="0.3">
      <c r="A99" s="15" t="s">
        <v>313</v>
      </c>
      <c r="B99" s="14" t="s">
        <v>314</v>
      </c>
      <c r="C99" s="14" t="s">
        <v>118</v>
      </c>
      <c r="D99" s="58"/>
      <c r="E99" s="58"/>
    </row>
    <row r="100" spans="1:5" ht="15.75" thickBot="1" x14ac:dyDescent="0.3">
      <c r="A100" s="15" t="s">
        <v>315</v>
      </c>
      <c r="B100" s="14" t="s">
        <v>316</v>
      </c>
      <c r="C100" s="14" t="s">
        <v>118</v>
      </c>
      <c r="D100" s="58"/>
      <c r="E100" s="58"/>
    </row>
    <row r="101" spans="1:5" ht="15.75" thickBot="1" x14ac:dyDescent="0.3">
      <c r="A101" s="15" t="s">
        <v>317</v>
      </c>
      <c r="B101" s="14" t="s">
        <v>318</v>
      </c>
      <c r="C101" s="14" t="s">
        <v>118</v>
      </c>
      <c r="D101" s="58"/>
      <c r="E101" s="58"/>
    </row>
    <row r="102" spans="1:5" ht="15.75" thickBot="1" x14ac:dyDescent="0.3">
      <c r="A102" s="15" t="s">
        <v>319</v>
      </c>
      <c r="B102" s="14" t="s">
        <v>320</v>
      </c>
      <c r="C102" s="14" t="s">
        <v>118</v>
      </c>
      <c r="D102" s="58"/>
      <c r="E102" s="58"/>
    </row>
    <row r="103" spans="1:5" ht="15.75" thickBot="1" x14ac:dyDescent="0.3">
      <c r="A103" s="15" t="s">
        <v>321</v>
      </c>
      <c r="B103" s="14" t="s">
        <v>322</v>
      </c>
      <c r="C103" s="14" t="s">
        <v>118</v>
      </c>
      <c r="D103" s="58"/>
      <c r="E103" s="58"/>
    </row>
    <row r="104" spans="1:5" ht="15.75" thickBot="1" x14ac:dyDescent="0.3">
      <c r="A104" s="15" t="s">
        <v>323</v>
      </c>
      <c r="B104" s="14" t="s">
        <v>324</v>
      </c>
      <c r="C104" s="14" t="s">
        <v>118</v>
      </c>
      <c r="D104" s="58"/>
      <c r="E104" s="58"/>
    </row>
    <row r="105" spans="1:5" ht="15.75" thickBot="1" x14ac:dyDescent="0.3">
      <c r="A105" s="15" t="s">
        <v>325</v>
      </c>
      <c r="B105" s="14" t="s">
        <v>326</v>
      </c>
      <c r="C105" s="14" t="s">
        <v>118</v>
      </c>
      <c r="D105" s="58"/>
      <c r="E105" s="58"/>
    </row>
    <row r="106" spans="1:5" ht="15.75" thickBot="1" x14ac:dyDescent="0.3">
      <c r="A106" s="15" t="s">
        <v>327</v>
      </c>
      <c r="B106" s="14" t="s">
        <v>328</v>
      </c>
      <c r="C106" s="14" t="s">
        <v>118</v>
      </c>
      <c r="D106" s="58"/>
      <c r="E106" s="58"/>
    </row>
    <row r="107" spans="1:5" ht="15.75" thickBot="1" x14ac:dyDescent="0.3">
      <c r="A107" s="15" t="s">
        <v>329</v>
      </c>
      <c r="B107" s="14" t="s">
        <v>330</v>
      </c>
      <c r="C107" s="14" t="s">
        <v>118</v>
      </c>
      <c r="D107" s="58"/>
      <c r="E107" s="58"/>
    </row>
    <row r="108" spans="1:5" ht="15.75" thickBot="1" x14ac:dyDescent="0.3">
      <c r="A108" s="15" t="s">
        <v>331</v>
      </c>
      <c r="B108" s="14" t="s">
        <v>332</v>
      </c>
      <c r="C108" s="14" t="s">
        <v>118</v>
      </c>
      <c r="D108" s="58"/>
      <c r="E108" s="58"/>
    </row>
    <row r="109" spans="1:5" ht="15.75" thickBot="1" x14ac:dyDescent="0.3">
      <c r="A109" s="15" t="s">
        <v>333</v>
      </c>
      <c r="B109" s="14" t="s">
        <v>334</v>
      </c>
      <c r="C109" s="14" t="s">
        <v>118</v>
      </c>
      <c r="D109" s="58"/>
      <c r="E109" s="58"/>
    </row>
    <row r="110" spans="1:5" ht="30.75" thickBot="1" x14ac:dyDescent="0.3">
      <c r="A110" s="15" t="s">
        <v>335</v>
      </c>
      <c r="B110" s="14" t="s">
        <v>336</v>
      </c>
      <c r="C110" s="14" t="s">
        <v>118</v>
      </c>
      <c r="D110" s="58"/>
      <c r="E110" s="58"/>
    </row>
    <row r="111" spans="1:5" ht="30.75" thickBot="1" x14ac:dyDescent="0.3">
      <c r="A111" s="15" t="s">
        <v>337</v>
      </c>
      <c r="B111" s="14" t="s">
        <v>338</v>
      </c>
      <c r="C111" s="14" t="s">
        <v>118</v>
      </c>
      <c r="D111" s="58"/>
      <c r="E111" s="58"/>
    </row>
    <row r="112" spans="1:5" ht="30.75" thickBot="1" x14ac:dyDescent="0.3">
      <c r="A112" s="15" t="s">
        <v>339</v>
      </c>
      <c r="B112" s="14" t="s">
        <v>340</v>
      </c>
      <c r="C112" s="14" t="s">
        <v>118</v>
      </c>
      <c r="D112" s="58"/>
      <c r="E112" s="58"/>
    </row>
    <row r="113" spans="1:5" ht="30.75" thickBot="1" x14ac:dyDescent="0.3">
      <c r="A113" s="15" t="s">
        <v>341</v>
      </c>
      <c r="B113" s="14" t="s">
        <v>342</v>
      </c>
      <c r="C113" s="14" t="s">
        <v>118</v>
      </c>
      <c r="D113" s="58"/>
      <c r="E113" s="58"/>
    </row>
    <row r="114" spans="1:5" ht="30.75" thickBot="1" x14ac:dyDescent="0.3">
      <c r="A114" s="15" t="s">
        <v>343</v>
      </c>
      <c r="B114" s="14" t="s">
        <v>344</v>
      </c>
      <c r="C114" s="14" t="s">
        <v>118</v>
      </c>
      <c r="D114" s="58"/>
      <c r="E114" s="58"/>
    </row>
    <row r="115" spans="1:5" ht="30.75" thickBot="1" x14ac:dyDescent="0.3">
      <c r="A115" s="15" t="s">
        <v>345</v>
      </c>
      <c r="B115" s="14" t="s">
        <v>338</v>
      </c>
      <c r="C115" s="14" t="s">
        <v>118</v>
      </c>
      <c r="D115" s="58"/>
      <c r="E115" s="58"/>
    </row>
    <row r="116" spans="1:5" ht="30.75" thickBot="1" x14ac:dyDescent="0.3">
      <c r="A116" s="15" t="s">
        <v>346</v>
      </c>
      <c r="B116" s="14" t="s">
        <v>347</v>
      </c>
      <c r="C116" s="14" t="s">
        <v>118</v>
      </c>
      <c r="D116" s="58"/>
      <c r="E116" s="58"/>
    </row>
    <row r="117" spans="1:5" ht="30.75" thickBot="1" x14ac:dyDescent="0.3">
      <c r="A117" s="15" t="s">
        <v>348</v>
      </c>
      <c r="B117" s="14" t="s">
        <v>349</v>
      </c>
      <c r="C117" s="14" t="s">
        <v>118</v>
      </c>
      <c r="D117" s="58"/>
      <c r="E117" s="58"/>
    </row>
    <row r="118" spans="1:5" ht="30.75" thickBot="1" x14ac:dyDescent="0.3">
      <c r="A118" s="15" t="s">
        <v>350</v>
      </c>
      <c r="B118" s="14" t="s">
        <v>351</v>
      </c>
      <c r="C118" s="14" t="s">
        <v>118</v>
      </c>
      <c r="D118" s="58"/>
      <c r="E118" s="58"/>
    </row>
    <row r="119" spans="1:5" ht="30.75" thickBot="1" x14ac:dyDescent="0.3">
      <c r="A119" s="15" t="s">
        <v>352</v>
      </c>
      <c r="B119" s="14" t="s">
        <v>338</v>
      </c>
      <c r="C119" s="14" t="s">
        <v>118</v>
      </c>
      <c r="D119" s="58"/>
      <c r="E119" s="58"/>
    </row>
    <row r="120" spans="1:5" ht="30.75" thickBot="1" x14ac:dyDescent="0.3">
      <c r="A120" s="15" t="s">
        <v>353</v>
      </c>
      <c r="B120" s="14" t="s">
        <v>354</v>
      </c>
      <c r="C120" s="14" t="s">
        <v>118</v>
      </c>
      <c r="D120" s="58"/>
      <c r="E120" s="58"/>
    </row>
    <row r="121" spans="1:5" ht="30.75" thickBot="1" x14ac:dyDescent="0.3">
      <c r="A121" s="15" t="s">
        <v>355</v>
      </c>
      <c r="B121" s="14" t="s">
        <v>356</v>
      </c>
      <c r="C121" s="14" t="s">
        <v>118</v>
      </c>
      <c r="D121" s="58"/>
      <c r="E121" s="58"/>
    </row>
    <row r="122" spans="1:5" ht="30.75" thickBot="1" x14ac:dyDescent="0.3">
      <c r="A122" s="15" t="s">
        <v>357</v>
      </c>
      <c r="B122" s="14" t="s">
        <v>358</v>
      </c>
      <c r="C122" s="14" t="s">
        <v>118</v>
      </c>
      <c r="D122" s="58"/>
      <c r="E122" s="58"/>
    </row>
    <row r="123" spans="1:5" ht="30.75" thickBot="1" x14ac:dyDescent="0.3">
      <c r="A123" s="15" t="s">
        <v>359</v>
      </c>
      <c r="B123" s="14" t="s">
        <v>360</v>
      </c>
      <c r="C123" s="14" t="s">
        <v>118</v>
      </c>
      <c r="D123" s="58"/>
      <c r="E123" s="58"/>
    </row>
    <row r="124" spans="1:5" ht="15.75" thickBot="1" x14ac:dyDescent="0.3">
      <c r="A124" s="15" t="s">
        <v>362</v>
      </c>
      <c r="B124" s="14" t="s">
        <v>363</v>
      </c>
      <c r="C124" s="14" t="s">
        <v>361</v>
      </c>
      <c r="D124" s="58"/>
      <c r="E124" s="58"/>
    </row>
    <row r="125" spans="1:5" ht="30.75" thickBot="1" x14ac:dyDescent="0.3">
      <c r="A125" s="15" t="s">
        <v>364</v>
      </c>
      <c r="B125" s="14" t="s">
        <v>365</v>
      </c>
      <c r="C125" s="14" t="s">
        <v>361</v>
      </c>
      <c r="D125" s="58"/>
      <c r="E125" s="58"/>
    </row>
    <row r="126" spans="1:5" ht="15.75" thickBot="1" x14ac:dyDescent="0.3">
      <c r="A126" s="15" t="s">
        <v>366</v>
      </c>
      <c r="B126" s="14" t="s">
        <v>367</v>
      </c>
      <c r="C126" s="14" t="s">
        <v>361</v>
      </c>
      <c r="D126" s="58"/>
      <c r="E126" s="58"/>
    </row>
    <row r="127" spans="1:5" ht="26.25" thickBot="1" x14ac:dyDescent="0.3">
      <c r="A127" s="15" t="s">
        <v>368</v>
      </c>
      <c r="B127" s="14" t="s">
        <v>369</v>
      </c>
      <c r="C127" s="14" t="s">
        <v>361</v>
      </c>
      <c r="D127" s="58"/>
      <c r="E127" s="88" t="s">
        <v>2091</v>
      </c>
    </row>
    <row r="128" spans="1:5" ht="15.75" thickBot="1" x14ac:dyDescent="0.3">
      <c r="A128" s="15" t="s">
        <v>370</v>
      </c>
      <c r="B128" s="14" t="s">
        <v>371</v>
      </c>
      <c r="C128" s="14" t="s">
        <v>361</v>
      </c>
      <c r="D128" s="58"/>
      <c r="E128" s="58"/>
    </row>
    <row r="129" spans="1:5" ht="15.75" thickBot="1" x14ac:dyDescent="0.3">
      <c r="A129" s="15" t="s">
        <v>372</v>
      </c>
      <c r="B129" s="14" t="s">
        <v>373</v>
      </c>
      <c r="C129" s="14" t="s">
        <v>361</v>
      </c>
      <c r="D129" s="58"/>
      <c r="E129" s="58"/>
    </row>
    <row r="130" spans="1:5" ht="15.75" thickBot="1" x14ac:dyDescent="0.3">
      <c r="A130" s="15" t="s">
        <v>374</v>
      </c>
      <c r="B130" s="14" t="s">
        <v>375</v>
      </c>
      <c r="C130" s="14" t="s">
        <v>361</v>
      </c>
      <c r="D130" s="58"/>
      <c r="E130" s="58"/>
    </row>
    <row r="131" spans="1:5" ht="15.75" thickBot="1" x14ac:dyDescent="0.3">
      <c r="A131" s="15" t="s">
        <v>376</v>
      </c>
      <c r="B131" s="14" t="s">
        <v>377</v>
      </c>
      <c r="C131" s="14" t="s">
        <v>361</v>
      </c>
      <c r="D131" s="58"/>
      <c r="E131" s="58"/>
    </row>
    <row r="132" spans="1:5" ht="15.75" thickBot="1" x14ac:dyDescent="0.3">
      <c r="A132" s="15" t="s">
        <v>378</v>
      </c>
      <c r="B132" s="14" t="s">
        <v>379</v>
      </c>
      <c r="C132" s="14" t="s">
        <v>361</v>
      </c>
      <c r="D132" s="58"/>
      <c r="E132" s="58"/>
    </row>
    <row r="133" spans="1:5" ht="15.75" thickBot="1" x14ac:dyDescent="0.3">
      <c r="A133" s="15" t="s">
        <v>380</v>
      </c>
      <c r="B133" s="14" t="s">
        <v>381</v>
      </c>
      <c r="C133" s="14" t="s">
        <v>361</v>
      </c>
      <c r="D133" s="58"/>
      <c r="E133" s="58"/>
    </row>
    <row r="134" spans="1:5" ht="15.75" thickBot="1" x14ac:dyDescent="0.3">
      <c r="A134" s="15" t="s">
        <v>382</v>
      </c>
      <c r="B134" s="14" t="s">
        <v>383</v>
      </c>
      <c r="C134" s="14" t="s">
        <v>361</v>
      </c>
      <c r="D134" s="58"/>
      <c r="E134" s="58"/>
    </row>
    <row r="135" spans="1:5" ht="15.75" thickBot="1" x14ac:dyDescent="0.3">
      <c r="A135" s="15" t="s">
        <v>384</v>
      </c>
      <c r="B135" s="14" t="s">
        <v>385</v>
      </c>
      <c r="C135" s="14" t="s">
        <v>361</v>
      </c>
      <c r="D135" s="58"/>
      <c r="E135" s="58"/>
    </row>
    <row r="136" spans="1:5" ht="15.75" thickBot="1" x14ac:dyDescent="0.3">
      <c r="A136" s="15" t="s">
        <v>386</v>
      </c>
      <c r="B136" s="14" t="s">
        <v>387</v>
      </c>
      <c r="C136" s="14" t="s">
        <v>361</v>
      </c>
      <c r="D136" s="58"/>
      <c r="E136" s="58"/>
    </row>
    <row r="137" spans="1:5" ht="15.75" thickBot="1" x14ac:dyDescent="0.3">
      <c r="A137" s="15" t="s">
        <v>388</v>
      </c>
      <c r="B137" s="14" t="s">
        <v>389</v>
      </c>
      <c r="C137" s="14" t="s">
        <v>361</v>
      </c>
      <c r="D137" s="58"/>
      <c r="E137" s="58"/>
    </row>
    <row r="138" spans="1:5" ht="15.75" thickBot="1" x14ac:dyDescent="0.3">
      <c r="A138" s="15" t="s">
        <v>390</v>
      </c>
      <c r="B138" s="14" t="s">
        <v>391</v>
      </c>
      <c r="C138" s="14" t="s">
        <v>361</v>
      </c>
      <c r="D138" s="58"/>
      <c r="E138" s="58"/>
    </row>
    <row r="139" spans="1:5" ht="15.75" thickBot="1" x14ac:dyDescent="0.3">
      <c r="A139" s="15" t="s">
        <v>392</v>
      </c>
      <c r="B139" s="14" t="s">
        <v>393</v>
      </c>
      <c r="C139" s="14" t="s">
        <v>361</v>
      </c>
      <c r="D139" s="58"/>
      <c r="E139" s="58"/>
    </row>
    <row r="140" spans="1:5" ht="15.75" thickBot="1" x14ac:dyDescent="0.3">
      <c r="A140" s="15" t="s">
        <v>394</v>
      </c>
      <c r="B140" s="14" t="s">
        <v>395</v>
      </c>
      <c r="C140" s="14" t="s">
        <v>361</v>
      </c>
      <c r="D140" s="58"/>
      <c r="E140" s="58"/>
    </row>
    <row r="141" spans="1:5" ht="30.75" thickBot="1" x14ac:dyDescent="0.3">
      <c r="A141" s="15" t="s">
        <v>396</v>
      </c>
      <c r="B141" s="14" t="s">
        <v>397</v>
      </c>
      <c r="C141" s="14" t="s">
        <v>361</v>
      </c>
      <c r="D141" s="58"/>
      <c r="E141" s="58"/>
    </row>
    <row r="142" spans="1:5" ht="15.75" thickBot="1" x14ac:dyDescent="0.3">
      <c r="A142" s="15" t="s">
        <v>398</v>
      </c>
      <c r="B142" s="14" t="s">
        <v>399</v>
      </c>
      <c r="C142" s="14" t="s">
        <v>361</v>
      </c>
      <c r="D142" s="58"/>
      <c r="E142" s="58"/>
    </row>
    <row r="143" spans="1:5" ht="15.75" thickBot="1" x14ac:dyDescent="0.3">
      <c r="A143" s="15" t="s">
        <v>400</v>
      </c>
      <c r="B143" s="14" t="s">
        <v>401</v>
      </c>
      <c r="C143" s="14" t="s">
        <v>361</v>
      </c>
      <c r="D143" s="58"/>
      <c r="E143" s="58"/>
    </row>
    <row r="144" spans="1:5" ht="15.75" thickBot="1" x14ac:dyDescent="0.3">
      <c r="A144" s="15" t="s">
        <v>402</v>
      </c>
      <c r="B144" s="14" t="s">
        <v>403</v>
      </c>
      <c r="C144" s="14" t="s">
        <v>361</v>
      </c>
      <c r="D144" s="58"/>
      <c r="E144" s="58"/>
    </row>
    <row r="145" spans="1:5" ht="15.75" thickBot="1" x14ac:dyDescent="0.3">
      <c r="A145" s="15" t="s">
        <v>404</v>
      </c>
      <c r="B145" s="14" t="s">
        <v>405</v>
      </c>
      <c r="C145" s="14" t="s">
        <v>361</v>
      </c>
      <c r="D145" s="58"/>
      <c r="E145" s="58"/>
    </row>
    <row r="146" spans="1:5" ht="15.75" thickBot="1" x14ac:dyDescent="0.3">
      <c r="A146" s="15" t="s">
        <v>406</v>
      </c>
      <c r="B146" s="14" t="s">
        <v>407</v>
      </c>
      <c r="C146" s="14" t="s">
        <v>361</v>
      </c>
      <c r="D146" s="58"/>
      <c r="E146" s="58"/>
    </row>
    <row r="147" spans="1:5" ht="15.75" thickBot="1" x14ac:dyDescent="0.3">
      <c r="A147" s="15" t="s">
        <v>408</v>
      </c>
      <c r="B147" s="14" t="s">
        <v>409</v>
      </c>
      <c r="C147" s="14" t="s">
        <v>361</v>
      </c>
      <c r="D147" s="58"/>
      <c r="E147" s="58"/>
    </row>
    <row r="148" spans="1:5" ht="15.75" thickBot="1" x14ac:dyDescent="0.3">
      <c r="A148" s="15" t="s">
        <v>410</v>
      </c>
      <c r="B148" s="14" t="s">
        <v>411</v>
      </c>
      <c r="C148" s="14" t="s">
        <v>361</v>
      </c>
      <c r="D148" s="58"/>
      <c r="E148" s="58"/>
    </row>
    <row r="149" spans="1:5" ht="15.75" thickBot="1" x14ac:dyDescent="0.3">
      <c r="A149" s="15" t="s">
        <v>412</v>
      </c>
      <c r="B149" s="14" t="s">
        <v>413</v>
      </c>
      <c r="C149" s="14" t="s">
        <v>361</v>
      </c>
      <c r="D149" s="58"/>
      <c r="E149" s="58"/>
    </row>
    <row r="150" spans="1:5" ht="15.75" thickBot="1" x14ac:dyDescent="0.3">
      <c r="A150" s="15" t="s">
        <v>414</v>
      </c>
      <c r="B150" s="14" t="s">
        <v>415</v>
      </c>
      <c r="C150" s="14" t="s">
        <v>361</v>
      </c>
      <c r="D150" s="58"/>
      <c r="E150" s="58"/>
    </row>
    <row r="151" spans="1:5" ht="15.75" thickBot="1" x14ac:dyDescent="0.3">
      <c r="A151" s="15" t="s">
        <v>416</v>
      </c>
      <c r="B151" s="14" t="s">
        <v>417</v>
      </c>
      <c r="C151" s="14" t="s">
        <v>361</v>
      </c>
      <c r="D151" s="58"/>
      <c r="E151" s="58"/>
    </row>
    <row r="152" spans="1:5" ht="15.75" thickBot="1" x14ac:dyDescent="0.3">
      <c r="A152" s="15" t="s">
        <v>418</v>
      </c>
      <c r="B152" s="14" t="s">
        <v>419</v>
      </c>
      <c r="C152" s="14" t="s">
        <v>361</v>
      </c>
      <c r="D152" s="58"/>
      <c r="E152" s="58"/>
    </row>
    <row r="153" spans="1:5" ht="15.75" thickBot="1" x14ac:dyDescent="0.3">
      <c r="A153" s="15" t="s">
        <v>420</v>
      </c>
      <c r="B153" s="14" t="s">
        <v>421</v>
      </c>
      <c r="C153" s="14" t="s">
        <v>361</v>
      </c>
      <c r="D153" s="58"/>
      <c r="E153" s="58"/>
    </row>
    <row r="154" spans="1:5" ht="15.75" thickBot="1" x14ac:dyDescent="0.3">
      <c r="A154" s="15" t="s">
        <v>422</v>
      </c>
      <c r="B154" s="14" t="s">
        <v>423</v>
      </c>
      <c r="C154" s="14" t="s">
        <v>361</v>
      </c>
      <c r="D154" s="58"/>
      <c r="E154" s="58"/>
    </row>
    <row r="155" spans="1:5" ht="15.75" thickBot="1" x14ac:dyDescent="0.3">
      <c r="A155" s="15" t="s">
        <v>424</v>
      </c>
      <c r="B155" s="14" t="s">
        <v>425</v>
      </c>
      <c r="C155" s="14" t="s">
        <v>361</v>
      </c>
      <c r="D155" s="58"/>
      <c r="E155" s="58"/>
    </row>
    <row r="156" spans="1:5" ht="30.75" thickBot="1" x14ac:dyDescent="0.3">
      <c r="A156" s="15" t="s">
        <v>426</v>
      </c>
      <c r="B156" s="14" t="s">
        <v>427</v>
      </c>
      <c r="C156" s="14" t="s">
        <v>361</v>
      </c>
      <c r="D156" s="58"/>
      <c r="E156" s="58"/>
    </row>
    <row r="157" spans="1:5" ht="15.75" thickBot="1" x14ac:dyDescent="0.3">
      <c r="A157" s="15" t="s">
        <v>428</v>
      </c>
      <c r="B157" s="14" t="s">
        <v>429</v>
      </c>
      <c r="C157" s="14" t="s">
        <v>361</v>
      </c>
      <c r="D157" s="58"/>
      <c r="E157" s="58"/>
    </row>
    <row r="158" spans="1:5" ht="15.75" thickBot="1" x14ac:dyDescent="0.3">
      <c r="A158" s="15" t="s">
        <v>430</v>
      </c>
      <c r="B158" s="14" t="s">
        <v>431</v>
      </c>
      <c r="C158" s="14" t="s">
        <v>361</v>
      </c>
      <c r="D158" s="58"/>
      <c r="E158" s="58"/>
    </row>
    <row r="159" spans="1:5" ht="15.75" thickBot="1" x14ac:dyDescent="0.3">
      <c r="A159" s="15" t="s">
        <v>432</v>
      </c>
      <c r="B159" s="14" t="s">
        <v>433</v>
      </c>
      <c r="C159" s="14" t="s">
        <v>361</v>
      </c>
      <c r="D159" s="58"/>
      <c r="E159" s="58"/>
    </row>
    <row r="160" spans="1:5" ht="15.75" thickBot="1" x14ac:dyDescent="0.3">
      <c r="A160" s="15" t="s">
        <v>434</v>
      </c>
      <c r="B160" s="14" t="s">
        <v>435</v>
      </c>
      <c r="C160" s="14" t="s">
        <v>361</v>
      </c>
      <c r="D160" s="58"/>
      <c r="E160" s="58"/>
    </row>
    <row r="161" spans="1:5" ht="15.75" thickBot="1" x14ac:dyDescent="0.3">
      <c r="A161" s="15" t="s">
        <v>436</v>
      </c>
      <c r="B161" s="14" t="s">
        <v>437</v>
      </c>
      <c r="C161" s="14" t="s">
        <v>361</v>
      </c>
      <c r="D161" s="58"/>
      <c r="E161" s="58"/>
    </row>
    <row r="162" spans="1:5" ht="15.75" thickBot="1" x14ac:dyDescent="0.3">
      <c r="A162" s="15" t="s">
        <v>438</v>
      </c>
      <c r="B162" s="14" t="s">
        <v>439</v>
      </c>
      <c r="C162" s="14" t="s">
        <v>361</v>
      </c>
      <c r="D162" s="58"/>
      <c r="E162" s="58"/>
    </row>
    <row r="163" spans="1:5" ht="15.75" thickBot="1" x14ac:dyDescent="0.3">
      <c r="A163" s="15" t="s">
        <v>440</v>
      </c>
      <c r="B163" s="14" t="s">
        <v>441</v>
      </c>
      <c r="C163" s="14" t="s">
        <v>361</v>
      </c>
      <c r="D163" s="58"/>
      <c r="E163" s="58"/>
    </row>
    <row r="164" spans="1:5" ht="15.75" thickBot="1" x14ac:dyDescent="0.3">
      <c r="A164" s="15" t="s">
        <v>442</v>
      </c>
      <c r="B164" s="14" t="s">
        <v>443</v>
      </c>
      <c r="C164" s="14" t="s">
        <v>361</v>
      </c>
      <c r="D164" s="58"/>
      <c r="E164" s="58"/>
    </row>
    <row r="165" spans="1:5" ht="15.75" thickBot="1" x14ac:dyDescent="0.3">
      <c r="A165" s="15" t="s">
        <v>444</v>
      </c>
      <c r="B165" s="14" t="s">
        <v>445</v>
      </c>
      <c r="C165" s="14" t="s">
        <v>361</v>
      </c>
      <c r="D165" s="58"/>
      <c r="E165" s="58"/>
    </row>
    <row r="166" spans="1:5" ht="30.75" thickBot="1" x14ac:dyDescent="0.3">
      <c r="A166" s="15" t="s">
        <v>446</v>
      </c>
      <c r="B166" s="14" t="s">
        <v>447</v>
      </c>
      <c r="C166" s="14" t="s">
        <v>361</v>
      </c>
      <c r="D166" s="58"/>
      <c r="E166" s="58"/>
    </row>
    <row r="167" spans="1:5" ht="30.75" thickBot="1" x14ac:dyDescent="0.3">
      <c r="A167" s="15" t="s">
        <v>448</v>
      </c>
      <c r="B167" s="14" t="s">
        <v>449</v>
      </c>
      <c r="C167" s="14" t="s">
        <v>361</v>
      </c>
      <c r="D167" s="58"/>
      <c r="E167" s="58"/>
    </row>
    <row r="168" spans="1:5" ht="15.75" thickBot="1" x14ac:dyDescent="0.3">
      <c r="A168" s="15">
        <v>10111</v>
      </c>
      <c r="B168" s="14" t="s">
        <v>451</v>
      </c>
      <c r="C168" s="14" t="s">
        <v>450</v>
      </c>
      <c r="D168" s="58"/>
      <c r="E168" s="58"/>
    </row>
    <row r="169" spans="1:5" ht="15.75" thickBot="1" x14ac:dyDescent="0.3">
      <c r="A169" s="15">
        <v>10112</v>
      </c>
      <c r="B169" s="14" t="s">
        <v>452</v>
      </c>
      <c r="C169" s="14" t="s">
        <v>450</v>
      </c>
      <c r="D169" s="58"/>
      <c r="E169" s="58"/>
    </row>
    <row r="170" spans="1:5" ht="15.75" thickBot="1" x14ac:dyDescent="0.3">
      <c r="A170" s="15">
        <v>10113</v>
      </c>
      <c r="B170" s="14" t="s">
        <v>453</v>
      </c>
      <c r="C170" s="14" t="s">
        <v>450</v>
      </c>
      <c r="D170" s="58"/>
      <c r="E170" s="58"/>
    </row>
    <row r="171" spans="1:5" ht="15.75" thickBot="1" x14ac:dyDescent="0.3">
      <c r="A171" s="15">
        <v>10119</v>
      </c>
      <c r="B171" s="14" t="s">
        <v>454</v>
      </c>
      <c r="C171" s="14" t="s">
        <v>450</v>
      </c>
      <c r="D171" s="58"/>
      <c r="E171" s="58"/>
    </row>
    <row r="172" spans="1:5" ht="30.75" thickBot="1" x14ac:dyDescent="0.3">
      <c r="A172" s="15">
        <v>10120</v>
      </c>
      <c r="B172" s="14" t="s">
        <v>455</v>
      </c>
      <c r="C172" s="14" t="s">
        <v>450</v>
      </c>
      <c r="D172" s="58"/>
      <c r="E172" s="58"/>
    </row>
    <row r="173" spans="1:5" ht="30.75" thickBot="1" x14ac:dyDescent="0.3">
      <c r="A173" s="15">
        <v>10211</v>
      </c>
      <c r="B173" s="14" t="s">
        <v>456</v>
      </c>
      <c r="C173" s="14" t="s">
        <v>450</v>
      </c>
      <c r="D173" s="58"/>
      <c r="E173" s="58"/>
    </row>
    <row r="174" spans="1:5" ht="30.75" thickBot="1" x14ac:dyDescent="0.3">
      <c r="A174" s="15">
        <v>10212</v>
      </c>
      <c r="B174" s="14" t="s">
        <v>457</v>
      </c>
      <c r="C174" s="14" t="s">
        <v>450</v>
      </c>
      <c r="D174" s="58"/>
      <c r="E174" s="58"/>
    </row>
    <row r="175" spans="1:5" ht="30.75" thickBot="1" x14ac:dyDescent="0.3">
      <c r="A175" s="15">
        <v>10213</v>
      </c>
      <c r="B175" s="14" t="s">
        <v>458</v>
      </c>
      <c r="C175" s="14" t="s">
        <v>450</v>
      </c>
      <c r="D175" s="58"/>
      <c r="E175" s="58"/>
    </row>
    <row r="176" spans="1:5" ht="30.75" thickBot="1" x14ac:dyDescent="0.3">
      <c r="A176" s="15">
        <v>10214</v>
      </c>
      <c r="B176" s="14" t="s">
        <v>459</v>
      </c>
      <c r="C176" s="14" t="s">
        <v>450</v>
      </c>
      <c r="D176" s="58"/>
      <c r="E176" s="58"/>
    </row>
    <row r="177" spans="1:5" ht="30.75" thickBot="1" x14ac:dyDescent="0.3">
      <c r="A177" s="15">
        <v>10215</v>
      </c>
      <c r="B177" s="14" t="s">
        <v>460</v>
      </c>
      <c r="C177" s="14" t="s">
        <v>450</v>
      </c>
      <c r="D177" s="58"/>
      <c r="E177" s="58"/>
    </row>
    <row r="178" spans="1:5" ht="30.75" thickBot="1" x14ac:dyDescent="0.3">
      <c r="A178" s="15">
        <v>10216</v>
      </c>
      <c r="B178" s="14" t="s">
        <v>461</v>
      </c>
      <c r="C178" s="14" t="s">
        <v>450</v>
      </c>
      <c r="D178" s="58"/>
      <c r="E178" s="58"/>
    </row>
    <row r="179" spans="1:5" ht="30.75" thickBot="1" x14ac:dyDescent="0.3">
      <c r="A179" s="15">
        <v>10217</v>
      </c>
      <c r="B179" s="14" t="s">
        <v>462</v>
      </c>
      <c r="C179" s="14" t="s">
        <v>450</v>
      </c>
      <c r="D179" s="58"/>
      <c r="E179" s="58"/>
    </row>
    <row r="180" spans="1:5" ht="30.75" thickBot="1" x14ac:dyDescent="0.3">
      <c r="A180" s="15">
        <v>10218</v>
      </c>
      <c r="B180" s="14" t="s">
        <v>463</v>
      </c>
      <c r="C180" s="14" t="s">
        <v>450</v>
      </c>
      <c r="D180" s="58"/>
      <c r="E180" s="58"/>
    </row>
    <row r="181" spans="1:5" ht="30.75" thickBot="1" x14ac:dyDescent="0.3">
      <c r="A181" s="15">
        <v>10219</v>
      </c>
      <c r="B181" s="14" t="s">
        <v>464</v>
      </c>
      <c r="C181" s="14" t="s">
        <v>450</v>
      </c>
      <c r="D181" s="58"/>
      <c r="E181" s="58"/>
    </row>
    <row r="182" spans="1:5" ht="30.75" thickBot="1" x14ac:dyDescent="0.3">
      <c r="A182" s="15">
        <v>10291</v>
      </c>
      <c r="B182" s="14" t="s">
        <v>465</v>
      </c>
      <c r="C182" s="14" t="s">
        <v>450</v>
      </c>
      <c r="D182" s="58"/>
      <c r="E182" s="58"/>
    </row>
    <row r="183" spans="1:5" ht="30.75" thickBot="1" x14ac:dyDescent="0.3">
      <c r="A183" s="15">
        <v>10292</v>
      </c>
      <c r="B183" s="14" t="s">
        <v>465</v>
      </c>
      <c r="C183" s="14" t="s">
        <v>450</v>
      </c>
      <c r="D183" s="58"/>
      <c r="E183" s="58"/>
    </row>
    <row r="184" spans="1:5" ht="30.75" thickBot="1" x14ac:dyDescent="0.3">
      <c r="A184" s="15">
        <v>10293</v>
      </c>
      <c r="B184" s="14" t="s">
        <v>465</v>
      </c>
      <c r="C184" s="14" t="s">
        <v>450</v>
      </c>
      <c r="D184" s="58"/>
      <c r="E184" s="58"/>
    </row>
    <row r="185" spans="1:5" ht="30.75" thickBot="1" x14ac:dyDescent="0.3">
      <c r="A185" s="15">
        <v>10294</v>
      </c>
      <c r="B185" s="14" t="s">
        <v>465</v>
      </c>
      <c r="C185" s="14" t="s">
        <v>450</v>
      </c>
      <c r="D185" s="58"/>
      <c r="E185" s="58"/>
    </row>
    <row r="186" spans="1:5" ht="30.75" thickBot="1" x14ac:dyDescent="0.3">
      <c r="A186" s="15">
        <v>10295</v>
      </c>
      <c r="B186" s="14" t="s">
        <v>465</v>
      </c>
      <c r="C186" s="14" t="s">
        <v>450</v>
      </c>
      <c r="D186" s="58"/>
      <c r="E186" s="58"/>
    </row>
    <row r="187" spans="1:5" ht="30.75" thickBot="1" x14ac:dyDescent="0.3">
      <c r="A187" s="15">
        <v>10296</v>
      </c>
      <c r="B187" s="14" t="s">
        <v>465</v>
      </c>
      <c r="C187" s="14" t="s">
        <v>450</v>
      </c>
      <c r="D187" s="58"/>
      <c r="E187" s="58"/>
    </row>
    <row r="188" spans="1:5" ht="30.75" thickBot="1" x14ac:dyDescent="0.3">
      <c r="A188" s="15">
        <v>10297</v>
      </c>
      <c r="B188" s="14" t="s">
        <v>465</v>
      </c>
      <c r="C188" s="14" t="s">
        <v>450</v>
      </c>
      <c r="D188" s="58"/>
      <c r="E188" s="58"/>
    </row>
    <row r="189" spans="1:5" ht="15.75" thickBot="1" x14ac:dyDescent="0.3">
      <c r="A189" s="15">
        <v>10298</v>
      </c>
      <c r="B189" s="14" t="s">
        <v>466</v>
      </c>
      <c r="C189" s="14" t="s">
        <v>450</v>
      </c>
      <c r="D189" s="58"/>
      <c r="E189" s="58"/>
    </row>
    <row r="190" spans="1:5" ht="30.75" thickBot="1" x14ac:dyDescent="0.3">
      <c r="A190" s="15">
        <v>10299</v>
      </c>
      <c r="B190" s="14" t="s">
        <v>467</v>
      </c>
      <c r="C190" s="14" t="s">
        <v>450</v>
      </c>
      <c r="D190" s="58"/>
      <c r="E190" s="58"/>
    </row>
    <row r="191" spans="1:5" ht="15.75" thickBot="1" x14ac:dyDescent="0.3">
      <c r="A191" s="15">
        <v>10301</v>
      </c>
      <c r="B191" s="14" t="s">
        <v>468</v>
      </c>
      <c r="C191" s="14" t="s">
        <v>450</v>
      </c>
      <c r="D191" s="58"/>
      <c r="E191" s="58"/>
    </row>
    <row r="192" spans="1:5" ht="15.75" thickBot="1" x14ac:dyDescent="0.3">
      <c r="A192" s="15">
        <v>10302</v>
      </c>
      <c r="B192" s="14" t="s">
        <v>469</v>
      </c>
      <c r="C192" s="14" t="s">
        <v>450</v>
      </c>
      <c r="D192" s="58"/>
      <c r="E192" s="58"/>
    </row>
    <row r="193" spans="1:5" ht="15.75" thickBot="1" x14ac:dyDescent="0.3">
      <c r="A193" s="15">
        <v>10303</v>
      </c>
      <c r="B193" s="14" t="s">
        <v>470</v>
      </c>
      <c r="C193" s="14" t="s">
        <v>450</v>
      </c>
      <c r="D193" s="58"/>
      <c r="E193" s="58"/>
    </row>
    <row r="194" spans="1:5" ht="15.75" thickBot="1" x14ac:dyDescent="0.3">
      <c r="A194" s="15">
        <v>10304</v>
      </c>
      <c r="B194" s="14" t="s">
        <v>471</v>
      </c>
      <c r="C194" s="14" t="s">
        <v>450</v>
      </c>
      <c r="D194" s="58"/>
      <c r="E194" s="58"/>
    </row>
    <row r="195" spans="1:5" ht="15.75" thickBot="1" x14ac:dyDescent="0.3">
      <c r="A195" s="15">
        <v>10305</v>
      </c>
      <c r="B195" s="14" t="s">
        <v>472</v>
      </c>
      <c r="C195" s="14" t="s">
        <v>450</v>
      </c>
      <c r="D195" s="58"/>
      <c r="E195" s="58"/>
    </row>
    <row r="196" spans="1:5" ht="15.75" thickBot="1" x14ac:dyDescent="0.3">
      <c r="A196" s="15">
        <v>10306</v>
      </c>
      <c r="B196" s="14" t="s">
        <v>473</v>
      </c>
      <c r="C196" s="14" t="s">
        <v>450</v>
      </c>
      <c r="D196" s="58"/>
      <c r="E196" s="58"/>
    </row>
    <row r="197" spans="1:5" ht="15.75" thickBot="1" x14ac:dyDescent="0.3">
      <c r="A197" s="15">
        <v>10307</v>
      </c>
      <c r="B197" s="14" t="s">
        <v>474</v>
      </c>
      <c r="C197" s="14" t="s">
        <v>450</v>
      </c>
      <c r="D197" s="58"/>
      <c r="E197" s="58"/>
    </row>
    <row r="198" spans="1:5" ht="15.75" thickBot="1" x14ac:dyDescent="0.3">
      <c r="A198" s="15">
        <v>10308</v>
      </c>
      <c r="B198" s="14" t="s">
        <v>475</v>
      </c>
      <c r="C198" s="14" t="s">
        <v>450</v>
      </c>
      <c r="D198" s="58"/>
      <c r="E198" s="58"/>
    </row>
    <row r="199" spans="1:5" ht="30.75" thickBot="1" x14ac:dyDescent="0.3">
      <c r="A199" s="15">
        <v>10309</v>
      </c>
      <c r="B199" s="14" t="s">
        <v>476</v>
      </c>
      <c r="C199" s="14" t="s">
        <v>450</v>
      </c>
      <c r="D199" s="58"/>
      <c r="E199" s="58"/>
    </row>
    <row r="200" spans="1:5" ht="30.75" thickBot="1" x14ac:dyDescent="0.3">
      <c r="A200" s="15">
        <v>10411</v>
      </c>
      <c r="B200" s="14" t="s">
        <v>477</v>
      </c>
      <c r="C200" s="14" t="s">
        <v>450</v>
      </c>
      <c r="D200" s="58"/>
      <c r="E200" s="58"/>
    </row>
    <row r="201" spans="1:5" ht="15.75" thickBot="1" x14ac:dyDescent="0.3">
      <c r="A201" s="15">
        <v>10412</v>
      </c>
      <c r="B201" s="14" t="s">
        <v>478</v>
      </c>
      <c r="C201" s="14" t="s">
        <v>450</v>
      </c>
      <c r="D201" s="58"/>
      <c r="E201" s="58"/>
    </row>
    <row r="202" spans="1:5" ht="30.75" thickBot="1" x14ac:dyDescent="0.3">
      <c r="A202" s="15">
        <v>10413</v>
      </c>
      <c r="B202" s="14" t="s">
        <v>479</v>
      </c>
      <c r="C202" s="14" t="s">
        <v>450</v>
      </c>
      <c r="D202" s="58"/>
      <c r="E202" s="58"/>
    </row>
    <row r="203" spans="1:5" ht="15.75" thickBot="1" x14ac:dyDescent="0.3">
      <c r="A203" s="15">
        <v>10414</v>
      </c>
      <c r="B203" s="14" t="s">
        <v>480</v>
      </c>
      <c r="C203" s="14" t="s">
        <v>450</v>
      </c>
      <c r="D203" s="58"/>
      <c r="E203" s="58"/>
    </row>
    <row r="204" spans="1:5" ht="30.75" thickBot="1" x14ac:dyDescent="0.3">
      <c r="A204" s="15">
        <v>10415</v>
      </c>
      <c r="B204" s="14" t="s">
        <v>481</v>
      </c>
      <c r="C204" s="14" t="s">
        <v>450</v>
      </c>
      <c r="D204" s="58"/>
      <c r="E204" s="58"/>
    </row>
    <row r="205" spans="1:5" ht="30.75" thickBot="1" x14ac:dyDescent="0.3">
      <c r="A205" s="15">
        <v>10419</v>
      </c>
      <c r="B205" s="14" t="s">
        <v>482</v>
      </c>
      <c r="C205" s="14" t="s">
        <v>450</v>
      </c>
      <c r="D205" s="58"/>
      <c r="E205" s="58"/>
    </row>
    <row r="206" spans="1:5" ht="15.75" thickBot="1" x14ac:dyDescent="0.3">
      <c r="A206" s="15">
        <v>10421</v>
      </c>
      <c r="B206" s="14" t="s">
        <v>483</v>
      </c>
      <c r="C206" s="14" t="s">
        <v>450</v>
      </c>
      <c r="D206" s="58"/>
      <c r="E206" s="58"/>
    </row>
    <row r="207" spans="1:5" ht="15.75" thickBot="1" x14ac:dyDescent="0.3">
      <c r="A207" s="15">
        <v>10422</v>
      </c>
      <c r="B207" s="14" t="s">
        <v>484</v>
      </c>
      <c r="C207" s="14" t="s">
        <v>450</v>
      </c>
      <c r="D207" s="58"/>
      <c r="E207" s="58"/>
    </row>
    <row r="208" spans="1:5" ht="15.75" thickBot="1" x14ac:dyDescent="0.3">
      <c r="A208" s="15">
        <v>10423</v>
      </c>
      <c r="B208" s="14" t="s">
        <v>485</v>
      </c>
      <c r="C208" s="14" t="s">
        <v>450</v>
      </c>
      <c r="D208" s="58"/>
      <c r="E208" s="58"/>
    </row>
    <row r="209" spans="1:5" ht="30.75" thickBot="1" x14ac:dyDescent="0.3">
      <c r="A209" s="15">
        <v>10431</v>
      </c>
      <c r="B209" s="14" t="s">
        <v>486</v>
      </c>
      <c r="C209" s="14" t="s">
        <v>450</v>
      </c>
      <c r="D209" s="58"/>
      <c r="E209" s="58"/>
    </row>
    <row r="210" spans="1:5" ht="30.75" thickBot="1" x14ac:dyDescent="0.3">
      <c r="A210" s="15">
        <v>10432</v>
      </c>
      <c r="B210" s="14" t="s">
        <v>487</v>
      </c>
      <c r="C210" s="14" t="s">
        <v>450</v>
      </c>
      <c r="D210" s="58"/>
      <c r="E210" s="58"/>
    </row>
    <row r="211" spans="1:5" ht="30.75" thickBot="1" x14ac:dyDescent="0.3">
      <c r="A211" s="15">
        <v>10433</v>
      </c>
      <c r="B211" s="14" t="s">
        <v>488</v>
      </c>
      <c r="C211" s="14" t="s">
        <v>450</v>
      </c>
      <c r="D211" s="58"/>
      <c r="E211" s="58"/>
    </row>
    <row r="212" spans="1:5" ht="30.75" thickBot="1" x14ac:dyDescent="0.3">
      <c r="A212" s="15">
        <v>10434</v>
      </c>
      <c r="B212" s="14" t="s">
        <v>489</v>
      </c>
      <c r="C212" s="14" t="s">
        <v>450</v>
      </c>
      <c r="D212" s="58"/>
      <c r="E212" s="58"/>
    </row>
    <row r="213" spans="1:5" ht="30.75" thickBot="1" x14ac:dyDescent="0.3">
      <c r="A213" s="15">
        <v>10435</v>
      </c>
      <c r="B213" s="14" t="s">
        <v>490</v>
      </c>
      <c r="C213" s="14" t="s">
        <v>450</v>
      </c>
      <c r="D213" s="58"/>
      <c r="E213" s="58"/>
    </row>
    <row r="214" spans="1:5" ht="30.75" thickBot="1" x14ac:dyDescent="0.3">
      <c r="A214" s="15">
        <v>10436</v>
      </c>
      <c r="B214" s="14" t="s">
        <v>491</v>
      </c>
      <c r="C214" s="14" t="s">
        <v>450</v>
      </c>
      <c r="D214" s="58"/>
      <c r="E214" s="58"/>
    </row>
    <row r="215" spans="1:5" ht="15.75" thickBot="1" x14ac:dyDescent="0.3">
      <c r="A215" s="15">
        <v>10437</v>
      </c>
      <c r="B215" s="14" t="s">
        <v>492</v>
      </c>
      <c r="C215" s="14" t="s">
        <v>450</v>
      </c>
      <c r="D215" s="58"/>
      <c r="E215" s="58"/>
    </row>
    <row r="216" spans="1:5" ht="15.75" thickBot="1" x14ac:dyDescent="0.3">
      <c r="A216" s="15">
        <v>10501</v>
      </c>
      <c r="B216" s="14" t="s">
        <v>493</v>
      </c>
      <c r="C216" s="14" t="s">
        <v>450</v>
      </c>
      <c r="D216" s="58"/>
      <c r="E216" s="58"/>
    </row>
    <row r="217" spans="1:5" ht="15.75" thickBot="1" x14ac:dyDescent="0.3">
      <c r="A217" s="15">
        <v>10502</v>
      </c>
      <c r="B217" s="14" t="s">
        <v>494</v>
      </c>
      <c r="C217" s="14" t="s">
        <v>450</v>
      </c>
      <c r="D217" s="58"/>
      <c r="E217" s="58"/>
    </row>
    <row r="218" spans="1:5" ht="15.75" thickBot="1" x14ac:dyDescent="0.3">
      <c r="A218" s="15">
        <v>10503</v>
      </c>
      <c r="B218" s="14" t="s">
        <v>495</v>
      </c>
      <c r="C218" s="14" t="s">
        <v>450</v>
      </c>
      <c r="D218" s="58"/>
      <c r="E218" s="58"/>
    </row>
    <row r="219" spans="1:5" ht="30.75" thickBot="1" x14ac:dyDescent="0.3">
      <c r="A219" s="15">
        <v>10504</v>
      </c>
      <c r="B219" s="14" t="s">
        <v>496</v>
      </c>
      <c r="C219" s="14" t="s">
        <v>450</v>
      </c>
      <c r="D219" s="58"/>
      <c r="E219" s="58"/>
    </row>
    <row r="220" spans="1:5" ht="15.75" thickBot="1" x14ac:dyDescent="0.3">
      <c r="A220" s="15">
        <v>10509</v>
      </c>
      <c r="B220" s="14" t="s">
        <v>497</v>
      </c>
      <c r="C220" s="14" t="s">
        <v>450</v>
      </c>
      <c r="D220" s="58"/>
      <c r="E220" s="58"/>
    </row>
    <row r="221" spans="1:5" ht="30.75" thickBot="1" x14ac:dyDescent="0.3">
      <c r="A221" s="15">
        <v>10611</v>
      </c>
      <c r="B221" s="14" t="s">
        <v>498</v>
      </c>
      <c r="C221" s="14" t="s">
        <v>450</v>
      </c>
      <c r="D221" s="58"/>
      <c r="E221" s="58"/>
    </row>
    <row r="222" spans="1:5" ht="15.75" thickBot="1" x14ac:dyDescent="0.3">
      <c r="A222" s="15">
        <v>10612</v>
      </c>
      <c r="B222" s="14" t="s">
        <v>499</v>
      </c>
      <c r="C222" s="14" t="s">
        <v>450</v>
      </c>
      <c r="D222" s="58"/>
      <c r="E222" s="58"/>
    </row>
    <row r="223" spans="1:5" ht="30.75" thickBot="1" x14ac:dyDescent="0.3">
      <c r="A223" s="15">
        <v>10613</v>
      </c>
      <c r="B223" s="14" t="s">
        <v>500</v>
      </c>
      <c r="C223" s="14" t="s">
        <v>450</v>
      </c>
      <c r="D223" s="58"/>
      <c r="E223" s="58"/>
    </row>
    <row r="224" spans="1:5" ht="15.75" thickBot="1" x14ac:dyDescent="0.3">
      <c r="A224" s="15">
        <v>10614</v>
      </c>
      <c r="B224" s="14" t="s">
        <v>501</v>
      </c>
      <c r="C224" s="14" t="s">
        <v>450</v>
      </c>
      <c r="D224" s="58"/>
      <c r="E224" s="58"/>
    </row>
    <row r="225" spans="1:5" ht="15.75" thickBot="1" x14ac:dyDescent="0.3">
      <c r="A225" s="15">
        <v>10615</v>
      </c>
      <c r="B225" s="14" t="s">
        <v>502</v>
      </c>
      <c r="C225" s="14" t="s">
        <v>450</v>
      </c>
      <c r="D225" s="58"/>
      <c r="E225" s="58"/>
    </row>
    <row r="226" spans="1:5" ht="15.75" thickBot="1" x14ac:dyDescent="0.3">
      <c r="A226" s="15">
        <v>10616</v>
      </c>
      <c r="B226" s="14" t="s">
        <v>503</v>
      </c>
      <c r="C226" s="14" t="s">
        <v>450</v>
      </c>
      <c r="D226" s="58"/>
      <c r="E226" s="58"/>
    </row>
    <row r="227" spans="1:5" ht="15.75" thickBot="1" x14ac:dyDescent="0.3">
      <c r="A227" s="15">
        <v>10621</v>
      </c>
      <c r="B227" s="14" t="s">
        <v>504</v>
      </c>
      <c r="C227" s="14" t="s">
        <v>450</v>
      </c>
      <c r="D227" s="58"/>
      <c r="E227" s="58"/>
    </row>
    <row r="228" spans="1:5" ht="15.75" thickBot="1" x14ac:dyDescent="0.3">
      <c r="A228" s="15">
        <v>10622</v>
      </c>
      <c r="B228" s="14" t="s">
        <v>505</v>
      </c>
      <c r="C228" s="14" t="s">
        <v>450</v>
      </c>
      <c r="D228" s="58"/>
      <c r="E228" s="58"/>
    </row>
    <row r="229" spans="1:5" ht="15.75" thickBot="1" x14ac:dyDescent="0.3">
      <c r="A229" s="15">
        <v>10623</v>
      </c>
      <c r="B229" s="14" t="s">
        <v>506</v>
      </c>
      <c r="C229" s="14" t="s">
        <v>450</v>
      </c>
      <c r="D229" s="58"/>
      <c r="E229" s="58"/>
    </row>
    <row r="230" spans="1:5" ht="15.75" thickBot="1" x14ac:dyDescent="0.3">
      <c r="A230" s="15">
        <v>10629</v>
      </c>
      <c r="B230" s="14" t="s">
        <v>507</v>
      </c>
      <c r="C230" s="14" t="s">
        <v>450</v>
      </c>
      <c r="D230" s="58"/>
      <c r="E230" s="58"/>
    </row>
    <row r="231" spans="1:5" ht="30.75" thickBot="1" x14ac:dyDescent="0.3">
      <c r="A231" s="15">
        <v>10631</v>
      </c>
      <c r="B231" s="14" t="s">
        <v>508</v>
      </c>
      <c r="C231" s="14" t="s">
        <v>450</v>
      </c>
      <c r="D231" s="58"/>
      <c r="E231" s="58"/>
    </row>
    <row r="232" spans="1:5" ht="15.75" thickBot="1" x14ac:dyDescent="0.3">
      <c r="A232" s="15">
        <v>10632</v>
      </c>
      <c r="B232" s="14" t="s">
        <v>509</v>
      </c>
      <c r="C232" s="14" t="s">
        <v>450</v>
      </c>
      <c r="D232" s="58"/>
      <c r="E232" s="58"/>
    </row>
    <row r="233" spans="1:5" ht="15.75" thickBot="1" x14ac:dyDescent="0.3">
      <c r="A233" s="15">
        <v>10633</v>
      </c>
      <c r="B233" s="14" t="s">
        <v>510</v>
      </c>
      <c r="C233" s="14" t="s">
        <v>450</v>
      </c>
      <c r="D233" s="58"/>
      <c r="E233" s="58"/>
    </row>
    <row r="234" spans="1:5" ht="15.75" thickBot="1" x14ac:dyDescent="0.3">
      <c r="A234" s="15">
        <v>10634</v>
      </c>
      <c r="B234" s="14" t="s">
        <v>511</v>
      </c>
      <c r="C234" s="14" t="s">
        <v>450</v>
      </c>
      <c r="D234" s="58"/>
      <c r="E234" s="58"/>
    </row>
    <row r="235" spans="1:5" ht="15.75" thickBot="1" x14ac:dyDescent="0.3">
      <c r="A235" s="15">
        <v>10635</v>
      </c>
      <c r="B235" s="14" t="s">
        <v>512</v>
      </c>
      <c r="C235" s="14" t="s">
        <v>450</v>
      </c>
      <c r="D235" s="58"/>
      <c r="E235" s="58"/>
    </row>
    <row r="236" spans="1:5" ht="15.75" thickBot="1" x14ac:dyDescent="0.3">
      <c r="A236" s="15">
        <v>10636</v>
      </c>
      <c r="B236" s="14" t="s">
        <v>513</v>
      </c>
      <c r="C236" s="14" t="s">
        <v>450</v>
      </c>
      <c r="D236" s="58"/>
      <c r="E236" s="58"/>
    </row>
    <row r="237" spans="1:5" ht="15.75" thickBot="1" x14ac:dyDescent="0.3">
      <c r="A237" s="15">
        <v>10710</v>
      </c>
      <c r="B237" s="14" t="s">
        <v>514</v>
      </c>
      <c r="C237" s="14" t="s">
        <v>450</v>
      </c>
      <c r="D237" s="58"/>
      <c r="E237" s="58"/>
    </row>
    <row r="238" spans="1:5" ht="15.75" thickBot="1" x14ac:dyDescent="0.3">
      <c r="A238" s="15">
        <v>10721</v>
      </c>
      <c r="B238" s="14" t="s">
        <v>515</v>
      </c>
      <c r="C238" s="14" t="s">
        <v>450</v>
      </c>
      <c r="D238" s="58"/>
      <c r="E238" s="58"/>
    </row>
    <row r="239" spans="1:5" ht="15.75" thickBot="1" x14ac:dyDescent="0.3">
      <c r="A239" s="15">
        <v>10722</v>
      </c>
      <c r="B239" s="14" t="s">
        <v>516</v>
      </c>
      <c r="C239" s="14" t="s">
        <v>450</v>
      </c>
      <c r="D239" s="58"/>
      <c r="E239" s="58"/>
    </row>
    <row r="240" spans="1:5" ht="15.75" thickBot="1" x14ac:dyDescent="0.3">
      <c r="A240" s="15">
        <v>10723</v>
      </c>
      <c r="B240" s="14" t="s">
        <v>517</v>
      </c>
      <c r="C240" s="14" t="s">
        <v>450</v>
      </c>
      <c r="D240" s="58"/>
      <c r="E240" s="58"/>
    </row>
    <row r="241" spans="1:5" ht="15.75" thickBot="1" x14ac:dyDescent="0.3">
      <c r="A241" s="15">
        <v>10729</v>
      </c>
      <c r="B241" s="14" t="s">
        <v>518</v>
      </c>
      <c r="C241" s="14" t="s">
        <v>450</v>
      </c>
      <c r="D241" s="58"/>
      <c r="E241" s="58"/>
    </row>
    <row r="242" spans="1:5" ht="15.75" thickBot="1" x14ac:dyDescent="0.3">
      <c r="A242" s="15">
        <v>10731</v>
      </c>
      <c r="B242" s="14" t="s">
        <v>519</v>
      </c>
      <c r="C242" s="14" t="s">
        <v>450</v>
      </c>
      <c r="D242" s="58"/>
      <c r="E242" s="58"/>
    </row>
    <row r="243" spans="1:5" ht="30.75" thickBot="1" x14ac:dyDescent="0.3">
      <c r="A243" s="15">
        <v>10732</v>
      </c>
      <c r="B243" s="14" t="s">
        <v>520</v>
      </c>
      <c r="C243" s="14" t="s">
        <v>450</v>
      </c>
      <c r="D243" s="58"/>
      <c r="E243" s="58"/>
    </row>
    <row r="244" spans="1:5" ht="30.75" thickBot="1" x14ac:dyDescent="0.3">
      <c r="A244" s="15">
        <v>10733</v>
      </c>
      <c r="B244" s="14" t="s">
        <v>521</v>
      </c>
      <c r="C244" s="14" t="s">
        <v>450</v>
      </c>
      <c r="D244" s="58"/>
      <c r="E244" s="58"/>
    </row>
    <row r="245" spans="1:5" ht="15.75" thickBot="1" x14ac:dyDescent="0.3">
      <c r="A245" s="15">
        <v>10739</v>
      </c>
      <c r="B245" s="14" t="s">
        <v>522</v>
      </c>
      <c r="C245" s="14" t="s">
        <v>450</v>
      </c>
      <c r="D245" s="58"/>
      <c r="E245" s="58"/>
    </row>
    <row r="246" spans="1:5" ht="30.75" thickBot="1" x14ac:dyDescent="0.3">
      <c r="A246" s="15">
        <v>10740</v>
      </c>
      <c r="B246" s="14" t="s">
        <v>523</v>
      </c>
      <c r="C246" s="14" t="s">
        <v>450</v>
      </c>
      <c r="D246" s="58"/>
      <c r="E246" s="58"/>
    </row>
    <row r="247" spans="1:5" ht="15.75" thickBot="1" x14ac:dyDescent="0.3">
      <c r="A247" s="15">
        <v>10750</v>
      </c>
      <c r="B247" s="14" t="s">
        <v>524</v>
      </c>
      <c r="C247" s="14" t="s">
        <v>450</v>
      </c>
      <c r="D247" s="58"/>
      <c r="E247" s="58"/>
    </row>
    <row r="248" spans="1:5" ht="15.75" thickBot="1" x14ac:dyDescent="0.3">
      <c r="A248" s="15">
        <v>10761</v>
      </c>
      <c r="B248" s="14" t="s">
        <v>525</v>
      </c>
      <c r="C248" s="14" t="s">
        <v>450</v>
      </c>
      <c r="D248" s="58"/>
      <c r="E248" s="58"/>
    </row>
    <row r="249" spans="1:5" ht="15.75" thickBot="1" x14ac:dyDescent="0.3">
      <c r="A249" s="15">
        <v>10762</v>
      </c>
      <c r="B249" s="14" t="s">
        <v>526</v>
      </c>
      <c r="C249" s="14" t="s">
        <v>450</v>
      </c>
      <c r="D249" s="58"/>
      <c r="E249" s="58"/>
    </row>
    <row r="250" spans="1:5" ht="15.75" thickBot="1" x14ac:dyDescent="0.3">
      <c r="A250" s="15">
        <v>10771</v>
      </c>
      <c r="B250" s="14" t="s">
        <v>527</v>
      </c>
      <c r="C250" s="14" t="s">
        <v>450</v>
      </c>
      <c r="D250" s="58"/>
      <c r="E250" s="58"/>
    </row>
    <row r="251" spans="1:5" ht="15.75" thickBot="1" x14ac:dyDescent="0.3">
      <c r="A251" s="15">
        <v>10772</v>
      </c>
      <c r="B251" s="14" t="s">
        <v>528</v>
      </c>
      <c r="C251" s="14" t="s">
        <v>450</v>
      </c>
      <c r="D251" s="58"/>
      <c r="E251" s="58"/>
    </row>
    <row r="252" spans="1:5" ht="15.75" thickBot="1" x14ac:dyDescent="0.3">
      <c r="A252" s="15">
        <v>10773</v>
      </c>
      <c r="B252" s="14" t="s">
        <v>529</v>
      </c>
      <c r="C252" s="14" t="s">
        <v>450</v>
      </c>
      <c r="D252" s="58"/>
      <c r="E252" s="58"/>
    </row>
    <row r="253" spans="1:5" ht="15.75" thickBot="1" x14ac:dyDescent="0.3">
      <c r="A253" s="15">
        <v>10779</v>
      </c>
      <c r="B253" s="14" t="s">
        <v>530</v>
      </c>
      <c r="C253" s="14" t="s">
        <v>450</v>
      </c>
      <c r="D253" s="58"/>
      <c r="E253" s="58"/>
    </row>
    <row r="254" spans="1:5" ht="15.75" thickBot="1" x14ac:dyDescent="0.3">
      <c r="A254" s="15">
        <v>10791</v>
      </c>
      <c r="B254" s="14" t="s">
        <v>531</v>
      </c>
      <c r="C254" s="14" t="s">
        <v>450</v>
      </c>
      <c r="D254" s="58"/>
      <c r="E254" s="58"/>
    </row>
    <row r="255" spans="1:5" ht="15.75" thickBot="1" x14ac:dyDescent="0.3">
      <c r="A255" s="15">
        <v>10792</v>
      </c>
      <c r="B255" s="14" t="s">
        <v>532</v>
      </c>
      <c r="C255" s="14" t="s">
        <v>450</v>
      </c>
      <c r="D255" s="58"/>
      <c r="E255" s="58"/>
    </row>
    <row r="256" spans="1:5" ht="15.75" thickBot="1" x14ac:dyDescent="0.3">
      <c r="A256" s="15">
        <v>10793</v>
      </c>
      <c r="B256" s="14" t="s">
        <v>533</v>
      </c>
      <c r="C256" s="14" t="s">
        <v>450</v>
      </c>
      <c r="D256" s="58"/>
      <c r="E256" s="58"/>
    </row>
    <row r="257" spans="1:5" ht="15.75" thickBot="1" x14ac:dyDescent="0.3">
      <c r="A257" s="15">
        <v>10794</v>
      </c>
      <c r="B257" s="14" t="s">
        <v>534</v>
      </c>
      <c r="C257" s="14" t="s">
        <v>450</v>
      </c>
      <c r="D257" s="58"/>
      <c r="E257" s="58"/>
    </row>
    <row r="258" spans="1:5" ht="15.75" thickBot="1" x14ac:dyDescent="0.3">
      <c r="A258" s="15">
        <v>10795</v>
      </c>
      <c r="B258" s="14" t="s">
        <v>535</v>
      </c>
      <c r="C258" s="14" t="s">
        <v>450</v>
      </c>
      <c r="D258" s="58"/>
      <c r="E258" s="58"/>
    </row>
    <row r="259" spans="1:5" ht="15.75" thickBot="1" x14ac:dyDescent="0.3">
      <c r="A259" s="15">
        <v>10796</v>
      </c>
      <c r="B259" s="14" t="s">
        <v>536</v>
      </c>
      <c r="C259" s="14" t="s">
        <v>450</v>
      </c>
      <c r="D259" s="58"/>
      <c r="E259" s="58"/>
    </row>
    <row r="260" spans="1:5" ht="15.75" thickBot="1" x14ac:dyDescent="0.3">
      <c r="A260" s="15">
        <v>10797</v>
      </c>
      <c r="B260" s="14" t="s">
        <v>537</v>
      </c>
      <c r="C260" s="14" t="s">
        <v>450</v>
      </c>
      <c r="D260" s="58"/>
      <c r="E260" s="58"/>
    </row>
    <row r="261" spans="1:5" ht="15.75" thickBot="1" x14ac:dyDescent="0.3">
      <c r="A261" s="15">
        <v>10798</v>
      </c>
      <c r="B261" s="14" t="s">
        <v>538</v>
      </c>
      <c r="C261" s="14" t="s">
        <v>450</v>
      </c>
      <c r="D261" s="58"/>
      <c r="E261" s="58"/>
    </row>
    <row r="262" spans="1:5" ht="15.75" thickBot="1" x14ac:dyDescent="0.3">
      <c r="A262" s="15">
        <v>10799</v>
      </c>
      <c r="B262" s="14" t="s">
        <v>539</v>
      </c>
      <c r="C262" s="14" t="s">
        <v>450</v>
      </c>
      <c r="D262" s="58"/>
      <c r="E262" s="58"/>
    </row>
    <row r="263" spans="1:5" ht="15.75" thickBot="1" x14ac:dyDescent="0.3">
      <c r="A263" s="15">
        <v>10801</v>
      </c>
      <c r="B263" s="14" t="s">
        <v>540</v>
      </c>
      <c r="C263" s="14" t="s">
        <v>450</v>
      </c>
      <c r="D263" s="58"/>
      <c r="E263" s="58"/>
    </row>
    <row r="264" spans="1:5" ht="15.75" thickBot="1" x14ac:dyDescent="0.3">
      <c r="A264" s="15">
        <v>10802</v>
      </c>
      <c r="B264" s="14" t="s">
        <v>541</v>
      </c>
      <c r="C264" s="14" t="s">
        <v>450</v>
      </c>
      <c r="D264" s="58"/>
      <c r="E264" s="58"/>
    </row>
    <row r="265" spans="1:5" ht="30.75" thickBot="1" x14ac:dyDescent="0.3">
      <c r="A265" s="15">
        <v>11010</v>
      </c>
      <c r="B265" s="14" t="s">
        <v>542</v>
      </c>
      <c r="C265" s="14" t="s">
        <v>450</v>
      </c>
      <c r="D265" s="58"/>
      <c r="E265" s="58"/>
    </row>
    <row r="266" spans="1:5" ht="30.75" thickBot="1" x14ac:dyDescent="0.3">
      <c r="A266" s="15">
        <v>11020</v>
      </c>
      <c r="B266" s="14" t="s">
        <v>543</v>
      </c>
      <c r="C266" s="14" t="s">
        <v>450</v>
      </c>
      <c r="D266" s="58"/>
      <c r="E266" s="58"/>
    </row>
    <row r="267" spans="1:5" ht="30.75" thickBot="1" x14ac:dyDescent="0.3">
      <c r="A267" s="15">
        <v>11030</v>
      </c>
      <c r="B267" s="14" t="s">
        <v>544</v>
      </c>
      <c r="C267" s="14" t="s">
        <v>450</v>
      </c>
      <c r="D267" s="58"/>
      <c r="E267" s="58"/>
    </row>
    <row r="268" spans="1:5" ht="15.75" thickBot="1" x14ac:dyDescent="0.3">
      <c r="A268" s="15">
        <v>11040</v>
      </c>
      <c r="B268" s="14" t="s">
        <v>545</v>
      </c>
      <c r="C268" s="14" t="s">
        <v>450</v>
      </c>
      <c r="D268" s="58"/>
      <c r="E268" s="58"/>
    </row>
    <row r="269" spans="1:5" ht="15.75" thickBot="1" x14ac:dyDescent="0.3">
      <c r="A269" s="15">
        <v>11051</v>
      </c>
      <c r="B269" s="14" t="s">
        <v>546</v>
      </c>
      <c r="C269" s="14" t="s">
        <v>450</v>
      </c>
      <c r="D269" s="58"/>
      <c r="E269" s="58"/>
    </row>
    <row r="270" spans="1:5" ht="15.75" thickBot="1" x14ac:dyDescent="0.3">
      <c r="A270" s="15">
        <v>11052</v>
      </c>
      <c r="B270" s="14" t="s">
        <v>547</v>
      </c>
      <c r="C270" s="14" t="s">
        <v>450</v>
      </c>
      <c r="D270" s="58"/>
      <c r="E270" s="58"/>
    </row>
    <row r="271" spans="1:5" ht="15.75" thickBot="1" x14ac:dyDescent="0.3">
      <c r="A271" s="15">
        <v>11053</v>
      </c>
      <c r="B271" s="14" t="s">
        <v>548</v>
      </c>
      <c r="C271" s="14" t="s">
        <v>450</v>
      </c>
      <c r="D271" s="58"/>
      <c r="E271" s="58"/>
    </row>
    <row r="272" spans="1:5" ht="15.75" thickBot="1" x14ac:dyDescent="0.3">
      <c r="A272" s="15">
        <v>11059</v>
      </c>
      <c r="B272" s="14" t="s">
        <v>549</v>
      </c>
      <c r="C272" s="14" t="s">
        <v>450</v>
      </c>
      <c r="D272" s="58"/>
      <c r="E272" s="58"/>
    </row>
    <row r="273" spans="1:5" ht="15.75" thickBot="1" x14ac:dyDescent="0.3">
      <c r="A273" s="15">
        <v>12001</v>
      </c>
      <c r="B273" s="14" t="s">
        <v>550</v>
      </c>
      <c r="C273" s="14" t="s">
        <v>450</v>
      </c>
      <c r="D273" s="58"/>
      <c r="E273" s="58"/>
    </row>
    <row r="274" spans="1:5" ht="15.75" thickBot="1" x14ac:dyDescent="0.3">
      <c r="A274" s="15">
        <v>12002</v>
      </c>
      <c r="B274" s="14" t="s">
        <v>551</v>
      </c>
      <c r="C274" s="14" t="s">
        <v>450</v>
      </c>
      <c r="D274" s="58"/>
      <c r="E274" s="58"/>
    </row>
    <row r="275" spans="1:5" ht="15.75" thickBot="1" x14ac:dyDescent="0.3">
      <c r="A275" s="15">
        <v>12003</v>
      </c>
      <c r="B275" s="14" t="s">
        <v>552</v>
      </c>
      <c r="C275" s="14" t="s">
        <v>450</v>
      </c>
      <c r="D275" s="58"/>
      <c r="E275" s="58"/>
    </row>
    <row r="276" spans="1:5" ht="30.75" thickBot="1" x14ac:dyDescent="0.3">
      <c r="A276" s="15">
        <v>12004</v>
      </c>
      <c r="B276" s="14" t="s">
        <v>553</v>
      </c>
      <c r="C276" s="14" t="s">
        <v>450</v>
      </c>
      <c r="D276" s="58"/>
      <c r="E276" s="58"/>
    </row>
    <row r="277" spans="1:5" ht="15.75" thickBot="1" x14ac:dyDescent="0.3">
      <c r="A277" s="15">
        <v>12005</v>
      </c>
      <c r="B277" s="14" t="s">
        <v>554</v>
      </c>
      <c r="C277" s="14" t="s">
        <v>450</v>
      </c>
      <c r="D277" s="58"/>
      <c r="E277" s="58"/>
    </row>
    <row r="278" spans="1:5" ht="15.75" thickBot="1" x14ac:dyDescent="0.3">
      <c r="A278" s="15">
        <v>12009</v>
      </c>
      <c r="B278" s="14" t="s">
        <v>555</v>
      </c>
      <c r="C278" s="14" t="s">
        <v>450</v>
      </c>
      <c r="D278" s="58"/>
      <c r="E278" s="58"/>
    </row>
    <row r="279" spans="1:5" ht="15.75" thickBot="1" x14ac:dyDescent="0.3">
      <c r="A279" s="15">
        <v>13111</v>
      </c>
      <c r="B279" s="14" t="s">
        <v>556</v>
      </c>
      <c r="C279" s="14" t="s">
        <v>450</v>
      </c>
      <c r="D279" s="58"/>
      <c r="E279" s="58"/>
    </row>
    <row r="280" spans="1:5" ht="15.75" thickBot="1" x14ac:dyDescent="0.3">
      <c r="A280" s="15">
        <v>13112</v>
      </c>
      <c r="B280" s="14" t="s">
        <v>557</v>
      </c>
      <c r="C280" s="14" t="s">
        <v>450</v>
      </c>
      <c r="D280" s="58"/>
      <c r="E280" s="58"/>
    </row>
    <row r="281" spans="1:5" ht="15.75" thickBot="1" x14ac:dyDescent="0.3">
      <c r="A281" s="15">
        <v>13113</v>
      </c>
      <c r="B281" s="14" t="s">
        <v>558</v>
      </c>
      <c r="C281" s="14" t="s">
        <v>450</v>
      </c>
      <c r="D281" s="58"/>
      <c r="E281" s="58"/>
    </row>
    <row r="282" spans="1:5" ht="15.75" thickBot="1" x14ac:dyDescent="0.3">
      <c r="A282" s="15">
        <v>13121</v>
      </c>
      <c r="B282" s="14" t="s">
        <v>559</v>
      </c>
      <c r="C282" s="14" t="s">
        <v>450</v>
      </c>
      <c r="D282" s="58"/>
      <c r="E282" s="58"/>
    </row>
    <row r="283" spans="1:5" ht="15.75" thickBot="1" x14ac:dyDescent="0.3">
      <c r="A283" s="15">
        <v>13122</v>
      </c>
      <c r="B283" s="14" t="s">
        <v>560</v>
      </c>
      <c r="C283" s="14" t="s">
        <v>450</v>
      </c>
      <c r="D283" s="58"/>
      <c r="E283" s="58"/>
    </row>
    <row r="284" spans="1:5" ht="15.75" thickBot="1" x14ac:dyDescent="0.3">
      <c r="A284" s="15">
        <v>13131</v>
      </c>
      <c r="B284" s="14" t="s">
        <v>561</v>
      </c>
      <c r="C284" s="14" t="s">
        <v>450</v>
      </c>
      <c r="D284" s="58"/>
      <c r="E284" s="58"/>
    </row>
    <row r="285" spans="1:5" ht="15.75" thickBot="1" x14ac:dyDescent="0.3">
      <c r="A285" s="15">
        <v>13132</v>
      </c>
      <c r="B285" s="14" t="s">
        <v>562</v>
      </c>
      <c r="C285" s="14" t="s">
        <v>450</v>
      </c>
      <c r="D285" s="58"/>
      <c r="E285" s="58"/>
    </row>
    <row r="286" spans="1:5" ht="15.75" thickBot="1" x14ac:dyDescent="0.3">
      <c r="A286" s="15">
        <v>13133</v>
      </c>
      <c r="B286" s="14" t="s">
        <v>563</v>
      </c>
      <c r="C286" s="14" t="s">
        <v>450</v>
      </c>
      <c r="D286" s="58"/>
      <c r="E286" s="58"/>
    </row>
    <row r="287" spans="1:5" ht="15.75" thickBot="1" x14ac:dyDescent="0.3">
      <c r="A287" s="15">
        <v>13139</v>
      </c>
      <c r="B287" s="14" t="s">
        <v>564</v>
      </c>
      <c r="C287" s="14" t="s">
        <v>450</v>
      </c>
      <c r="D287" s="58"/>
      <c r="E287" s="58"/>
    </row>
    <row r="288" spans="1:5" ht="15.75" thickBot="1" x14ac:dyDescent="0.3">
      <c r="A288" s="15">
        <v>13911</v>
      </c>
      <c r="B288" s="14" t="s">
        <v>565</v>
      </c>
      <c r="C288" s="14" t="s">
        <v>450</v>
      </c>
      <c r="D288" s="58"/>
      <c r="E288" s="58"/>
    </row>
    <row r="289" spans="1:5" ht="15.75" thickBot="1" x14ac:dyDescent="0.3">
      <c r="A289" s="15">
        <v>13912</v>
      </c>
      <c r="B289" s="14" t="s">
        <v>566</v>
      </c>
      <c r="C289" s="14" t="s">
        <v>450</v>
      </c>
      <c r="D289" s="58"/>
      <c r="E289" s="58"/>
    </row>
    <row r="290" spans="1:5" ht="15.75" thickBot="1" x14ac:dyDescent="0.3">
      <c r="A290" s="15">
        <v>13913</v>
      </c>
      <c r="B290" s="14" t="s">
        <v>567</v>
      </c>
      <c r="C290" s="14" t="s">
        <v>450</v>
      </c>
      <c r="D290" s="58"/>
      <c r="E290" s="58"/>
    </row>
    <row r="291" spans="1:5" ht="30.75" thickBot="1" x14ac:dyDescent="0.3">
      <c r="A291" s="15">
        <v>13921</v>
      </c>
      <c r="B291" s="14" t="s">
        <v>568</v>
      </c>
      <c r="C291" s="14" t="s">
        <v>450</v>
      </c>
      <c r="D291" s="58"/>
      <c r="E291" s="58"/>
    </row>
    <row r="292" spans="1:5" ht="15.75" thickBot="1" x14ac:dyDescent="0.3">
      <c r="A292" s="15">
        <v>13922</v>
      </c>
      <c r="B292" s="14" t="s">
        <v>569</v>
      </c>
      <c r="C292" s="14" t="s">
        <v>450</v>
      </c>
      <c r="D292" s="58"/>
      <c r="E292" s="58"/>
    </row>
    <row r="293" spans="1:5" ht="15.75" thickBot="1" x14ac:dyDescent="0.3">
      <c r="A293" s="15">
        <v>13923</v>
      </c>
      <c r="B293" s="14" t="s">
        <v>570</v>
      </c>
      <c r="C293" s="14" t="s">
        <v>450</v>
      </c>
      <c r="D293" s="58"/>
      <c r="E293" s="58"/>
    </row>
    <row r="294" spans="1:5" ht="15.75" thickBot="1" x14ac:dyDescent="0.3">
      <c r="A294" s="15">
        <v>13924</v>
      </c>
      <c r="B294" s="14" t="s">
        <v>571</v>
      </c>
      <c r="C294" s="14" t="s">
        <v>450</v>
      </c>
      <c r="D294" s="58"/>
      <c r="E294" s="58"/>
    </row>
    <row r="295" spans="1:5" ht="30.75" thickBot="1" x14ac:dyDescent="0.3">
      <c r="A295" s="15">
        <v>13929</v>
      </c>
      <c r="B295" s="14" t="s">
        <v>572</v>
      </c>
      <c r="C295" s="14" t="s">
        <v>450</v>
      </c>
      <c r="D295" s="58"/>
      <c r="E295" s="58"/>
    </row>
    <row r="296" spans="1:5" ht="15.75" thickBot="1" x14ac:dyDescent="0.3">
      <c r="A296" s="15">
        <v>13930</v>
      </c>
      <c r="B296" s="14" t="s">
        <v>573</v>
      </c>
      <c r="C296" s="14" t="s">
        <v>450</v>
      </c>
      <c r="D296" s="58"/>
      <c r="E296" s="58"/>
    </row>
    <row r="297" spans="1:5" ht="15.75" thickBot="1" x14ac:dyDescent="0.3">
      <c r="A297" s="15">
        <v>13941</v>
      </c>
      <c r="B297" s="14" t="s">
        <v>574</v>
      </c>
      <c r="C297" s="14" t="s">
        <v>450</v>
      </c>
      <c r="D297" s="58"/>
      <c r="E297" s="58"/>
    </row>
    <row r="298" spans="1:5" ht="15.75" thickBot="1" x14ac:dyDescent="0.3">
      <c r="A298" s="15">
        <v>13942</v>
      </c>
      <c r="B298" s="14" t="s">
        <v>575</v>
      </c>
      <c r="C298" s="14" t="s">
        <v>450</v>
      </c>
      <c r="D298" s="58"/>
      <c r="E298" s="58"/>
    </row>
    <row r="299" spans="1:5" ht="15.75" thickBot="1" x14ac:dyDescent="0.3">
      <c r="A299" s="15">
        <v>13991</v>
      </c>
      <c r="B299" s="14" t="s">
        <v>576</v>
      </c>
      <c r="C299" s="14" t="s">
        <v>450</v>
      </c>
      <c r="D299" s="58"/>
      <c r="E299" s="58"/>
    </row>
    <row r="300" spans="1:5" ht="15.75" thickBot="1" x14ac:dyDescent="0.3">
      <c r="A300" s="15">
        <v>13992</v>
      </c>
      <c r="B300" s="14" t="s">
        <v>577</v>
      </c>
      <c r="C300" s="14" t="s">
        <v>450</v>
      </c>
      <c r="D300" s="58"/>
      <c r="E300" s="58"/>
    </row>
    <row r="301" spans="1:5" ht="15.75" thickBot="1" x14ac:dyDescent="0.3">
      <c r="A301" s="15">
        <v>13993</v>
      </c>
      <c r="B301" s="14" t="s">
        <v>578</v>
      </c>
      <c r="C301" s="14" t="s">
        <v>450</v>
      </c>
      <c r="D301" s="58"/>
      <c r="E301" s="58"/>
    </row>
    <row r="302" spans="1:5" ht="15.75" thickBot="1" x14ac:dyDescent="0.3">
      <c r="A302" s="15">
        <v>13994</v>
      </c>
      <c r="B302" s="14" t="s">
        <v>579</v>
      </c>
      <c r="C302" s="14" t="s">
        <v>450</v>
      </c>
      <c r="D302" s="58"/>
      <c r="E302" s="58"/>
    </row>
    <row r="303" spans="1:5" ht="15.75" thickBot="1" x14ac:dyDescent="0.3">
      <c r="A303" s="15">
        <v>13995</v>
      </c>
      <c r="B303" s="14" t="s">
        <v>580</v>
      </c>
      <c r="C303" s="14" t="s">
        <v>450</v>
      </c>
      <c r="D303" s="58"/>
      <c r="E303" s="58"/>
    </row>
    <row r="304" spans="1:5" ht="15.75" thickBot="1" x14ac:dyDescent="0.3">
      <c r="A304" s="15">
        <v>13996</v>
      </c>
      <c r="B304" s="14" t="s">
        <v>581</v>
      </c>
      <c r="C304" s="14" t="s">
        <v>450</v>
      </c>
      <c r="D304" s="58"/>
      <c r="E304" s="58"/>
    </row>
    <row r="305" spans="1:5" ht="15.75" thickBot="1" x14ac:dyDescent="0.3">
      <c r="A305" s="15">
        <v>13999</v>
      </c>
      <c r="B305" s="14" t="s">
        <v>582</v>
      </c>
      <c r="C305" s="14" t="s">
        <v>450</v>
      </c>
      <c r="D305" s="58"/>
      <c r="E305" s="58"/>
    </row>
    <row r="306" spans="1:5" ht="15.75" thickBot="1" x14ac:dyDescent="0.3">
      <c r="A306" s="15">
        <v>14111</v>
      </c>
      <c r="B306" s="14" t="s">
        <v>583</v>
      </c>
      <c r="C306" s="14" t="s">
        <v>450</v>
      </c>
      <c r="D306" s="58"/>
      <c r="E306" s="58"/>
    </row>
    <row r="307" spans="1:5" ht="30.75" thickBot="1" x14ac:dyDescent="0.3">
      <c r="A307" s="15">
        <v>14112</v>
      </c>
      <c r="B307" s="14" t="s">
        <v>584</v>
      </c>
      <c r="C307" s="14" t="s">
        <v>450</v>
      </c>
      <c r="D307" s="58"/>
      <c r="E307" s="58"/>
    </row>
    <row r="308" spans="1:5" ht="30.75" thickBot="1" x14ac:dyDescent="0.3">
      <c r="A308" s="15">
        <v>14120</v>
      </c>
      <c r="B308" s="14" t="s">
        <v>585</v>
      </c>
      <c r="C308" s="14" t="s">
        <v>450</v>
      </c>
      <c r="D308" s="58"/>
      <c r="E308" s="58"/>
    </row>
    <row r="309" spans="1:5" ht="15.75" thickBot="1" x14ac:dyDescent="0.3">
      <c r="A309" s="15">
        <v>14131</v>
      </c>
      <c r="B309" s="14" t="s">
        <v>586</v>
      </c>
      <c r="C309" s="14" t="s">
        <v>450</v>
      </c>
      <c r="D309" s="58"/>
      <c r="E309" s="58"/>
    </row>
    <row r="310" spans="1:5" ht="30.75" thickBot="1" x14ac:dyDescent="0.3">
      <c r="A310" s="15">
        <v>14132</v>
      </c>
      <c r="B310" s="14" t="s">
        <v>587</v>
      </c>
      <c r="C310" s="14" t="s">
        <v>450</v>
      </c>
      <c r="D310" s="58"/>
      <c r="E310" s="58"/>
    </row>
    <row r="311" spans="1:5" ht="15.75" thickBot="1" x14ac:dyDescent="0.3">
      <c r="A311" s="15">
        <v>14200</v>
      </c>
      <c r="B311" s="14" t="s">
        <v>588</v>
      </c>
      <c r="C311" s="14" t="s">
        <v>450</v>
      </c>
      <c r="D311" s="58"/>
      <c r="E311" s="58"/>
    </row>
    <row r="312" spans="1:5" ht="30.75" thickBot="1" x14ac:dyDescent="0.3">
      <c r="A312" s="15">
        <v>14301</v>
      </c>
      <c r="B312" s="14" t="s">
        <v>589</v>
      </c>
      <c r="C312" s="14" t="s">
        <v>450</v>
      </c>
      <c r="D312" s="58"/>
      <c r="E312" s="58"/>
    </row>
    <row r="313" spans="1:5" ht="15.75" thickBot="1" x14ac:dyDescent="0.3">
      <c r="A313" s="15">
        <v>14302</v>
      </c>
      <c r="B313" s="14" t="s">
        <v>590</v>
      </c>
      <c r="C313" s="14" t="s">
        <v>450</v>
      </c>
      <c r="D313" s="58"/>
      <c r="E313" s="58"/>
    </row>
    <row r="314" spans="1:5" ht="15.75" thickBot="1" x14ac:dyDescent="0.3">
      <c r="A314" s="15">
        <v>15111</v>
      </c>
      <c r="B314" s="14" t="s">
        <v>591</v>
      </c>
      <c r="C314" s="14" t="s">
        <v>450</v>
      </c>
      <c r="D314" s="58"/>
      <c r="E314" s="58"/>
    </row>
    <row r="315" spans="1:5" ht="15.75" thickBot="1" x14ac:dyDescent="0.3">
      <c r="A315" s="15">
        <v>15112</v>
      </c>
      <c r="B315" s="14" t="s">
        <v>592</v>
      </c>
      <c r="C315" s="14" t="s">
        <v>450</v>
      </c>
      <c r="D315" s="58"/>
      <c r="E315" s="58"/>
    </row>
    <row r="316" spans="1:5" ht="15.75" thickBot="1" x14ac:dyDescent="0.3">
      <c r="A316" s="15">
        <v>15113</v>
      </c>
      <c r="B316" s="14" t="s">
        <v>593</v>
      </c>
      <c r="C316" s="14" t="s">
        <v>450</v>
      </c>
      <c r="D316" s="58"/>
      <c r="E316" s="58"/>
    </row>
    <row r="317" spans="1:5" ht="15.75" thickBot="1" x14ac:dyDescent="0.3">
      <c r="A317" s="15">
        <v>15114</v>
      </c>
      <c r="B317" s="14" t="s">
        <v>594</v>
      </c>
      <c r="C317" s="14" t="s">
        <v>450</v>
      </c>
      <c r="D317" s="58"/>
      <c r="E317" s="58"/>
    </row>
    <row r="318" spans="1:5" ht="15.75" thickBot="1" x14ac:dyDescent="0.3">
      <c r="A318" s="15">
        <v>15121</v>
      </c>
      <c r="B318" s="14" t="s">
        <v>595</v>
      </c>
      <c r="C318" s="14" t="s">
        <v>450</v>
      </c>
      <c r="D318" s="58"/>
      <c r="E318" s="58"/>
    </row>
    <row r="319" spans="1:5" ht="30.75" thickBot="1" x14ac:dyDescent="0.3">
      <c r="A319" s="15">
        <v>15122</v>
      </c>
      <c r="B319" s="14" t="s">
        <v>596</v>
      </c>
      <c r="C319" s="14" t="s">
        <v>450</v>
      </c>
      <c r="D319" s="58"/>
      <c r="E319" s="58"/>
    </row>
    <row r="320" spans="1:5" ht="30.75" thickBot="1" x14ac:dyDescent="0.3">
      <c r="A320" s="15">
        <v>15129</v>
      </c>
      <c r="B320" s="14" t="s">
        <v>597</v>
      </c>
      <c r="C320" s="14" t="s">
        <v>450</v>
      </c>
      <c r="D320" s="58"/>
      <c r="E320" s="58"/>
    </row>
    <row r="321" spans="1:5" ht="15.75" thickBot="1" x14ac:dyDescent="0.3">
      <c r="A321" s="15">
        <v>15201</v>
      </c>
      <c r="B321" s="14" t="s">
        <v>598</v>
      </c>
      <c r="C321" s="14" t="s">
        <v>450</v>
      </c>
      <c r="D321" s="58"/>
      <c r="E321" s="58"/>
    </row>
    <row r="322" spans="1:5" ht="15.75" thickBot="1" x14ac:dyDescent="0.3">
      <c r="A322" s="15">
        <v>15202</v>
      </c>
      <c r="B322" s="14" t="s">
        <v>599</v>
      </c>
      <c r="C322" s="14" t="s">
        <v>450</v>
      </c>
      <c r="D322" s="58"/>
      <c r="E322" s="58"/>
    </row>
    <row r="323" spans="1:5" ht="30.75" thickBot="1" x14ac:dyDescent="0.3">
      <c r="A323" s="15">
        <v>15203</v>
      </c>
      <c r="B323" s="14" t="s">
        <v>600</v>
      </c>
      <c r="C323" s="14" t="s">
        <v>450</v>
      </c>
      <c r="D323" s="58"/>
      <c r="E323" s="58"/>
    </row>
    <row r="324" spans="1:5" ht="15.75" thickBot="1" x14ac:dyDescent="0.3">
      <c r="A324" s="15">
        <v>15209</v>
      </c>
      <c r="B324" s="14" t="s">
        <v>601</v>
      </c>
      <c r="C324" s="14" t="s">
        <v>450</v>
      </c>
      <c r="D324" s="58"/>
      <c r="E324" s="58"/>
    </row>
    <row r="325" spans="1:5" ht="15.75" thickBot="1" x14ac:dyDescent="0.3">
      <c r="A325" s="15">
        <v>16101</v>
      </c>
      <c r="B325" s="14" t="s">
        <v>602</v>
      </c>
      <c r="C325" s="14" t="s">
        <v>450</v>
      </c>
      <c r="D325" s="58"/>
      <c r="E325" s="58"/>
    </row>
    <row r="326" spans="1:5" ht="15.75" thickBot="1" x14ac:dyDescent="0.3">
      <c r="A326" s="15">
        <v>16102</v>
      </c>
      <c r="B326" s="14" t="s">
        <v>603</v>
      </c>
      <c r="C326" s="14" t="s">
        <v>450</v>
      </c>
      <c r="D326" s="58"/>
      <c r="E326" s="58"/>
    </row>
    <row r="327" spans="1:5" ht="15.75" thickBot="1" x14ac:dyDescent="0.3">
      <c r="A327" s="15">
        <v>16103</v>
      </c>
      <c r="B327" s="14" t="s">
        <v>604</v>
      </c>
      <c r="C327" s="14" t="s">
        <v>450</v>
      </c>
      <c r="D327" s="58"/>
      <c r="E327" s="58"/>
    </row>
    <row r="328" spans="1:5" ht="15.75" thickBot="1" x14ac:dyDescent="0.3">
      <c r="A328" s="15">
        <v>16104</v>
      </c>
      <c r="B328" s="14" t="s">
        <v>605</v>
      </c>
      <c r="C328" s="14" t="s">
        <v>450</v>
      </c>
      <c r="D328" s="58"/>
      <c r="E328" s="58"/>
    </row>
    <row r="329" spans="1:5" ht="15.75" thickBot="1" x14ac:dyDescent="0.3">
      <c r="A329" s="15">
        <v>16105</v>
      </c>
      <c r="B329" s="14" t="s">
        <v>606</v>
      </c>
      <c r="C329" s="14" t="s">
        <v>450</v>
      </c>
      <c r="D329" s="58"/>
      <c r="E329" s="58"/>
    </row>
    <row r="330" spans="1:5" ht="15.75" thickBot="1" x14ac:dyDescent="0.3">
      <c r="A330" s="15">
        <v>16211</v>
      </c>
      <c r="B330" s="14" t="s">
        <v>607</v>
      </c>
      <c r="C330" s="14" t="s">
        <v>450</v>
      </c>
      <c r="D330" s="58"/>
      <c r="E330" s="58"/>
    </row>
    <row r="331" spans="1:5" ht="15.75" thickBot="1" x14ac:dyDescent="0.3">
      <c r="A331" s="15">
        <v>16212</v>
      </c>
      <c r="B331" s="14" t="s">
        <v>608</v>
      </c>
      <c r="C331" s="14" t="s">
        <v>450</v>
      </c>
      <c r="D331" s="58"/>
      <c r="E331" s="58"/>
    </row>
    <row r="332" spans="1:5" ht="15.75" thickBot="1" x14ac:dyDescent="0.3">
      <c r="A332" s="15">
        <v>16213</v>
      </c>
      <c r="B332" s="14" t="s">
        <v>609</v>
      </c>
      <c r="C332" s="14" t="s">
        <v>450</v>
      </c>
      <c r="D332" s="58"/>
      <c r="E332" s="58"/>
    </row>
    <row r="333" spans="1:5" ht="15.75" thickBot="1" x14ac:dyDescent="0.3">
      <c r="A333" s="15">
        <v>16219</v>
      </c>
      <c r="B333" s="14" t="s">
        <v>610</v>
      </c>
      <c r="C333" s="14" t="s">
        <v>450</v>
      </c>
      <c r="D333" s="58"/>
      <c r="E333" s="58"/>
    </row>
    <row r="334" spans="1:5" ht="15.75" thickBot="1" x14ac:dyDescent="0.3">
      <c r="A334" s="15">
        <v>16221</v>
      </c>
      <c r="B334" s="14" t="s">
        <v>611</v>
      </c>
      <c r="C334" s="14" t="s">
        <v>450</v>
      </c>
      <c r="D334" s="58"/>
      <c r="E334" s="58"/>
    </row>
    <row r="335" spans="1:5" ht="30.75" thickBot="1" x14ac:dyDescent="0.3">
      <c r="A335" s="15">
        <v>16222</v>
      </c>
      <c r="B335" s="14" t="s">
        <v>612</v>
      </c>
      <c r="C335" s="14" t="s">
        <v>450</v>
      </c>
      <c r="D335" s="58"/>
      <c r="E335" s="58"/>
    </row>
    <row r="336" spans="1:5" ht="15.75" thickBot="1" x14ac:dyDescent="0.3">
      <c r="A336" s="15">
        <v>16230</v>
      </c>
      <c r="B336" s="14" t="s">
        <v>613</v>
      </c>
      <c r="C336" s="14" t="s">
        <v>450</v>
      </c>
      <c r="D336" s="58"/>
      <c r="E336" s="58"/>
    </row>
    <row r="337" spans="1:5" ht="30.75" thickBot="1" x14ac:dyDescent="0.3">
      <c r="A337" s="15">
        <v>16291</v>
      </c>
      <c r="B337" s="14" t="s">
        <v>614</v>
      </c>
      <c r="C337" s="14" t="s">
        <v>450</v>
      </c>
      <c r="D337" s="58"/>
      <c r="E337" s="58"/>
    </row>
    <row r="338" spans="1:5" ht="30.75" thickBot="1" x14ac:dyDescent="0.3">
      <c r="A338" s="15">
        <v>16292</v>
      </c>
      <c r="B338" s="14" t="s">
        <v>615</v>
      </c>
      <c r="C338" s="14" t="s">
        <v>450</v>
      </c>
      <c r="D338" s="58"/>
      <c r="E338" s="58"/>
    </row>
    <row r="339" spans="1:5" ht="30.75" thickBot="1" x14ac:dyDescent="0.3">
      <c r="A339" s="15">
        <v>16293</v>
      </c>
      <c r="B339" s="14" t="s">
        <v>616</v>
      </c>
      <c r="C339" s="14" t="s">
        <v>450</v>
      </c>
      <c r="D339" s="58"/>
      <c r="E339" s="58"/>
    </row>
    <row r="340" spans="1:5" ht="30.75" thickBot="1" x14ac:dyDescent="0.3">
      <c r="A340" s="15">
        <v>16294</v>
      </c>
      <c r="B340" s="14" t="s">
        <v>617</v>
      </c>
      <c r="C340" s="14" t="s">
        <v>450</v>
      </c>
      <c r="D340" s="58"/>
      <c r="E340" s="58"/>
    </row>
    <row r="341" spans="1:5" ht="30.75" thickBot="1" x14ac:dyDescent="0.3">
      <c r="A341" s="15">
        <v>16295</v>
      </c>
      <c r="B341" s="14" t="s">
        <v>618</v>
      </c>
      <c r="C341" s="14" t="s">
        <v>450</v>
      </c>
      <c r="D341" s="58"/>
      <c r="E341" s="58"/>
    </row>
    <row r="342" spans="1:5" ht="30.75" thickBot="1" x14ac:dyDescent="0.3">
      <c r="A342" s="15">
        <v>16299</v>
      </c>
      <c r="B342" s="14" t="s">
        <v>619</v>
      </c>
      <c r="C342" s="14" t="s">
        <v>450</v>
      </c>
      <c r="D342" s="58"/>
      <c r="E342" s="58"/>
    </row>
    <row r="343" spans="1:5" ht="15.75" thickBot="1" x14ac:dyDescent="0.3">
      <c r="A343" s="15">
        <v>17011</v>
      </c>
      <c r="B343" s="14" t="s">
        <v>620</v>
      </c>
      <c r="C343" s="14" t="s">
        <v>450</v>
      </c>
      <c r="D343" s="58"/>
      <c r="E343" s="58"/>
    </row>
    <row r="344" spans="1:5" ht="15.75" thickBot="1" x14ac:dyDescent="0.3">
      <c r="A344" s="15">
        <v>17012</v>
      </c>
      <c r="B344" s="14" t="s">
        <v>621</v>
      </c>
      <c r="C344" s="14" t="s">
        <v>450</v>
      </c>
      <c r="D344" s="58"/>
      <c r="E344" s="58"/>
    </row>
    <row r="345" spans="1:5" ht="15.75" thickBot="1" x14ac:dyDescent="0.3">
      <c r="A345" s="15">
        <v>17013</v>
      </c>
      <c r="B345" s="14" t="s">
        <v>622</v>
      </c>
      <c r="C345" s="14" t="s">
        <v>450</v>
      </c>
      <c r="D345" s="58"/>
      <c r="E345" s="58"/>
    </row>
    <row r="346" spans="1:5" ht="15.75" thickBot="1" x14ac:dyDescent="0.3">
      <c r="A346" s="15">
        <v>17014</v>
      </c>
      <c r="B346" s="14" t="s">
        <v>623</v>
      </c>
      <c r="C346" s="14" t="s">
        <v>450</v>
      </c>
      <c r="D346" s="58"/>
      <c r="E346" s="58"/>
    </row>
    <row r="347" spans="1:5" ht="15.75" thickBot="1" x14ac:dyDescent="0.3">
      <c r="A347" s="15">
        <v>17019</v>
      </c>
      <c r="B347" s="14" t="s">
        <v>624</v>
      </c>
      <c r="C347" s="14" t="s">
        <v>450</v>
      </c>
      <c r="D347" s="58"/>
      <c r="E347" s="58"/>
    </row>
    <row r="348" spans="1:5" ht="30.75" thickBot="1" x14ac:dyDescent="0.3">
      <c r="A348" s="15">
        <v>17021</v>
      </c>
      <c r="B348" s="14" t="s">
        <v>625</v>
      </c>
      <c r="C348" s="14" t="s">
        <v>450</v>
      </c>
      <c r="D348" s="58"/>
      <c r="E348" s="58"/>
    </row>
    <row r="349" spans="1:5" ht="30.75" thickBot="1" x14ac:dyDescent="0.3">
      <c r="A349" s="15">
        <v>17022</v>
      </c>
      <c r="B349" s="14" t="s">
        <v>626</v>
      </c>
      <c r="C349" s="14" t="s">
        <v>450</v>
      </c>
      <c r="D349" s="58"/>
      <c r="E349" s="58"/>
    </row>
    <row r="350" spans="1:5" ht="15.75" thickBot="1" x14ac:dyDescent="0.3">
      <c r="A350" s="15">
        <v>17091</v>
      </c>
      <c r="B350" s="14" t="s">
        <v>627</v>
      </c>
      <c r="C350" s="14" t="s">
        <v>450</v>
      </c>
      <c r="D350" s="58"/>
      <c r="E350" s="58"/>
    </row>
    <row r="351" spans="1:5" ht="30.75" thickBot="1" x14ac:dyDescent="0.3">
      <c r="A351" s="15">
        <v>17099</v>
      </c>
      <c r="B351" s="14" t="s">
        <v>628</v>
      </c>
      <c r="C351" s="14" t="s">
        <v>450</v>
      </c>
      <c r="D351" s="58"/>
      <c r="E351" s="58"/>
    </row>
    <row r="352" spans="1:5" ht="15.75" thickBot="1" x14ac:dyDescent="0.3">
      <c r="A352" s="15">
        <v>18111</v>
      </c>
      <c r="B352" s="14" t="s">
        <v>629</v>
      </c>
      <c r="C352" s="14" t="s">
        <v>450</v>
      </c>
      <c r="D352" s="58"/>
      <c r="E352" s="58"/>
    </row>
    <row r="353" spans="1:5" ht="15.75" thickBot="1" x14ac:dyDescent="0.3">
      <c r="A353" s="15">
        <v>18112</v>
      </c>
      <c r="B353" s="14" t="s">
        <v>630</v>
      </c>
      <c r="C353" s="14" t="s">
        <v>450</v>
      </c>
      <c r="D353" s="58"/>
      <c r="E353" s="58"/>
    </row>
    <row r="354" spans="1:5" ht="15.75" thickBot="1" x14ac:dyDescent="0.3">
      <c r="A354" s="15">
        <v>18113</v>
      </c>
      <c r="B354" s="14" t="s">
        <v>631</v>
      </c>
      <c r="C354" s="14" t="s">
        <v>450</v>
      </c>
      <c r="D354" s="58"/>
      <c r="E354" s="58"/>
    </row>
    <row r="355" spans="1:5" ht="15.75" thickBot="1" x14ac:dyDescent="0.3">
      <c r="A355" s="15">
        <v>18120</v>
      </c>
      <c r="B355" s="14" t="s">
        <v>632</v>
      </c>
      <c r="C355" s="14" t="s">
        <v>450</v>
      </c>
      <c r="D355" s="58"/>
      <c r="E355" s="58"/>
    </row>
    <row r="356" spans="1:5" ht="30.75" thickBot="1" x14ac:dyDescent="0.3">
      <c r="A356" s="15">
        <v>18201</v>
      </c>
      <c r="B356" s="14" t="s">
        <v>633</v>
      </c>
      <c r="C356" s="14" t="s">
        <v>450</v>
      </c>
      <c r="D356" s="58"/>
      <c r="E356" s="58"/>
    </row>
    <row r="357" spans="1:5" ht="15.75" thickBot="1" x14ac:dyDescent="0.3">
      <c r="A357" s="15">
        <v>18202</v>
      </c>
      <c r="B357" s="14" t="s">
        <v>634</v>
      </c>
      <c r="C357" s="14" t="s">
        <v>450</v>
      </c>
      <c r="D357" s="58"/>
      <c r="E357" s="58"/>
    </row>
    <row r="358" spans="1:5" ht="15.75" thickBot="1" x14ac:dyDescent="0.3">
      <c r="A358" s="15">
        <v>19100</v>
      </c>
      <c r="B358" s="14" t="s">
        <v>635</v>
      </c>
      <c r="C358" s="14" t="s">
        <v>450</v>
      </c>
      <c r="D358" s="58"/>
      <c r="E358" s="58"/>
    </row>
    <row r="359" spans="1:5" ht="30.75" thickBot="1" x14ac:dyDescent="0.3">
      <c r="A359" s="15">
        <v>19201</v>
      </c>
      <c r="B359" s="14" t="s">
        <v>636</v>
      </c>
      <c r="C359" s="14" t="s">
        <v>450</v>
      </c>
      <c r="D359" s="58"/>
      <c r="E359" s="58"/>
    </row>
    <row r="360" spans="1:5" ht="15.75" thickBot="1" x14ac:dyDescent="0.3">
      <c r="A360" s="15">
        <v>19202</v>
      </c>
      <c r="B360" s="14" t="s">
        <v>637</v>
      </c>
      <c r="C360" s="14" t="s">
        <v>450</v>
      </c>
      <c r="D360" s="58"/>
      <c r="E360" s="58"/>
    </row>
    <row r="361" spans="1:5" ht="30.75" thickBot="1" x14ac:dyDescent="0.3">
      <c r="A361" s="15">
        <v>19203</v>
      </c>
      <c r="B361" s="14" t="s">
        <v>638</v>
      </c>
      <c r="C361" s="14" t="s">
        <v>450</v>
      </c>
      <c r="D361" s="58"/>
      <c r="E361" s="58"/>
    </row>
    <row r="362" spans="1:5" ht="30.75" thickBot="1" x14ac:dyDescent="0.3">
      <c r="A362" s="15">
        <v>19204</v>
      </c>
      <c r="B362" s="14" t="s">
        <v>639</v>
      </c>
      <c r="C362" s="14" t="s">
        <v>450</v>
      </c>
      <c r="D362" s="58"/>
      <c r="E362" s="58"/>
    </row>
    <row r="363" spans="1:5" ht="15.75" thickBot="1" x14ac:dyDescent="0.3">
      <c r="A363" s="15">
        <v>19205</v>
      </c>
      <c r="B363" s="14" t="s">
        <v>640</v>
      </c>
      <c r="C363" s="14" t="s">
        <v>450</v>
      </c>
      <c r="D363" s="58"/>
      <c r="E363" s="58"/>
    </row>
    <row r="364" spans="1:5" ht="30.75" thickBot="1" x14ac:dyDescent="0.3">
      <c r="A364" s="15">
        <v>19206</v>
      </c>
      <c r="B364" s="14" t="s">
        <v>641</v>
      </c>
      <c r="C364" s="14" t="s">
        <v>450</v>
      </c>
      <c r="D364" s="58"/>
      <c r="E364" s="58"/>
    </row>
    <row r="365" spans="1:5" ht="30.75" thickBot="1" x14ac:dyDescent="0.3">
      <c r="A365" s="15">
        <v>19209</v>
      </c>
      <c r="B365" s="14" t="s">
        <v>642</v>
      </c>
      <c r="C365" s="14" t="s">
        <v>450</v>
      </c>
      <c r="D365" s="58"/>
      <c r="E365" s="58"/>
    </row>
    <row r="366" spans="1:5" ht="15.75" thickBot="1" x14ac:dyDescent="0.3">
      <c r="A366" s="15">
        <v>20111</v>
      </c>
      <c r="B366" s="14" t="s">
        <v>643</v>
      </c>
      <c r="C366" s="14" t="s">
        <v>450</v>
      </c>
      <c r="D366" s="58"/>
      <c r="E366" s="58"/>
    </row>
    <row r="367" spans="1:5" ht="15.75" thickBot="1" x14ac:dyDescent="0.3">
      <c r="A367" s="15">
        <v>20112</v>
      </c>
      <c r="B367" s="14" t="s">
        <v>644</v>
      </c>
      <c r="C367" s="14" t="s">
        <v>450</v>
      </c>
      <c r="D367" s="58"/>
      <c r="E367" s="58"/>
    </row>
    <row r="368" spans="1:5" ht="15.75" thickBot="1" x14ac:dyDescent="0.3">
      <c r="A368" s="15">
        <v>20113</v>
      </c>
      <c r="B368" s="14" t="s">
        <v>645</v>
      </c>
      <c r="C368" s="14" t="s">
        <v>450</v>
      </c>
      <c r="D368" s="58"/>
      <c r="E368" s="58"/>
    </row>
    <row r="369" spans="1:5" ht="15.75" thickBot="1" x14ac:dyDescent="0.3">
      <c r="A369" s="15">
        <v>20114</v>
      </c>
      <c r="B369" s="14" t="s">
        <v>646</v>
      </c>
      <c r="C369" s="14" t="s">
        <v>450</v>
      </c>
      <c r="D369" s="58"/>
      <c r="E369" s="58"/>
    </row>
    <row r="370" spans="1:5" ht="30.75" thickBot="1" x14ac:dyDescent="0.3">
      <c r="A370" s="15">
        <v>20115</v>
      </c>
      <c r="B370" s="14" t="s">
        <v>647</v>
      </c>
      <c r="C370" s="14" t="s">
        <v>450</v>
      </c>
      <c r="D370" s="58"/>
      <c r="E370" s="58"/>
    </row>
    <row r="371" spans="1:5" ht="30.75" thickBot="1" x14ac:dyDescent="0.3">
      <c r="A371" s="15">
        <v>20116</v>
      </c>
      <c r="B371" s="14" t="s">
        <v>648</v>
      </c>
      <c r="C371" s="14" t="s">
        <v>450</v>
      </c>
      <c r="D371" s="58"/>
      <c r="E371" s="58"/>
    </row>
    <row r="372" spans="1:5" ht="15.75" thickBot="1" x14ac:dyDescent="0.3">
      <c r="A372" s="15">
        <v>20119</v>
      </c>
      <c r="B372" s="14" t="s">
        <v>649</v>
      </c>
      <c r="C372" s="14" t="s">
        <v>450</v>
      </c>
      <c r="D372" s="58"/>
      <c r="E372" s="58"/>
    </row>
    <row r="373" spans="1:5" ht="30.75" thickBot="1" x14ac:dyDescent="0.3">
      <c r="A373" s="15">
        <v>20121</v>
      </c>
      <c r="B373" s="14" t="s">
        <v>650</v>
      </c>
      <c r="C373" s="14" t="s">
        <v>450</v>
      </c>
      <c r="D373" s="58"/>
      <c r="E373" s="58"/>
    </row>
    <row r="374" spans="1:5" ht="15.75" thickBot="1" x14ac:dyDescent="0.3">
      <c r="A374" s="15">
        <v>20122</v>
      </c>
      <c r="B374" s="14" t="s">
        <v>651</v>
      </c>
      <c r="C374" s="14" t="s">
        <v>450</v>
      </c>
      <c r="D374" s="58"/>
      <c r="E374" s="58"/>
    </row>
    <row r="375" spans="1:5" ht="15.75" thickBot="1" x14ac:dyDescent="0.3">
      <c r="A375" s="15">
        <v>20123</v>
      </c>
      <c r="B375" s="14" t="s">
        <v>652</v>
      </c>
      <c r="C375" s="14" t="s">
        <v>450</v>
      </c>
      <c r="D375" s="58"/>
      <c r="E375" s="58"/>
    </row>
    <row r="376" spans="1:5" ht="30.75" thickBot="1" x14ac:dyDescent="0.3">
      <c r="A376" s="15">
        <v>20124</v>
      </c>
      <c r="B376" s="14" t="s">
        <v>653</v>
      </c>
      <c r="C376" s="14" t="s">
        <v>450</v>
      </c>
      <c r="D376" s="58"/>
      <c r="E376" s="58"/>
    </row>
    <row r="377" spans="1:5" ht="15.75" thickBot="1" x14ac:dyDescent="0.3">
      <c r="A377" s="15">
        <v>20125</v>
      </c>
      <c r="B377" s="14" t="s">
        <v>654</v>
      </c>
      <c r="C377" s="14" t="s">
        <v>450</v>
      </c>
      <c r="D377" s="58"/>
      <c r="E377" s="58"/>
    </row>
    <row r="378" spans="1:5" ht="30.75" thickBot="1" x14ac:dyDescent="0.3">
      <c r="A378" s="15">
        <v>20131</v>
      </c>
      <c r="B378" s="14" t="s">
        <v>655</v>
      </c>
      <c r="C378" s="14" t="s">
        <v>450</v>
      </c>
      <c r="D378" s="58"/>
      <c r="E378" s="58"/>
    </row>
    <row r="379" spans="1:5" ht="15.75" thickBot="1" x14ac:dyDescent="0.3">
      <c r="A379" s="15">
        <v>20132</v>
      </c>
      <c r="B379" s="14" t="s">
        <v>656</v>
      </c>
      <c r="C379" s="14" t="s">
        <v>450</v>
      </c>
      <c r="D379" s="58"/>
      <c r="E379" s="58"/>
    </row>
    <row r="380" spans="1:5" ht="30.75" thickBot="1" x14ac:dyDescent="0.3">
      <c r="A380" s="15">
        <v>20211</v>
      </c>
      <c r="B380" s="14" t="s">
        <v>657</v>
      </c>
      <c r="C380" s="14" t="s">
        <v>450</v>
      </c>
      <c r="D380" s="58"/>
      <c r="E380" s="58"/>
    </row>
    <row r="381" spans="1:5" ht="15.75" thickBot="1" x14ac:dyDescent="0.3">
      <c r="A381" s="15">
        <v>20212</v>
      </c>
      <c r="B381" s="14" t="s">
        <v>658</v>
      </c>
      <c r="C381" s="14" t="s">
        <v>450</v>
      </c>
      <c r="D381" s="58"/>
      <c r="E381" s="58"/>
    </row>
    <row r="382" spans="1:5" ht="15.75" thickBot="1" x14ac:dyDescent="0.3">
      <c r="A382" s="15">
        <v>20213</v>
      </c>
      <c r="B382" s="14" t="s">
        <v>659</v>
      </c>
      <c r="C382" s="14" t="s">
        <v>450</v>
      </c>
      <c r="D382" s="58"/>
      <c r="E382" s="58"/>
    </row>
    <row r="383" spans="1:5" ht="15.75" thickBot="1" x14ac:dyDescent="0.3">
      <c r="A383" s="15">
        <v>20221</v>
      </c>
      <c r="B383" s="14" t="s">
        <v>660</v>
      </c>
      <c r="C383" s="14" t="s">
        <v>450</v>
      </c>
      <c r="D383" s="58"/>
      <c r="E383" s="58"/>
    </row>
    <row r="384" spans="1:5" ht="15.75" thickBot="1" x14ac:dyDescent="0.3">
      <c r="A384" s="15">
        <v>20222</v>
      </c>
      <c r="B384" s="14" t="s">
        <v>661</v>
      </c>
      <c r="C384" s="14" t="s">
        <v>450</v>
      </c>
      <c r="D384" s="58"/>
      <c r="E384" s="58"/>
    </row>
    <row r="385" spans="1:5" ht="15.75" thickBot="1" x14ac:dyDescent="0.3">
      <c r="A385" s="15">
        <v>20223</v>
      </c>
      <c r="B385" s="14" t="s">
        <v>662</v>
      </c>
      <c r="C385" s="14" t="s">
        <v>450</v>
      </c>
      <c r="D385" s="58"/>
      <c r="E385" s="58"/>
    </row>
    <row r="386" spans="1:5" ht="15.75" thickBot="1" x14ac:dyDescent="0.3">
      <c r="A386" s="15">
        <v>20229</v>
      </c>
      <c r="B386" s="14" t="s">
        <v>663</v>
      </c>
      <c r="C386" s="14" t="s">
        <v>450</v>
      </c>
      <c r="D386" s="58"/>
      <c r="E386" s="58"/>
    </row>
    <row r="387" spans="1:5" ht="15.75" thickBot="1" x14ac:dyDescent="0.3">
      <c r="A387" s="15">
        <v>20231</v>
      </c>
      <c r="B387" s="14" t="s">
        <v>664</v>
      </c>
      <c r="C387" s="14" t="s">
        <v>450</v>
      </c>
      <c r="D387" s="58"/>
      <c r="E387" s="58"/>
    </row>
    <row r="388" spans="1:5" ht="30.75" thickBot="1" x14ac:dyDescent="0.3">
      <c r="A388" s="15">
        <v>20232</v>
      </c>
      <c r="B388" s="14" t="s">
        <v>665</v>
      </c>
      <c r="C388" s="14" t="s">
        <v>450</v>
      </c>
      <c r="D388" s="58"/>
      <c r="E388" s="58"/>
    </row>
    <row r="389" spans="1:5" ht="15.75" thickBot="1" x14ac:dyDescent="0.3">
      <c r="A389" s="15">
        <v>20233</v>
      </c>
      <c r="B389" s="14" t="s">
        <v>666</v>
      </c>
      <c r="C389" s="14" t="s">
        <v>450</v>
      </c>
      <c r="D389" s="58"/>
      <c r="E389" s="58"/>
    </row>
    <row r="390" spans="1:5" ht="15.75" thickBot="1" x14ac:dyDescent="0.3">
      <c r="A390" s="15">
        <v>20234</v>
      </c>
      <c r="B390" s="14" t="s">
        <v>667</v>
      </c>
      <c r="C390" s="14" t="s">
        <v>450</v>
      </c>
      <c r="D390" s="58"/>
      <c r="E390" s="58"/>
    </row>
    <row r="391" spans="1:5" ht="15.75" thickBot="1" x14ac:dyDescent="0.3">
      <c r="A391" s="15">
        <v>20235</v>
      </c>
      <c r="B391" s="14" t="s">
        <v>668</v>
      </c>
      <c r="C391" s="14" t="s">
        <v>450</v>
      </c>
      <c r="D391" s="58"/>
      <c r="E391" s="58"/>
    </row>
    <row r="392" spans="1:5" ht="15.75" thickBot="1" x14ac:dyDescent="0.3">
      <c r="A392" s="15">
        <v>20291</v>
      </c>
      <c r="B392" s="14" t="s">
        <v>669</v>
      </c>
      <c r="C392" s="14" t="s">
        <v>450</v>
      </c>
      <c r="D392" s="58"/>
      <c r="E392" s="58"/>
    </row>
    <row r="393" spans="1:5" ht="15.75" thickBot="1" x14ac:dyDescent="0.3">
      <c r="A393" s="15">
        <v>20292</v>
      </c>
      <c r="B393" s="14" t="s">
        <v>670</v>
      </c>
      <c r="C393" s="14" t="s">
        <v>450</v>
      </c>
      <c r="D393" s="58"/>
      <c r="E393" s="58"/>
    </row>
    <row r="394" spans="1:5" ht="15.75" thickBot="1" x14ac:dyDescent="0.3">
      <c r="A394" s="15">
        <v>20293</v>
      </c>
      <c r="B394" s="14" t="s">
        <v>671</v>
      </c>
      <c r="C394" s="14" t="s">
        <v>450</v>
      </c>
      <c r="D394" s="58"/>
      <c r="E394" s="58"/>
    </row>
    <row r="395" spans="1:5" ht="15.75" thickBot="1" x14ac:dyDescent="0.3">
      <c r="A395" s="15">
        <v>20294</v>
      </c>
      <c r="B395" s="14" t="s">
        <v>672</v>
      </c>
      <c r="C395" s="14" t="s">
        <v>450</v>
      </c>
      <c r="D395" s="58"/>
      <c r="E395" s="58"/>
    </row>
    <row r="396" spans="1:5" ht="15.75" thickBot="1" x14ac:dyDescent="0.3">
      <c r="A396" s="15">
        <v>20295</v>
      </c>
      <c r="B396" s="14" t="s">
        <v>673</v>
      </c>
      <c r="C396" s="14" t="s">
        <v>450</v>
      </c>
      <c r="D396" s="58"/>
      <c r="E396" s="58"/>
    </row>
    <row r="397" spans="1:5" ht="15.75" thickBot="1" x14ac:dyDescent="0.3">
      <c r="A397" s="15">
        <v>20296</v>
      </c>
      <c r="B397" s="14" t="s">
        <v>674</v>
      </c>
      <c r="C397" s="14" t="s">
        <v>450</v>
      </c>
      <c r="D397" s="58"/>
      <c r="E397" s="58"/>
    </row>
    <row r="398" spans="1:5" ht="26.25" thickBot="1" x14ac:dyDescent="0.3">
      <c r="A398" s="15">
        <v>20297</v>
      </c>
      <c r="B398" s="14" t="s">
        <v>675</v>
      </c>
      <c r="C398" s="14" t="s">
        <v>450</v>
      </c>
      <c r="D398" s="58"/>
      <c r="E398" s="88" t="s">
        <v>2091</v>
      </c>
    </row>
    <row r="399" spans="1:5" ht="15.75" thickBot="1" x14ac:dyDescent="0.3">
      <c r="A399" s="15">
        <v>20298</v>
      </c>
      <c r="B399" s="14" t="s">
        <v>676</v>
      </c>
      <c r="C399" s="14" t="s">
        <v>450</v>
      </c>
      <c r="D399" s="58"/>
      <c r="E399" s="58"/>
    </row>
    <row r="400" spans="1:5" ht="26.25" thickBot="1" x14ac:dyDescent="0.3">
      <c r="A400" s="15">
        <v>20299</v>
      </c>
      <c r="B400" s="14" t="s">
        <v>677</v>
      </c>
      <c r="C400" s="14" t="s">
        <v>450</v>
      </c>
      <c r="D400" s="58"/>
      <c r="E400" s="88" t="s">
        <v>2091</v>
      </c>
    </row>
    <row r="401" spans="1:5" ht="15.75" thickBot="1" x14ac:dyDescent="0.3">
      <c r="A401" s="15">
        <v>20301</v>
      </c>
      <c r="B401" s="14" t="s">
        <v>678</v>
      </c>
      <c r="C401" s="14" t="s">
        <v>450</v>
      </c>
      <c r="D401" s="58"/>
      <c r="E401" s="58"/>
    </row>
    <row r="402" spans="1:5" ht="15.75" thickBot="1" x14ac:dyDescent="0.3">
      <c r="A402" s="15">
        <v>20302</v>
      </c>
      <c r="B402" s="14" t="s">
        <v>679</v>
      </c>
      <c r="C402" s="14" t="s">
        <v>450</v>
      </c>
      <c r="D402" s="58"/>
      <c r="E402" s="58"/>
    </row>
    <row r="403" spans="1:5" ht="15.75" thickBot="1" x14ac:dyDescent="0.3">
      <c r="A403" s="15">
        <v>21011</v>
      </c>
      <c r="B403" s="14" t="s">
        <v>680</v>
      </c>
      <c r="C403" s="14" t="s">
        <v>450</v>
      </c>
      <c r="D403" s="58"/>
      <c r="E403" s="58"/>
    </row>
    <row r="404" spans="1:5" ht="15.75" thickBot="1" x14ac:dyDescent="0.3">
      <c r="A404" s="15">
        <v>21012</v>
      </c>
      <c r="B404" s="14" t="s">
        <v>681</v>
      </c>
      <c r="C404" s="14" t="s">
        <v>450</v>
      </c>
      <c r="D404" s="58"/>
      <c r="E404" s="58"/>
    </row>
    <row r="405" spans="1:5" ht="15.75" thickBot="1" x14ac:dyDescent="0.3">
      <c r="A405" s="15">
        <v>21013</v>
      </c>
      <c r="B405" s="14" t="s">
        <v>682</v>
      </c>
      <c r="C405" s="14" t="s">
        <v>450</v>
      </c>
      <c r="D405" s="58"/>
      <c r="E405" s="58"/>
    </row>
    <row r="406" spans="1:5" ht="15.75" thickBot="1" x14ac:dyDescent="0.3">
      <c r="A406" s="15">
        <v>21014</v>
      </c>
      <c r="B406" s="14" t="s">
        <v>683</v>
      </c>
      <c r="C406" s="14" t="s">
        <v>450</v>
      </c>
      <c r="D406" s="58"/>
      <c r="E406" s="58"/>
    </row>
    <row r="407" spans="1:5" ht="30.75" thickBot="1" x14ac:dyDescent="0.3">
      <c r="A407" s="15">
        <v>21015</v>
      </c>
      <c r="B407" s="14" t="s">
        <v>684</v>
      </c>
      <c r="C407" s="14" t="s">
        <v>450</v>
      </c>
      <c r="D407" s="58"/>
      <c r="E407" s="58"/>
    </row>
    <row r="408" spans="1:5" ht="30.75" thickBot="1" x14ac:dyDescent="0.3">
      <c r="A408" s="15">
        <v>21021</v>
      </c>
      <c r="B408" s="14" t="s">
        <v>685</v>
      </c>
      <c r="C408" s="14" t="s">
        <v>450</v>
      </c>
      <c r="D408" s="58"/>
      <c r="E408" s="58"/>
    </row>
    <row r="409" spans="1:5" ht="30.75" thickBot="1" x14ac:dyDescent="0.3">
      <c r="A409" s="15">
        <v>21022</v>
      </c>
      <c r="B409" s="14" t="s">
        <v>686</v>
      </c>
      <c r="C409" s="14" t="s">
        <v>450</v>
      </c>
      <c r="D409" s="58"/>
      <c r="E409" s="58"/>
    </row>
    <row r="410" spans="1:5" ht="15.75" thickBot="1" x14ac:dyDescent="0.3">
      <c r="A410" s="15">
        <v>21023</v>
      </c>
      <c r="B410" s="14" t="s">
        <v>687</v>
      </c>
      <c r="C410" s="14" t="s">
        <v>450</v>
      </c>
      <c r="D410" s="58"/>
      <c r="E410" s="58"/>
    </row>
    <row r="411" spans="1:5" ht="30.75" thickBot="1" x14ac:dyDescent="0.3">
      <c r="A411" s="15">
        <v>21024</v>
      </c>
      <c r="B411" s="14" t="s">
        <v>688</v>
      </c>
      <c r="C411" s="14" t="s">
        <v>450</v>
      </c>
      <c r="D411" s="58"/>
      <c r="E411" s="58"/>
    </row>
    <row r="412" spans="1:5" ht="15.75" thickBot="1" x14ac:dyDescent="0.3">
      <c r="A412" s="15">
        <v>22111</v>
      </c>
      <c r="B412" s="14" t="s">
        <v>689</v>
      </c>
      <c r="C412" s="14" t="s">
        <v>450</v>
      </c>
      <c r="D412" s="58"/>
      <c r="E412" s="58"/>
    </row>
    <row r="413" spans="1:5" ht="30.75" thickBot="1" x14ac:dyDescent="0.3">
      <c r="A413" s="15">
        <v>22112</v>
      </c>
      <c r="B413" s="14" t="s">
        <v>690</v>
      </c>
      <c r="C413" s="14" t="s">
        <v>450</v>
      </c>
      <c r="D413" s="58"/>
      <c r="E413" s="58"/>
    </row>
    <row r="414" spans="1:5" ht="15.75" thickBot="1" x14ac:dyDescent="0.3">
      <c r="A414" s="15">
        <v>22121</v>
      </c>
      <c r="B414" s="14" t="s">
        <v>691</v>
      </c>
      <c r="C414" s="14" t="s">
        <v>450</v>
      </c>
      <c r="D414" s="58"/>
      <c r="E414" s="58"/>
    </row>
    <row r="415" spans="1:5" ht="15.75" thickBot="1" x14ac:dyDescent="0.3">
      <c r="A415" s="15">
        <v>22122</v>
      </c>
      <c r="B415" s="14" t="s">
        <v>692</v>
      </c>
      <c r="C415" s="14" t="s">
        <v>450</v>
      </c>
      <c r="D415" s="58"/>
      <c r="E415" s="58"/>
    </row>
    <row r="416" spans="1:5" ht="15.75" thickBot="1" x14ac:dyDescent="0.3">
      <c r="A416" s="15">
        <v>22123</v>
      </c>
      <c r="B416" s="14" t="s">
        <v>693</v>
      </c>
      <c r="C416" s="14" t="s">
        <v>450</v>
      </c>
      <c r="D416" s="58"/>
      <c r="E416" s="58"/>
    </row>
    <row r="417" spans="1:5" ht="15.75" thickBot="1" x14ac:dyDescent="0.3">
      <c r="A417" s="15">
        <v>22129</v>
      </c>
      <c r="B417" s="14" t="s">
        <v>694</v>
      </c>
      <c r="C417" s="14" t="s">
        <v>450</v>
      </c>
      <c r="D417" s="58"/>
      <c r="E417" s="58"/>
    </row>
    <row r="418" spans="1:5" ht="30.75" thickBot="1" x14ac:dyDescent="0.3">
      <c r="A418" s="15">
        <v>22191</v>
      </c>
      <c r="B418" s="14" t="s">
        <v>695</v>
      </c>
      <c r="C418" s="14" t="s">
        <v>450</v>
      </c>
      <c r="D418" s="58"/>
      <c r="E418" s="58"/>
    </row>
    <row r="419" spans="1:5" ht="30.75" thickBot="1" x14ac:dyDescent="0.3">
      <c r="A419" s="15">
        <v>22192</v>
      </c>
      <c r="B419" s="14" t="s">
        <v>696</v>
      </c>
      <c r="C419" s="14" t="s">
        <v>450</v>
      </c>
      <c r="D419" s="58"/>
      <c r="E419" s="58"/>
    </row>
    <row r="420" spans="1:5" ht="30.75" thickBot="1" x14ac:dyDescent="0.3">
      <c r="A420" s="15">
        <v>22193</v>
      </c>
      <c r="B420" s="14" t="s">
        <v>697</v>
      </c>
      <c r="C420" s="14" t="s">
        <v>450</v>
      </c>
      <c r="D420" s="58"/>
      <c r="E420" s="58"/>
    </row>
    <row r="421" spans="1:5" ht="15.75" thickBot="1" x14ac:dyDescent="0.3">
      <c r="A421" s="15">
        <v>22194</v>
      </c>
      <c r="B421" s="14" t="s">
        <v>698</v>
      </c>
      <c r="C421" s="14" t="s">
        <v>450</v>
      </c>
      <c r="D421" s="58"/>
      <c r="E421" s="58"/>
    </row>
    <row r="422" spans="1:5" ht="15.75" thickBot="1" x14ac:dyDescent="0.3">
      <c r="A422" s="15">
        <v>22199</v>
      </c>
      <c r="B422" s="14" t="s">
        <v>699</v>
      </c>
      <c r="C422" s="14" t="s">
        <v>450</v>
      </c>
      <c r="D422" s="58"/>
      <c r="E422" s="58"/>
    </row>
    <row r="423" spans="1:5" ht="26.25" thickBot="1" x14ac:dyDescent="0.3">
      <c r="A423" s="15">
        <v>22201</v>
      </c>
      <c r="B423" s="14" t="s">
        <v>700</v>
      </c>
      <c r="C423" s="14" t="s">
        <v>450</v>
      </c>
      <c r="D423" s="58"/>
      <c r="E423" s="88" t="s">
        <v>2091</v>
      </c>
    </row>
    <row r="424" spans="1:5" ht="30.75" thickBot="1" x14ac:dyDescent="0.3">
      <c r="A424" s="15">
        <v>22202</v>
      </c>
      <c r="B424" s="14" t="s">
        <v>701</v>
      </c>
      <c r="C424" s="14" t="s">
        <v>450</v>
      </c>
      <c r="D424" s="58"/>
      <c r="E424" s="58"/>
    </row>
    <row r="425" spans="1:5" ht="15.75" thickBot="1" x14ac:dyDescent="0.3">
      <c r="A425" s="15">
        <v>22203</v>
      </c>
      <c r="B425" s="14" t="s">
        <v>702</v>
      </c>
      <c r="C425" s="14" t="s">
        <v>450</v>
      </c>
      <c r="D425" s="58"/>
      <c r="E425" s="58"/>
    </row>
    <row r="426" spans="1:5" ht="15.75" thickBot="1" x14ac:dyDescent="0.3">
      <c r="A426" s="15">
        <v>22204</v>
      </c>
      <c r="B426" s="14" t="s">
        <v>703</v>
      </c>
      <c r="C426" s="14" t="s">
        <v>450</v>
      </c>
      <c r="D426" s="58"/>
      <c r="E426" s="58"/>
    </row>
    <row r="427" spans="1:5" ht="30.75" thickBot="1" x14ac:dyDescent="0.3">
      <c r="A427" s="15">
        <v>22205</v>
      </c>
      <c r="B427" s="14" t="s">
        <v>704</v>
      </c>
      <c r="C427" s="14" t="s">
        <v>450</v>
      </c>
      <c r="D427" s="58"/>
      <c r="E427" s="58"/>
    </row>
    <row r="428" spans="1:5" ht="30.75" thickBot="1" x14ac:dyDescent="0.3">
      <c r="A428" s="15">
        <v>22206</v>
      </c>
      <c r="B428" s="14" t="s">
        <v>705</v>
      </c>
      <c r="C428" s="14" t="s">
        <v>450</v>
      </c>
      <c r="D428" s="58"/>
      <c r="E428" s="58"/>
    </row>
    <row r="429" spans="1:5" ht="15.75" thickBot="1" x14ac:dyDescent="0.3">
      <c r="A429" s="15">
        <v>22209</v>
      </c>
      <c r="B429" s="14" t="s">
        <v>706</v>
      </c>
      <c r="C429" s="14" t="s">
        <v>450</v>
      </c>
      <c r="D429" s="58"/>
      <c r="E429" s="58"/>
    </row>
    <row r="430" spans="1:5" ht="15.75" thickBot="1" x14ac:dyDescent="0.3">
      <c r="A430" s="15">
        <v>23111</v>
      </c>
      <c r="B430" s="14" t="s">
        <v>707</v>
      </c>
      <c r="C430" s="14" t="s">
        <v>450</v>
      </c>
      <c r="D430" s="58"/>
      <c r="E430" s="58"/>
    </row>
    <row r="431" spans="1:5" ht="15.75" thickBot="1" x14ac:dyDescent="0.3">
      <c r="A431" s="15">
        <v>23112</v>
      </c>
      <c r="B431" s="14" t="s">
        <v>708</v>
      </c>
      <c r="C431" s="14" t="s">
        <v>450</v>
      </c>
      <c r="D431" s="58"/>
      <c r="E431" s="58"/>
    </row>
    <row r="432" spans="1:5" ht="15.75" thickBot="1" x14ac:dyDescent="0.3">
      <c r="A432" s="15">
        <v>23119</v>
      </c>
      <c r="B432" s="14" t="s">
        <v>709</v>
      </c>
      <c r="C432" s="14" t="s">
        <v>450</v>
      </c>
      <c r="D432" s="58"/>
      <c r="E432" s="58"/>
    </row>
    <row r="433" spans="1:5" ht="30.75" thickBot="1" x14ac:dyDescent="0.3">
      <c r="A433" s="15">
        <v>23121</v>
      </c>
      <c r="B433" s="14" t="s">
        <v>710</v>
      </c>
      <c r="C433" s="14" t="s">
        <v>450</v>
      </c>
      <c r="D433" s="58"/>
      <c r="E433" s="58"/>
    </row>
    <row r="434" spans="1:5" ht="30.75" thickBot="1" x14ac:dyDescent="0.3">
      <c r="A434" s="15">
        <v>23122</v>
      </c>
      <c r="B434" s="14" t="s">
        <v>711</v>
      </c>
      <c r="C434" s="14" t="s">
        <v>450</v>
      </c>
      <c r="D434" s="58"/>
      <c r="E434" s="58"/>
    </row>
    <row r="435" spans="1:5" ht="15.75" thickBot="1" x14ac:dyDescent="0.3">
      <c r="A435" s="15">
        <v>23129</v>
      </c>
      <c r="B435" s="14" t="s">
        <v>712</v>
      </c>
      <c r="C435" s="14" t="s">
        <v>450</v>
      </c>
      <c r="D435" s="58"/>
      <c r="E435" s="58"/>
    </row>
    <row r="436" spans="1:5" ht="30.75" thickBot="1" x14ac:dyDescent="0.3">
      <c r="A436" s="15">
        <v>23911</v>
      </c>
      <c r="B436" s="14" t="s">
        <v>713</v>
      </c>
      <c r="C436" s="14" t="s">
        <v>450</v>
      </c>
      <c r="D436" s="58"/>
      <c r="E436" s="58"/>
    </row>
    <row r="437" spans="1:5" ht="15.75" thickBot="1" x14ac:dyDescent="0.3">
      <c r="A437" s="15">
        <v>23919</v>
      </c>
      <c r="B437" s="14" t="s">
        <v>714</v>
      </c>
      <c r="C437" s="14" t="s">
        <v>450</v>
      </c>
      <c r="D437" s="58"/>
      <c r="E437" s="58"/>
    </row>
    <row r="438" spans="1:5" ht="15.75" thickBot="1" x14ac:dyDescent="0.3">
      <c r="A438" s="15">
        <v>23921</v>
      </c>
      <c r="B438" s="14" t="s">
        <v>715</v>
      </c>
      <c r="C438" s="14" t="s">
        <v>450</v>
      </c>
      <c r="D438" s="58"/>
      <c r="E438" s="58"/>
    </row>
    <row r="439" spans="1:5" ht="15.75" thickBot="1" x14ac:dyDescent="0.3">
      <c r="A439" s="15">
        <v>23922</v>
      </c>
      <c r="B439" s="14" t="s">
        <v>716</v>
      </c>
      <c r="C439" s="14" t="s">
        <v>450</v>
      </c>
      <c r="D439" s="58"/>
      <c r="E439" s="58"/>
    </row>
    <row r="440" spans="1:5" ht="30.75" thickBot="1" x14ac:dyDescent="0.3">
      <c r="A440" s="15">
        <v>23929</v>
      </c>
      <c r="B440" s="14" t="s">
        <v>717</v>
      </c>
      <c r="C440" s="14" t="s">
        <v>450</v>
      </c>
      <c r="D440" s="58"/>
      <c r="E440" s="58"/>
    </row>
    <row r="441" spans="1:5" ht="30.75" thickBot="1" x14ac:dyDescent="0.3">
      <c r="A441" s="15">
        <v>23931</v>
      </c>
      <c r="B441" s="14" t="s">
        <v>718</v>
      </c>
      <c r="C441" s="14" t="s">
        <v>450</v>
      </c>
      <c r="D441" s="58"/>
      <c r="E441" s="58"/>
    </row>
    <row r="442" spans="1:5" ht="30.75" thickBot="1" x14ac:dyDescent="0.3">
      <c r="A442" s="15">
        <v>23932</v>
      </c>
      <c r="B442" s="14" t="s">
        <v>719</v>
      </c>
      <c r="C442" s="14" t="s">
        <v>450</v>
      </c>
      <c r="D442" s="58"/>
      <c r="E442" s="58"/>
    </row>
    <row r="443" spans="1:5" ht="30.75" thickBot="1" x14ac:dyDescent="0.3">
      <c r="A443" s="15">
        <v>23933</v>
      </c>
      <c r="B443" s="14" t="s">
        <v>720</v>
      </c>
      <c r="C443" s="14" t="s">
        <v>450</v>
      </c>
      <c r="D443" s="58"/>
      <c r="E443" s="58"/>
    </row>
    <row r="444" spans="1:5" ht="15.75" thickBot="1" x14ac:dyDescent="0.3">
      <c r="A444" s="15">
        <v>23934</v>
      </c>
      <c r="B444" s="14" t="s">
        <v>721</v>
      </c>
      <c r="C444" s="14" t="s">
        <v>450</v>
      </c>
      <c r="D444" s="58"/>
      <c r="E444" s="58"/>
    </row>
    <row r="445" spans="1:5" ht="30.75" thickBot="1" x14ac:dyDescent="0.3">
      <c r="A445" s="15">
        <v>23935</v>
      </c>
      <c r="B445" s="14" t="s">
        <v>722</v>
      </c>
      <c r="C445" s="14" t="s">
        <v>450</v>
      </c>
      <c r="D445" s="58"/>
      <c r="E445" s="58"/>
    </row>
    <row r="446" spans="1:5" ht="30.75" thickBot="1" x14ac:dyDescent="0.3">
      <c r="A446" s="15">
        <v>23939</v>
      </c>
      <c r="B446" s="14" t="s">
        <v>723</v>
      </c>
      <c r="C446" s="14" t="s">
        <v>450</v>
      </c>
      <c r="D446" s="58"/>
      <c r="E446" s="58"/>
    </row>
    <row r="447" spans="1:5" ht="15.75" thickBot="1" x14ac:dyDescent="0.3">
      <c r="A447" s="15">
        <v>23941</v>
      </c>
      <c r="B447" s="14" t="s">
        <v>724</v>
      </c>
      <c r="C447" s="14" t="s">
        <v>450</v>
      </c>
      <c r="D447" s="58"/>
      <c r="E447" s="58"/>
    </row>
    <row r="448" spans="1:5" ht="15.75" thickBot="1" x14ac:dyDescent="0.3">
      <c r="A448" s="15">
        <v>23942</v>
      </c>
      <c r="B448" s="14" t="s">
        <v>725</v>
      </c>
      <c r="C448" s="14" t="s">
        <v>450</v>
      </c>
      <c r="D448" s="58"/>
      <c r="E448" s="58"/>
    </row>
    <row r="449" spans="1:5" ht="15.75" thickBot="1" x14ac:dyDescent="0.3">
      <c r="A449" s="15">
        <v>23943</v>
      </c>
      <c r="B449" s="14" t="s">
        <v>726</v>
      </c>
      <c r="C449" s="14" t="s">
        <v>450</v>
      </c>
      <c r="D449" s="58"/>
      <c r="E449" s="58"/>
    </row>
    <row r="450" spans="1:5" ht="15.75" thickBot="1" x14ac:dyDescent="0.3">
      <c r="A450" s="15">
        <v>23951</v>
      </c>
      <c r="B450" s="14" t="s">
        <v>727</v>
      </c>
      <c r="C450" s="14" t="s">
        <v>450</v>
      </c>
      <c r="D450" s="58"/>
      <c r="E450" s="58"/>
    </row>
    <row r="451" spans="1:5" ht="15.75" thickBot="1" x14ac:dyDescent="0.3">
      <c r="A451" s="15">
        <v>23952</v>
      </c>
      <c r="B451" s="14" t="s">
        <v>728</v>
      </c>
      <c r="C451" s="14" t="s">
        <v>450</v>
      </c>
      <c r="D451" s="58"/>
      <c r="E451" s="58"/>
    </row>
    <row r="452" spans="1:5" ht="15.75" thickBot="1" x14ac:dyDescent="0.3">
      <c r="A452" s="15">
        <v>23953</v>
      </c>
      <c r="B452" s="14" t="s">
        <v>729</v>
      </c>
      <c r="C452" s="14" t="s">
        <v>450</v>
      </c>
      <c r="D452" s="58"/>
      <c r="E452" s="58"/>
    </row>
    <row r="453" spans="1:5" ht="15.75" thickBot="1" x14ac:dyDescent="0.3">
      <c r="A453" s="15">
        <v>23954</v>
      </c>
      <c r="B453" s="14" t="s">
        <v>730</v>
      </c>
      <c r="C453" s="14" t="s">
        <v>450</v>
      </c>
      <c r="D453" s="58"/>
      <c r="E453" s="58"/>
    </row>
    <row r="454" spans="1:5" ht="15.75" thickBot="1" x14ac:dyDescent="0.3">
      <c r="A454" s="15">
        <v>23955</v>
      </c>
      <c r="B454" s="14" t="s">
        <v>731</v>
      </c>
      <c r="C454" s="14" t="s">
        <v>450</v>
      </c>
      <c r="D454" s="58"/>
      <c r="E454" s="58"/>
    </row>
    <row r="455" spans="1:5" ht="15.75" thickBot="1" x14ac:dyDescent="0.3">
      <c r="A455" s="15">
        <v>23961</v>
      </c>
      <c r="B455" s="14" t="s">
        <v>732</v>
      </c>
      <c r="C455" s="14" t="s">
        <v>450</v>
      </c>
      <c r="D455" s="58"/>
      <c r="E455" s="58"/>
    </row>
    <row r="456" spans="1:5" ht="15.75" thickBot="1" x14ac:dyDescent="0.3">
      <c r="A456" s="15">
        <v>23962</v>
      </c>
      <c r="B456" s="14" t="s">
        <v>733</v>
      </c>
      <c r="C456" s="14" t="s">
        <v>450</v>
      </c>
      <c r="D456" s="58"/>
      <c r="E456" s="58"/>
    </row>
    <row r="457" spans="1:5" ht="15.75" thickBot="1" x14ac:dyDescent="0.3">
      <c r="A457" s="15">
        <v>23969</v>
      </c>
      <c r="B457" s="14" t="s">
        <v>734</v>
      </c>
      <c r="C457" s="14" t="s">
        <v>450</v>
      </c>
      <c r="D457" s="58"/>
      <c r="E457" s="58"/>
    </row>
    <row r="458" spans="1:5" ht="15.75" thickBot="1" x14ac:dyDescent="0.3">
      <c r="A458" s="15">
        <v>23991</v>
      </c>
      <c r="B458" s="14" t="s">
        <v>735</v>
      </c>
      <c r="C458" s="14" t="s">
        <v>450</v>
      </c>
      <c r="D458" s="58"/>
      <c r="E458" s="58"/>
    </row>
    <row r="459" spans="1:5" ht="30.75" thickBot="1" x14ac:dyDescent="0.3">
      <c r="A459" s="15">
        <v>23992</v>
      </c>
      <c r="B459" s="14" t="s">
        <v>736</v>
      </c>
      <c r="C459" s="14" t="s">
        <v>450</v>
      </c>
      <c r="D459" s="58"/>
      <c r="E459" s="58"/>
    </row>
    <row r="460" spans="1:5" ht="30.75" thickBot="1" x14ac:dyDescent="0.3">
      <c r="A460" s="15">
        <v>23993</v>
      </c>
      <c r="B460" s="14" t="s">
        <v>737</v>
      </c>
      <c r="C460" s="14" t="s">
        <v>450</v>
      </c>
      <c r="D460" s="58"/>
      <c r="E460" s="58"/>
    </row>
    <row r="461" spans="1:5" ht="30.75" thickBot="1" x14ac:dyDescent="0.3">
      <c r="A461" s="15">
        <v>23999</v>
      </c>
      <c r="B461" s="14" t="s">
        <v>738</v>
      </c>
      <c r="C461" s="14" t="s">
        <v>450</v>
      </c>
      <c r="D461" s="58"/>
      <c r="E461" s="58"/>
    </row>
    <row r="462" spans="1:5" ht="15.75" thickBot="1" x14ac:dyDescent="0.3">
      <c r="A462" s="15">
        <v>24101</v>
      </c>
      <c r="B462" s="14" t="s">
        <v>739</v>
      </c>
      <c r="C462" s="14" t="s">
        <v>450</v>
      </c>
      <c r="D462" s="58"/>
      <c r="E462" s="58"/>
    </row>
    <row r="463" spans="1:5" ht="15.75" thickBot="1" x14ac:dyDescent="0.3">
      <c r="A463" s="15">
        <v>24102</v>
      </c>
      <c r="B463" s="14" t="s">
        <v>740</v>
      </c>
      <c r="C463" s="14" t="s">
        <v>450</v>
      </c>
      <c r="D463" s="58"/>
      <c r="E463" s="58"/>
    </row>
    <row r="464" spans="1:5" ht="30.75" thickBot="1" x14ac:dyDescent="0.3">
      <c r="A464" s="15">
        <v>24103</v>
      </c>
      <c r="B464" s="14" t="s">
        <v>741</v>
      </c>
      <c r="C464" s="14" t="s">
        <v>450</v>
      </c>
      <c r="D464" s="58"/>
      <c r="E464" s="58"/>
    </row>
    <row r="465" spans="1:5" ht="15.75" thickBot="1" x14ac:dyDescent="0.3">
      <c r="A465" s="15">
        <v>24201</v>
      </c>
      <c r="B465" s="14" t="s">
        <v>742</v>
      </c>
      <c r="C465" s="14" t="s">
        <v>450</v>
      </c>
      <c r="D465" s="58"/>
      <c r="E465" s="58"/>
    </row>
    <row r="466" spans="1:5" ht="15.75" thickBot="1" x14ac:dyDescent="0.3">
      <c r="A466" s="15">
        <v>24202</v>
      </c>
      <c r="B466" s="14" t="s">
        <v>743</v>
      </c>
      <c r="C466" s="14" t="s">
        <v>450</v>
      </c>
      <c r="D466" s="58"/>
      <c r="E466" s="58"/>
    </row>
    <row r="467" spans="1:5" ht="15.75" thickBot="1" x14ac:dyDescent="0.3">
      <c r="A467" s="15">
        <v>24203</v>
      </c>
      <c r="B467" s="14" t="s">
        <v>744</v>
      </c>
      <c r="C467" s="14" t="s">
        <v>450</v>
      </c>
      <c r="D467" s="58"/>
      <c r="E467" s="58"/>
    </row>
    <row r="468" spans="1:5" ht="15.75" thickBot="1" x14ac:dyDescent="0.3">
      <c r="A468" s="15">
        <v>24204</v>
      </c>
      <c r="B468" s="14" t="s">
        <v>745</v>
      </c>
      <c r="C468" s="14" t="s">
        <v>450</v>
      </c>
      <c r="D468" s="58"/>
      <c r="E468" s="58"/>
    </row>
    <row r="469" spans="1:5" ht="30.75" thickBot="1" x14ac:dyDescent="0.3">
      <c r="A469" s="15">
        <v>24205</v>
      </c>
      <c r="B469" s="14" t="s">
        <v>746</v>
      </c>
      <c r="C469" s="14" t="s">
        <v>450</v>
      </c>
      <c r="D469" s="58"/>
      <c r="E469" s="58"/>
    </row>
    <row r="470" spans="1:5" ht="15.75" thickBot="1" x14ac:dyDescent="0.3">
      <c r="A470" s="15">
        <v>24206</v>
      </c>
      <c r="B470" s="14" t="s">
        <v>747</v>
      </c>
      <c r="C470" s="14" t="s">
        <v>450</v>
      </c>
      <c r="D470" s="58"/>
      <c r="E470" s="58"/>
    </row>
    <row r="471" spans="1:5" ht="15.75" thickBot="1" x14ac:dyDescent="0.3">
      <c r="A471" s="15">
        <v>24310</v>
      </c>
      <c r="B471" s="14" t="s">
        <v>748</v>
      </c>
      <c r="C471" s="14" t="s">
        <v>450</v>
      </c>
      <c r="D471" s="58"/>
      <c r="E471" s="58"/>
    </row>
    <row r="472" spans="1:5" ht="15.75" thickBot="1" x14ac:dyDescent="0.3">
      <c r="A472" s="15">
        <v>24320</v>
      </c>
      <c r="B472" s="14" t="s">
        <v>749</v>
      </c>
      <c r="C472" s="14" t="s">
        <v>450</v>
      </c>
      <c r="D472" s="58"/>
      <c r="E472" s="58"/>
    </row>
    <row r="473" spans="1:5" ht="30.75" thickBot="1" x14ac:dyDescent="0.3">
      <c r="A473" s="15">
        <v>25111</v>
      </c>
      <c r="B473" s="14" t="s">
        <v>750</v>
      </c>
      <c r="C473" s="14" t="s">
        <v>450</v>
      </c>
      <c r="D473" s="58"/>
      <c r="E473" s="58"/>
    </row>
    <row r="474" spans="1:5" ht="30.75" thickBot="1" x14ac:dyDescent="0.3">
      <c r="A474" s="15">
        <v>25112</v>
      </c>
      <c r="B474" s="14" t="s">
        <v>751</v>
      </c>
      <c r="C474" s="14" t="s">
        <v>450</v>
      </c>
      <c r="D474" s="58"/>
      <c r="E474" s="58"/>
    </row>
    <row r="475" spans="1:5" ht="30.75" thickBot="1" x14ac:dyDescent="0.3">
      <c r="A475" s="15">
        <v>25113</v>
      </c>
      <c r="B475" s="14" t="s">
        <v>752</v>
      </c>
      <c r="C475" s="14" t="s">
        <v>450</v>
      </c>
      <c r="D475" s="58"/>
      <c r="E475" s="58"/>
    </row>
    <row r="476" spans="1:5" ht="15.75" thickBot="1" x14ac:dyDescent="0.3">
      <c r="A476" s="15">
        <v>25119</v>
      </c>
      <c r="B476" s="14" t="s">
        <v>753</v>
      </c>
      <c r="C476" s="14" t="s">
        <v>450</v>
      </c>
      <c r="D476" s="58"/>
      <c r="E476" s="58"/>
    </row>
    <row r="477" spans="1:5" ht="30.75" thickBot="1" x14ac:dyDescent="0.3">
      <c r="A477" s="15">
        <v>25120</v>
      </c>
      <c r="B477" s="14" t="s">
        <v>754</v>
      </c>
      <c r="C477" s="14" t="s">
        <v>450</v>
      </c>
      <c r="D477" s="58"/>
      <c r="E477" s="88" t="s">
        <v>2091</v>
      </c>
    </row>
    <row r="478" spans="1:5" ht="15.75" thickBot="1" x14ac:dyDescent="0.3">
      <c r="A478" s="15">
        <v>25130</v>
      </c>
      <c r="B478" s="14" t="s">
        <v>755</v>
      </c>
      <c r="C478" s="14" t="s">
        <v>450</v>
      </c>
      <c r="D478" s="58"/>
      <c r="E478" s="58"/>
    </row>
    <row r="479" spans="1:5" ht="15.75" thickBot="1" x14ac:dyDescent="0.3">
      <c r="A479" s="15">
        <v>25200</v>
      </c>
      <c r="B479" s="14" t="s">
        <v>756</v>
      </c>
      <c r="C479" s="14" t="s">
        <v>450</v>
      </c>
      <c r="D479" s="58"/>
      <c r="E479" s="58"/>
    </row>
    <row r="480" spans="1:5" ht="30.75" thickBot="1" x14ac:dyDescent="0.3">
      <c r="A480" s="15">
        <v>25910</v>
      </c>
      <c r="B480" s="14" t="s">
        <v>757</v>
      </c>
      <c r="C480" s="14" t="s">
        <v>450</v>
      </c>
      <c r="D480" s="58"/>
      <c r="E480" s="58"/>
    </row>
    <row r="481" spans="1:5" ht="15.75" thickBot="1" x14ac:dyDescent="0.3">
      <c r="A481" s="15">
        <v>25920</v>
      </c>
      <c r="B481" s="14" t="s">
        <v>758</v>
      </c>
      <c r="C481" s="14" t="s">
        <v>450</v>
      </c>
      <c r="D481" s="58"/>
      <c r="E481" s="58"/>
    </row>
    <row r="482" spans="1:5" ht="15.75" thickBot="1" x14ac:dyDescent="0.3">
      <c r="A482" s="15">
        <v>25931</v>
      </c>
      <c r="B482" s="14" t="s">
        <v>759</v>
      </c>
      <c r="C482" s="14" t="s">
        <v>450</v>
      </c>
      <c r="D482" s="58"/>
      <c r="E482" s="58"/>
    </row>
    <row r="483" spans="1:5" ht="15.75" thickBot="1" x14ac:dyDescent="0.3">
      <c r="A483" s="15">
        <v>25932</v>
      </c>
      <c r="B483" s="14" t="s">
        <v>760</v>
      </c>
      <c r="C483" s="14" t="s">
        <v>450</v>
      </c>
      <c r="D483" s="58"/>
      <c r="E483" s="58"/>
    </row>
    <row r="484" spans="1:5" ht="15.75" thickBot="1" x14ac:dyDescent="0.3">
      <c r="A484" s="15">
        <v>25933</v>
      </c>
      <c r="B484" s="14" t="s">
        <v>761</v>
      </c>
      <c r="C484" s="14" t="s">
        <v>450</v>
      </c>
      <c r="D484" s="58"/>
      <c r="E484" s="58"/>
    </row>
    <row r="485" spans="1:5" ht="15.75" thickBot="1" x14ac:dyDescent="0.3">
      <c r="A485" s="15">
        <v>25934</v>
      </c>
      <c r="B485" s="14" t="s">
        <v>762</v>
      </c>
      <c r="C485" s="14" t="s">
        <v>450</v>
      </c>
      <c r="D485" s="58"/>
      <c r="E485" s="58"/>
    </row>
    <row r="486" spans="1:5" ht="30.75" thickBot="1" x14ac:dyDescent="0.3">
      <c r="A486" s="15">
        <v>25940</v>
      </c>
      <c r="B486" s="14" t="s">
        <v>763</v>
      </c>
      <c r="C486" s="14" t="s">
        <v>450</v>
      </c>
      <c r="D486" s="58"/>
      <c r="E486" s="58"/>
    </row>
    <row r="487" spans="1:5" ht="15.75" thickBot="1" x14ac:dyDescent="0.3">
      <c r="A487" s="15">
        <v>25951</v>
      </c>
      <c r="B487" s="14" t="s">
        <v>764</v>
      </c>
      <c r="C487" s="14" t="s">
        <v>450</v>
      </c>
      <c r="D487" s="58"/>
      <c r="E487" s="58"/>
    </row>
    <row r="488" spans="1:5" ht="15.75" thickBot="1" x14ac:dyDescent="0.3">
      <c r="A488" s="15">
        <v>25952</v>
      </c>
      <c r="B488" s="14" t="s">
        <v>765</v>
      </c>
      <c r="C488" s="14" t="s">
        <v>450</v>
      </c>
      <c r="D488" s="58"/>
      <c r="E488" s="58"/>
    </row>
    <row r="489" spans="1:5" ht="30.75" thickBot="1" x14ac:dyDescent="0.3">
      <c r="A489" s="15">
        <v>25991</v>
      </c>
      <c r="B489" s="14" t="s">
        <v>766</v>
      </c>
      <c r="C489" s="14" t="s">
        <v>450</v>
      </c>
      <c r="D489" s="58"/>
      <c r="E489" s="58"/>
    </row>
    <row r="490" spans="1:5" ht="30.75" thickBot="1" x14ac:dyDescent="0.3">
      <c r="A490" s="15">
        <v>25992</v>
      </c>
      <c r="B490" s="14" t="s">
        <v>767</v>
      </c>
      <c r="C490" s="14" t="s">
        <v>450</v>
      </c>
      <c r="D490" s="58"/>
      <c r="E490" s="58"/>
    </row>
    <row r="491" spans="1:5" ht="30.75" thickBot="1" x14ac:dyDescent="0.3">
      <c r="A491" s="15">
        <v>25993</v>
      </c>
      <c r="B491" s="14" t="s">
        <v>768</v>
      </c>
      <c r="C491" s="14" t="s">
        <v>450</v>
      </c>
      <c r="D491" s="58"/>
      <c r="E491" s="58"/>
    </row>
    <row r="492" spans="1:5" ht="15.75" thickBot="1" x14ac:dyDescent="0.3">
      <c r="A492" s="15">
        <v>25994</v>
      </c>
      <c r="B492" s="14" t="s">
        <v>769</v>
      </c>
      <c r="C492" s="14" t="s">
        <v>450</v>
      </c>
      <c r="D492" s="58"/>
      <c r="E492" s="58"/>
    </row>
    <row r="493" spans="1:5" ht="15.75" thickBot="1" x14ac:dyDescent="0.3">
      <c r="A493" s="15">
        <v>25995</v>
      </c>
      <c r="B493" s="14" t="s">
        <v>770</v>
      </c>
      <c r="C493" s="14" t="s">
        <v>450</v>
      </c>
      <c r="D493" s="58"/>
      <c r="E493" s="58"/>
    </row>
    <row r="494" spans="1:5" ht="15.75" thickBot="1" x14ac:dyDescent="0.3">
      <c r="A494" s="15">
        <v>25999</v>
      </c>
      <c r="B494" s="14" t="s">
        <v>771</v>
      </c>
      <c r="C494" s="14" t="s">
        <v>450</v>
      </c>
      <c r="D494" s="58"/>
      <c r="E494" s="58"/>
    </row>
    <row r="495" spans="1:5" ht="30.75" thickBot="1" x14ac:dyDescent="0.3">
      <c r="A495" s="15">
        <v>26110</v>
      </c>
      <c r="B495" s="14" t="s">
        <v>772</v>
      </c>
      <c r="C495" s="14" t="s">
        <v>450</v>
      </c>
      <c r="D495" s="88" t="s">
        <v>2090</v>
      </c>
      <c r="E495" s="58"/>
    </row>
    <row r="496" spans="1:5" ht="30.75" thickBot="1" x14ac:dyDescent="0.3">
      <c r="A496" s="15">
        <v>26191</v>
      </c>
      <c r="B496" s="14" t="s">
        <v>773</v>
      </c>
      <c r="C496" s="14" t="s">
        <v>450</v>
      </c>
      <c r="D496" s="88" t="s">
        <v>2090</v>
      </c>
      <c r="E496" s="58"/>
    </row>
    <row r="497" spans="1:5" ht="30.75" thickBot="1" x14ac:dyDescent="0.3">
      <c r="A497" s="15">
        <v>26199</v>
      </c>
      <c r="B497" s="14" t="s">
        <v>774</v>
      </c>
      <c r="C497" s="14" t="s">
        <v>450</v>
      </c>
      <c r="D497" s="88" t="s">
        <v>2090</v>
      </c>
      <c r="E497" s="58"/>
    </row>
    <row r="498" spans="1:5" ht="26.25" thickBot="1" x14ac:dyDescent="0.3">
      <c r="A498" s="15">
        <v>26210</v>
      </c>
      <c r="B498" s="14" t="s">
        <v>775</v>
      </c>
      <c r="C498" s="14" t="s">
        <v>450</v>
      </c>
      <c r="D498" s="88" t="s">
        <v>2090</v>
      </c>
      <c r="E498" s="58"/>
    </row>
    <row r="499" spans="1:5" ht="26.25" thickBot="1" x14ac:dyDescent="0.3">
      <c r="A499" s="15">
        <v>26220</v>
      </c>
      <c r="B499" s="14" t="s">
        <v>776</v>
      </c>
      <c r="C499" s="14" t="s">
        <v>450</v>
      </c>
      <c r="D499" s="88" t="s">
        <v>2090</v>
      </c>
      <c r="E499" s="58"/>
    </row>
    <row r="500" spans="1:5" ht="26.25" thickBot="1" x14ac:dyDescent="0.3">
      <c r="A500" s="15">
        <v>26310</v>
      </c>
      <c r="B500" s="14" t="s">
        <v>777</v>
      </c>
      <c r="C500" s="14" t="s">
        <v>450</v>
      </c>
      <c r="D500" s="88" t="s">
        <v>2090</v>
      </c>
      <c r="E500" s="58"/>
    </row>
    <row r="501" spans="1:5" ht="30.75" thickBot="1" x14ac:dyDescent="0.3">
      <c r="A501" s="15">
        <v>26320</v>
      </c>
      <c r="B501" s="14" t="s">
        <v>778</v>
      </c>
      <c r="C501" s="14" t="s">
        <v>450</v>
      </c>
      <c r="D501" s="88" t="s">
        <v>2090</v>
      </c>
      <c r="E501" s="58"/>
    </row>
    <row r="502" spans="1:5" ht="26.25" thickBot="1" x14ac:dyDescent="0.3">
      <c r="A502" s="15">
        <v>26391</v>
      </c>
      <c r="B502" s="14" t="s">
        <v>779</v>
      </c>
      <c r="C502" s="14" t="s">
        <v>450</v>
      </c>
      <c r="D502" s="88" t="s">
        <v>2090</v>
      </c>
      <c r="E502" s="58"/>
    </row>
    <row r="503" spans="1:5" ht="26.25" thickBot="1" x14ac:dyDescent="0.3">
      <c r="A503" s="15">
        <v>26399</v>
      </c>
      <c r="B503" s="14" t="s">
        <v>780</v>
      </c>
      <c r="C503" s="14" t="s">
        <v>450</v>
      </c>
      <c r="D503" s="88" t="s">
        <v>2090</v>
      </c>
      <c r="E503" s="58"/>
    </row>
    <row r="504" spans="1:5" ht="26.25" thickBot="1" x14ac:dyDescent="0.3">
      <c r="A504" s="15">
        <v>26410</v>
      </c>
      <c r="B504" s="14" t="s">
        <v>781</v>
      </c>
      <c r="C504" s="14" t="s">
        <v>450</v>
      </c>
      <c r="D504" s="88" t="s">
        <v>2090</v>
      </c>
      <c r="E504" s="58"/>
    </row>
    <row r="505" spans="1:5" ht="30.75" thickBot="1" x14ac:dyDescent="0.3">
      <c r="A505" s="15">
        <v>26420</v>
      </c>
      <c r="B505" s="14" t="s">
        <v>782</v>
      </c>
      <c r="C505" s="14" t="s">
        <v>450</v>
      </c>
      <c r="D505" s="88" t="s">
        <v>2090</v>
      </c>
      <c r="E505" s="58"/>
    </row>
    <row r="506" spans="1:5" ht="30.75" thickBot="1" x14ac:dyDescent="0.3">
      <c r="A506" s="15">
        <v>26490</v>
      </c>
      <c r="B506" s="14" t="s">
        <v>783</v>
      </c>
      <c r="C506" s="14" t="s">
        <v>450</v>
      </c>
      <c r="D506" s="88" t="s">
        <v>2090</v>
      </c>
      <c r="E506" s="58"/>
    </row>
    <row r="507" spans="1:5" ht="15.75" thickBot="1" x14ac:dyDescent="0.3">
      <c r="A507" s="15">
        <v>26511</v>
      </c>
      <c r="B507" s="14" t="s">
        <v>784</v>
      </c>
      <c r="C507" s="14" t="s">
        <v>450</v>
      </c>
      <c r="D507" s="58"/>
      <c r="E507" s="58"/>
    </row>
    <row r="508" spans="1:5" ht="15.75" thickBot="1" x14ac:dyDescent="0.3">
      <c r="A508" s="15">
        <v>26512</v>
      </c>
      <c r="B508" s="14" t="s">
        <v>785</v>
      </c>
      <c r="C508" s="14" t="s">
        <v>450</v>
      </c>
      <c r="D508" s="58"/>
      <c r="E508" s="58"/>
    </row>
    <row r="509" spans="1:5" ht="26.25" thickBot="1" x14ac:dyDescent="0.3">
      <c r="A509" s="15">
        <v>26513</v>
      </c>
      <c r="B509" s="14" t="s">
        <v>786</v>
      </c>
      <c r="C509" s="14" t="s">
        <v>450</v>
      </c>
      <c r="D509" s="58"/>
      <c r="E509" s="88" t="s">
        <v>2091</v>
      </c>
    </row>
    <row r="510" spans="1:5" ht="30.75" thickBot="1" x14ac:dyDescent="0.3">
      <c r="A510" s="15">
        <v>26519</v>
      </c>
      <c r="B510" s="14" t="s">
        <v>787</v>
      </c>
      <c r="C510" s="14" t="s">
        <v>450</v>
      </c>
      <c r="D510" s="58"/>
      <c r="E510" s="58"/>
    </row>
    <row r="511" spans="1:5" ht="15.75" thickBot="1" x14ac:dyDescent="0.3">
      <c r="A511" s="15">
        <v>26520</v>
      </c>
      <c r="B511" s="14" t="s">
        <v>788</v>
      </c>
      <c r="C511" s="14" t="s">
        <v>450</v>
      </c>
      <c r="D511" s="58"/>
      <c r="E511" s="58"/>
    </row>
    <row r="512" spans="1:5" ht="30.75" thickBot="1" x14ac:dyDescent="0.3">
      <c r="A512" s="15">
        <v>26601</v>
      </c>
      <c r="B512" s="14" t="s">
        <v>789</v>
      </c>
      <c r="C512" s="14" t="s">
        <v>450</v>
      </c>
      <c r="D512" s="58"/>
      <c r="E512" s="58"/>
    </row>
    <row r="513" spans="1:5" ht="30.75" thickBot="1" x14ac:dyDescent="0.3">
      <c r="A513" s="15">
        <v>26602</v>
      </c>
      <c r="B513" s="14" t="s">
        <v>790</v>
      </c>
      <c r="C513" s="14" t="s">
        <v>450</v>
      </c>
      <c r="D513" s="58"/>
      <c r="E513" s="58"/>
    </row>
    <row r="514" spans="1:5" ht="26.25" thickBot="1" x14ac:dyDescent="0.3">
      <c r="A514" s="15">
        <v>26701</v>
      </c>
      <c r="B514" s="14" t="s">
        <v>791</v>
      </c>
      <c r="C514" s="14" t="s">
        <v>450</v>
      </c>
      <c r="D514" s="88" t="s">
        <v>2090</v>
      </c>
      <c r="E514" s="58"/>
    </row>
    <row r="515" spans="1:5" ht="15.75" thickBot="1" x14ac:dyDescent="0.3">
      <c r="A515" s="15">
        <v>26702</v>
      </c>
      <c r="B515" s="14" t="s">
        <v>792</v>
      </c>
      <c r="C515" s="14" t="s">
        <v>450</v>
      </c>
      <c r="D515" s="58"/>
      <c r="E515" s="58"/>
    </row>
    <row r="516" spans="1:5" ht="15.75" thickBot="1" x14ac:dyDescent="0.3">
      <c r="A516" s="15">
        <v>26703</v>
      </c>
      <c r="B516" s="14" t="s">
        <v>793</v>
      </c>
      <c r="C516" s="14" t="s">
        <v>450</v>
      </c>
      <c r="D516" s="58"/>
      <c r="E516" s="58"/>
    </row>
    <row r="517" spans="1:5" ht="30.75" thickBot="1" x14ac:dyDescent="0.3">
      <c r="A517" s="15">
        <v>26709</v>
      </c>
      <c r="B517" s="14" t="s">
        <v>794</v>
      </c>
      <c r="C517" s="14" t="s">
        <v>450</v>
      </c>
      <c r="D517" s="58"/>
      <c r="E517" s="58"/>
    </row>
    <row r="518" spans="1:5" ht="26.25" thickBot="1" x14ac:dyDescent="0.3">
      <c r="A518" s="15">
        <v>26800</v>
      </c>
      <c r="B518" s="14" t="s">
        <v>795</v>
      </c>
      <c r="C518" s="14" t="s">
        <v>450</v>
      </c>
      <c r="D518" s="88" t="s">
        <v>2090</v>
      </c>
      <c r="E518" s="58"/>
    </row>
    <row r="519" spans="1:5" ht="15.75" thickBot="1" x14ac:dyDescent="0.3">
      <c r="A519" s="15">
        <v>27111</v>
      </c>
      <c r="B519" s="14" t="s">
        <v>796</v>
      </c>
      <c r="C519" s="14" t="s">
        <v>450</v>
      </c>
      <c r="D519" s="58"/>
      <c r="E519" s="58"/>
    </row>
    <row r="520" spans="1:5" ht="15.75" thickBot="1" x14ac:dyDescent="0.3">
      <c r="A520" s="15">
        <v>27112</v>
      </c>
      <c r="B520" s="14" t="s">
        <v>797</v>
      </c>
      <c r="C520" s="14" t="s">
        <v>450</v>
      </c>
      <c r="D520" s="58"/>
      <c r="E520" s="58"/>
    </row>
    <row r="521" spans="1:5" ht="30.75" thickBot="1" x14ac:dyDescent="0.3">
      <c r="A521" s="15">
        <v>27113</v>
      </c>
      <c r="B521" s="14" t="s">
        <v>798</v>
      </c>
      <c r="C521" s="14" t="s">
        <v>450</v>
      </c>
      <c r="D521" s="58"/>
      <c r="E521" s="58"/>
    </row>
    <row r="522" spans="1:5" ht="30.75" thickBot="1" x14ac:dyDescent="0.3">
      <c r="A522" s="15">
        <v>27120</v>
      </c>
      <c r="B522" s="14" t="s">
        <v>799</v>
      </c>
      <c r="C522" s="14" t="s">
        <v>450</v>
      </c>
      <c r="D522" s="58"/>
      <c r="E522" s="58"/>
    </row>
    <row r="523" spans="1:5" ht="15.75" thickBot="1" x14ac:dyDescent="0.3">
      <c r="A523" s="15">
        <v>27201</v>
      </c>
      <c r="B523" s="14" t="s">
        <v>800</v>
      </c>
      <c r="C523" s="14" t="s">
        <v>450</v>
      </c>
      <c r="D523" s="58"/>
      <c r="E523" s="58"/>
    </row>
    <row r="524" spans="1:5" ht="15.75" thickBot="1" x14ac:dyDescent="0.3">
      <c r="A524" s="15">
        <v>27202</v>
      </c>
      <c r="B524" s="14" t="s">
        <v>801</v>
      </c>
      <c r="C524" s="14" t="s">
        <v>450</v>
      </c>
      <c r="D524" s="58"/>
      <c r="E524" s="58"/>
    </row>
    <row r="525" spans="1:5" ht="15.75" thickBot="1" x14ac:dyDescent="0.3">
      <c r="A525" s="15">
        <v>27203</v>
      </c>
      <c r="B525" s="14" t="s">
        <v>802</v>
      </c>
      <c r="C525" s="14" t="s">
        <v>450</v>
      </c>
      <c r="D525" s="58"/>
      <c r="E525" s="58"/>
    </row>
    <row r="526" spans="1:5" ht="15.75" thickBot="1" x14ac:dyDescent="0.3">
      <c r="A526" s="15">
        <v>27310</v>
      </c>
      <c r="B526" s="14" t="s">
        <v>803</v>
      </c>
      <c r="C526" s="14" t="s">
        <v>450</v>
      </c>
      <c r="D526" s="58"/>
      <c r="E526" s="58"/>
    </row>
    <row r="527" spans="1:5" ht="30.75" thickBot="1" x14ac:dyDescent="0.3">
      <c r="A527" s="15">
        <v>27320</v>
      </c>
      <c r="B527" s="14" t="s">
        <v>804</v>
      </c>
      <c r="C527" s="14" t="s">
        <v>450</v>
      </c>
      <c r="D527" s="58"/>
      <c r="E527" s="58"/>
    </row>
    <row r="528" spans="1:5" ht="15.75" thickBot="1" x14ac:dyDescent="0.3">
      <c r="A528" s="15">
        <v>27330</v>
      </c>
      <c r="B528" s="14" t="s">
        <v>805</v>
      </c>
      <c r="C528" s="14" t="s">
        <v>450</v>
      </c>
      <c r="D528" s="58"/>
      <c r="E528" s="58"/>
    </row>
    <row r="529" spans="1:5" ht="30.75" thickBot="1" x14ac:dyDescent="0.3">
      <c r="A529" s="15">
        <v>27401</v>
      </c>
      <c r="B529" s="14" t="s">
        <v>806</v>
      </c>
      <c r="C529" s="14" t="s">
        <v>450</v>
      </c>
      <c r="D529" s="58"/>
      <c r="E529" s="58"/>
    </row>
    <row r="530" spans="1:5" ht="15.75" thickBot="1" x14ac:dyDescent="0.3">
      <c r="A530" s="15">
        <v>27402</v>
      </c>
      <c r="B530" s="14" t="s">
        <v>807</v>
      </c>
      <c r="C530" s="14" t="s">
        <v>450</v>
      </c>
      <c r="D530" s="58"/>
      <c r="E530" s="58"/>
    </row>
    <row r="531" spans="1:5" ht="30.75" thickBot="1" x14ac:dyDescent="0.3">
      <c r="A531" s="15">
        <v>27403</v>
      </c>
      <c r="B531" s="14" t="s">
        <v>808</v>
      </c>
      <c r="C531" s="14" t="s">
        <v>450</v>
      </c>
      <c r="D531" s="58"/>
      <c r="E531" s="58"/>
    </row>
    <row r="532" spans="1:5" ht="15.75" thickBot="1" x14ac:dyDescent="0.3">
      <c r="A532" s="15">
        <v>27404</v>
      </c>
      <c r="B532" s="14" t="s">
        <v>809</v>
      </c>
      <c r="C532" s="14" t="s">
        <v>450</v>
      </c>
      <c r="D532" s="58"/>
      <c r="E532" s="58"/>
    </row>
    <row r="533" spans="1:5" ht="15.75" thickBot="1" x14ac:dyDescent="0.3">
      <c r="A533" s="15">
        <v>27409</v>
      </c>
      <c r="B533" s="14" t="s">
        <v>810</v>
      </c>
      <c r="C533" s="14" t="s">
        <v>450</v>
      </c>
      <c r="D533" s="58"/>
      <c r="E533" s="58"/>
    </row>
    <row r="534" spans="1:5" ht="26.25" thickBot="1" x14ac:dyDescent="0.3">
      <c r="A534" s="15">
        <v>27510</v>
      </c>
      <c r="B534" s="14" t="s">
        <v>811</v>
      </c>
      <c r="C534" s="14" t="s">
        <v>450</v>
      </c>
      <c r="D534" s="58"/>
      <c r="E534" s="88" t="s">
        <v>2091</v>
      </c>
    </row>
    <row r="535" spans="1:5" ht="30.75" thickBot="1" x14ac:dyDescent="0.3">
      <c r="A535" s="15">
        <v>27520</v>
      </c>
      <c r="B535" s="14" t="s">
        <v>812</v>
      </c>
      <c r="C535" s="14" t="s">
        <v>450</v>
      </c>
      <c r="D535" s="58"/>
      <c r="E535" s="58"/>
    </row>
    <row r="536" spans="1:5" ht="15.75" thickBot="1" x14ac:dyDescent="0.3">
      <c r="A536" s="15">
        <v>27530</v>
      </c>
      <c r="B536" s="14" t="s">
        <v>813</v>
      </c>
      <c r="C536" s="14" t="s">
        <v>450</v>
      </c>
      <c r="D536" s="58"/>
      <c r="E536" s="58"/>
    </row>
    <row r="537" spans="1:5" ht="15.75" thickBot="1" x14ac:dyDescent="0.3">
      <c r="A537" s="15">
        <v>27900</v>
      </c>
      <c r="B537" s="14" t="s">
        <v>814</v>
      </c>
      <c r="C537" s="14" t="s">
        <v>450</v>
      </c>
      <c r="D537" s="58"/>
      <c r="E537" s="58"/>
    </row>
    <row r="538" spans="1:5" ht="15.75" thickBot="1" x14ac:dyDescent="0.3">
      <c r="A538" s="15">
        <v>28111</v>
      </c>
      <c r="B538" s="14" t="s">
        <v>815</v>
      </c>
      <c r="C538" s="14" t="s">
        <v>450</v>
      </c>
      <c r="D538" s="58"/>
      <c r="E538" s="58"/>
    </row>
    <row r="539" spans="1:5" ht="15.75" thickBot="1" x14ac:dyDescent="0.3">
      <c r="A539" s="15">
        <v>28112</v>
      </c>
      <c r="B539" s="14" t="s">
        <v>816</v>
      </c>
      <c r="C539" s="14" t="s">
        <v>450</v>
      </c>
      <c r="D539" s="58"/>
      <c r="E539" s="58"/>
    </row>
    <row r="540" spans="1:5" ht="30.75" thickBot="1" x14ac:dyDescent="0.3">
      <c r="A540" s="15">
        <v>28113</v>
      </c>
      <c r="B540" s="14" t="s">
        <v>817</v>
      </c>
      <c r="C540" s="14" t="s">
        <v>450</v>
      </c>
      <c r="D540" s="58"/>
      <c r="E540" s="58"/>
    </row>
    <row r="541" spans="1:5" ht="15.75" thickBot="1" x14ac:dyDescent="0.3">
      <c r="A541" s="15">
        <v>28120</v>
      </c>
      <c r="B541" s="14" t="s">
        <v>818</v>
      </c>
      <c r="C541" s="14" t="s">
        <v>450</v>
      </c>
      <c r="D541" s="58"/>
      <c r="E541" s="58"/>
    </row>
    <row r="542" spans="1:5" ht="30.75" thickBot="1" x14ac:dyDescent="0.3">
      <c r="A542" s="15">
        <v>28130</v>
      </c>
      <c r="B542" s="14" t="s">
        <v>819</v>
      </c>
      <c r="C542" s="14" t="s">
        <v>450</v>
      </c>
      <c r="D542" s="58"/>
      <c r="E542" s="88" t="s">
        <v>2091</v>
      </c>
    </row>
    <row r="543" spans="1:5" ht="30.75" thickBot="1" x14ac:dyDescent="0.3">
      <c r="A543" s="15">
        <v>28140</v>
      </c>
      <c r="B543" s="14" t="s">
        <v>820</v>
      </c>
      <c r="C543" s="14" t="s">
        <v>450</v>
      </c>
      <c r="D543" s="58"/>
      <c r="E543" s="58"/>
    </row>
    <row r="544" spans="1:5" ht="30.75" thickBot="1" x14ac:dyDescent="0.3">
      <c r="A544" s="15">
        <v>28151</v>
      </c>
      <c r="B544" s="14" t="s">
        <v>821</v>
      </c>
      <c r="C544" s="14" t="s">
        <v>450</v>
      </c>
      <c r="D544" s="58"/>
      <c r="E544" s="58"/>
    </row>
    <row r="545" spans="1:5" ht="30.75" thickBot="1" x14ac:dyDescent="0.3">
      <c r="A545" s="15">
        <v>28152</v>
      </c>
      <c r="B545" s="14" t="s">
        <v>821</v>
      </c>
      <c r="C545" s="14" t="s">
        <v>450</v>
      </c>
      <c r="D545" s="58"/>
      <c r="E545" s="58"/>
    </row>
    <row r="546" spans="1:5" ht="15.75" thickBot="1" x14ac:dyDescent="0.3">
      <c r="A546" s="15">
        <v>28160</v>
      </c>
      <c r="B546" s="14" t="s">
        <v>822</v>
      </c>
      <c r="C546" s="14" t="s">
        <v>450</v>
      </c>
      <c r="D546" s="58"/>
      <c r="E546" s="58"/>
    </row>
    <row r="547" spans="1:5" ht="15.75" thickBot="1" x14ac:dyDescent="0.3">
      <c r="A547" s="15">
        <v>28171</v>
      </c>
      <c r="B547" s="14" t="s">
        <v>823</v>
      </c>
      <c r="C547" s="14" t="s">
        <v>450</v>
      </c>
      <c r="D547" s="58"/>
      <c r="E547" s="58"/>
    </row>
    <row r="548" spans="1:5" ht="15.75" thickBot="1" x14ac:dyDescent="0.3">
      <c r="A548" s="15">
        <v>28172</v>
      </c>
      <c r="B548" s="14" t="s">
        <v>824</v>
      </c>
      <c r="C548" s="14" t="s">
        <v>450</v>
      </c>
      <c r="D548" s="58"/>
      <c r="E548" s="58"/>
    </row>
    <row r="549" spans="1:5" ht="30.75" thickBot="1" x14ac:dyDescent="0.3">
      <c r="A549" s="15">
        <v>28173</v>
      </c>
      <c r="B549" s="14" t="s">
        <v>825</v>
      </c>
      <c r="C549" s="14" t="s">
        <v>450</v>
      </c>
      <c r="D549" s="58"/>
      <c r="E549" s="58"/>
    </row>
    <row r="550" spans="1:5" ht="15.75" thickBot="1" x14ac:dyDescent="0.3">
      <c r="A550" s="15">
        <v>28179</v>
      </c>
      <c r="B550" s="14" t="s">
        <v>826</v>
      </c>
      <c r="C550" s="14" t="s">
        <v>450</v>
      </c>
      <c r="D550" s="58"/>
      <c r="E550" s="58"/>
    </row>
    <row r="551" spans="1:5" ht="30.75" thickBot="1" x14ac:dyDescent="0.3">
      <c r="A551" s="15">
        <v>28180</v>
      </c>
      <c r="B551" s="14" t="s">
        <v>827</v>
      </c>
      <c r="C551" s="14" t="s">
        <v>450</v>
      </c>
      <c r="D551" s="58"/>
      <c r="E551" s="58"/>
    </row>
    <row r="552" spans="1:5" ht="30.75" thickBot="1" x14ac:dyDescent="0.3">
      <c r="A552" s="15">
        <v>28191</v>
      </c>
      <c r="B552" s="14" t="s">
        <v>828</v>
      </c>
      <c r="C552" s="14" t="s">
        <v>450</v>
      </c>
      <c r="D552" s="58"/>
      <c r="E552" s="58"/>
    </row>
    <row r="553" spans="1:5" ht="15.75" thickBot="1" x14ac:dyDescent="0.3">
      <c r="A553" s="15">
        <v>28192</v>
      </c>
      <c r="B553" s="14" t="s">
        <v>829</v>
      </c>
      <c r="C553" s="14" t="s">
        <v>450</v>
      </c>
      <c r="D553" s="58"/>
      <c r="E553" s="58"/>
    </row>
    <row r="554" spans="1:5" ht="15.75" thickBot="1" x14ac:dyDescent="0.3">
      <c r="A554" s="15">
        <v>28193</v>
      </c>
      <c r="B554" s="14" t="s">
        <v>830</v>
      </c>
      <c r="C554" s="14" t="s">
        <v>450</v>
      </c>
      <c r="D554" s="58"/>
      <c r="E554" s="58"/>
    </row>
    <row r="555" spans="1:5" ht="30.75" thickBot="1" x14ac:dyDescent="0.3">
      <c r="A555" s="15">
        <v>28199</v>
      </c>
      <c r="B555" s="14" t="s">
        <v>831</v>
      </c>
      <c r="C555" s="14" t="s">
        <v>450</v>
      </c>
      <c r="D555" s="58"/>
      <c r="E555" s="88" t="s">
        <v>2091</v>
      </c>
    </row>
    <row r="556" spans="1:5" ht="15.75" thickBot="1" x14ac:dyDescent="0.3">
      <c r="A556" s="15">
        <v>28210</v>
      </c>
      <c r="B556" s="14" t="s">
        <v>832</v>
      </c>
      <c r="C556" s="14" t="s">
        <v>450</v>
      </c>
      <c r="D556" s="58"/>
      <c r="E556" s="58"/>
    </row>
    <row r="557" spans="1:5" ht="30.75" thickBot="1" x14ac:dyDescent="0.3">
      <c r="A557" s="15">
        <v>28220</v>
      </c>
      <c r="B557" s="14" t="s">
        <v>833</v>
      </c>
      <c r="C557" s="14" t="s">
        <v>450</v>
      </c>
      <c r="D557" s="58"/>
      <c r="E557" s="58"/>
    </row>
    <row r="558" spans="1:5" ht="15.75" thickBot="1" x14ac:dyDescent="0.3">
      <c r="A558" s="15">
        <v>28230</v>
      </c>
      <c r="B558" s="14" t="s">
        <v>834</v>
      </c>
      <c r="C558" s="14" t="s">
        <v>450</v>
      </c>
      <c r="D558" s="58"/>
      <c r="E558" s="58"/>
    </row>
    <row r="559" spans="1:5" ht="30.75" thickBot="1" x14ac:dyDescent="0.3">
      <c r="A559" s="15">
        <v>28240</v>
      </c>
      <c r="B559" s="14" t="s">
        <v>835</v>
      </c>
      <c r="C559" s="14" t="s">
        <v>450</v>
      </c>
      <c r="D559" s="58"/>
      <c r="E559" s="58"/>
    </row>
    <row r="560" spans="1:5" ht="30.75" thickBot="1" x14ac:dyDescent="0.3">
      <c r="A560" s="15">
        <v>28250</v>
      </c>
      <c r="B560" s="14" t="s">
        <v>836</v>
      </c>
      <c r="C560" s="14" t="s">
        <v>450</v>
      </c>
      <c r="D560" s="58"/>
      <c r="E560" s="58"/>
    </row>
    <row r="561" spans="1:5" ht="30.75" thickBot="1" x14ac:dyDescent="0.3">
      <c r="A561" s="15">
        <v>28261</v>
      </c>
      <c r="B561" s="14" t="s">
        <v>837</v>
      </c>
      <c r="C561" s="14" t="s">
        <v>450</v>
      </c>
      <c r="D561" s="58"/>
      <c r="E561" s="58"/>
    </row>
    <row r="562" spans="1:5" ht="15.75" thickBot="1" x14ac:dyDescent="0.3">
      <c r="A562" s="15">
        <v>28262</v>
      </c>
      <c r="B562" s="14" t="s">
        <v>838</v>
      </c>
      <c r="C562" s="14" t="s">
        <v>450</v>
      </c>
      <c r="D562" s="58"/>
      <c r="E562" s="58"/>
    </row>
    <row r="563" spans="1:5" ht="30.75" thickBot="1" x14ac:dyDescent="0.3">
      <c r="A563" s="15">
        <v>28263</v>
      </c>
      <c r="B563" s="14" t="s">
        <v>839</v>
      </c>
      <c r="C563" s="14" t="s">
        <v>450</v>
      </c>
      <c r="D563" s="58"/>
      <c r="E563" s="58"/>
    </row>
    <row r="564" spans="1:5" ht="15.75" thickBot="1" x14ac:dyDescent="0.3">
      <c r="A564" s="15">
        <v>28291</v>
      </c>
      <c r="B564" s="14" t="s">
        <v>840</v>
      </c>
      <c r="C564" s="14" t="s">
        <v>450</v>
      </c>
      <c r="D564" s="58"/>
      <c r="E564" s="58"/>
    </row>
    <row r="565" spans="1:5" ht="15.75" thickBot="1" x14ac:dyDescent="0.3">
      <c r="A565" s="15">
        <v>28292</v>
      </c>
      <c r="B565" s="14" t="s">
        <v>841</v>
      </c>
      <c r="C565" s="14" t="s">
        <v>450</v>
      </c>
      <c r="D565" s="58"/>
      <c r="E565" s="58"/>
    </row>
    <row r="566" spans="1:5" ht="15.75" thickBot="1" x14ac:dyDescent="0.3">
      <c r="A566" s="15">
        <v>28299</v>
      </c>
      <c r="B566" s="14" t="s">
        <v>842</v>
      </c>
      <c r="C566" s="14" t="s">
        <v>450</v>
      </c>
      <c r="D566" s="58"/>
      <c r="E566" s="58"/>
    </row>
    <row r="567" spans="1:5" ht="30.75" thickBot="1" x14ac:dyDescent="0.3">
      <c r="A567" s="15">
        <v>29100</v>
      </c>
      <c r="B567" s="14" t="s">
        <v>843</v>
      </c>
      <c r="C567" s="14" t="s">
        <v>450</v>
      </c>
      <c r="D567" s="58"/>
      <c r="E567" s="88" t="s">
        <v>2091</v>
      </c>
    </row>
    <row r="568" spans="1:5" ht="30.75" thickBot="1" x14ac:dyDescent="0.3">
      <c r="A568" s="15">
        <v>29200</v>
      </c>
      <c r="B568" s="14" t="s">
        <v>844</v>
      </c>
      <c r="C568" s="14" t="s">
        <v>450</v>
      </c>
      <c r="D568" s="58"/>
      <c r="E568" s="58"/>
    </row>
    <row r="569" spans="1:5" ht="30.75" thickBot="1" x14ac:dyDescent="0.3">
      <c r="A569" s="15">
        <v>29300</v>
      </c>
      <c r="B569" s="14" t="s">
        <v>845</v>
      </c>
      <c r="C569" s="14" t="s">
        <v>450</v>
      </c>
      <c r="D569" s="58"/>
      <c r="E569" s="58"/>
    </row>
    <row r="570" spans="1:5" ht="15.75" thickBot="1" x14ac:dyDescent="0.3">
      <c r="A570" s="15">
        <v>30111</v>
      </c>
      <c r="B570" s="14" t="s">
        <v>846</v>
      </c>
      <c r="C570" s="14" t="s">
        <v>450</v>
      </c>
      <c r="D570" s="58"/>
      <c r="E570" s="58"/>
    </row>
    <row r="571" spans="1:5" ht="30.75" thickBot="1" x14ac:dyDescent="0.3">
      <c r="A571" s="15">
        <v>30112</v>
      </c>
      <c r="B571" s="14" t="s">
        <v>847</v>
      </c>
      <c r="C571" s="14" t="s">
        <v>450</v>
      </c>
      <c r="D571" s="58"/>
      <c r="E571" s="58"/>
    </row>
    <row r="572" spans="1:5" ht="30.75" thickBot="1" x14ac:dyDescent="0.3">
      <c r="A572" s="15">
        <v>30113</v>
      </c>
      <c r="B572" s="14" t="s">
        <v>848</v>
      </c>
      <c r="C572" s="14" t="s">
        <v>450</v>
      </c>
      <c r="D572" s="58"/>
      <c r="E572" s="58"/>
    </row>
    <row r="573" spans="1:5" ht="30.75" thickBot="1" x14ac:dyDescent="0.3">
      <c r="A573" s="15">
        <v>30120</v>
      </c>
      <c r="B573" s="14" t="s">
        <v>849</v>
      </c>
      <c r="C573" s="14" t="s">
        <v>450</v>
      </c>
      <c r="D573" s="58"/>
      <c r="E573" s="58"/>
    </row>
    <row r="574" spans="1:5" ht="15.75" thickBot="1" x14ac:dyDescent="0.3">
      <c r="A574" s="15">
        <v>30200</v>
      </c>
      <c r="B574" s="14" t="s">
        <v>850</v>
      </c>
      <c r="C574" s="14" t="s">
        <v>450</v>
      </c>
      <c r="D574" s="58"/>
      <c r="E574" s="58"/>
    </row>
    <row r="575" spans="1:5" ht="30.75" thickBot="1" x14ac:dyDescent="0.3">
      <c r="A575" s="15">
        <v>30301</v>
      </c>
      <c r="B575" s="14" t="s">
        <v>851</v>
      </c>
      <c r="C575" s="14" t="s">
        <v>450</v>
      </c>
      <c r="D575" s="58"/>
      <c r="E575" s="58"/>
    </row>
    <row r="576" spans="1:5" ht="30.75" thickBot="1" x14ac:dyDescent="0.3">
      <c r="A576" s="15">
        <v>30302</v>
      </c>
      <c r="B576" s="14" t="s">
        <v>852</v>
      </c>
      <c r="C576" s="14" t="s">
        <v>450</v>
      </c>
      <c r="D576" s="58"/>
      <c r="E576" s="58"/>
    </row>
    <row r="577" spans="1:5" ht="15.75" thickBot="1" x14ac:dyDescent="0.3">
      <c r="A577" s="15">
        <v>30303</v>
      </c>
      <c r="B577" s="14" t="s">
        <v>853</v>
      </c>
      <c r="C577" s="14" t="s">
        <v>450</v>
      </c>
      <c r="D577" s="58"/>
      <c r="E577" s="58"/>
    </row>
    <row r="578" spans="1:5" ht="15.75" thickBot="1" x14ac:dyDescent="0.3">
      <c r="A578" s="15">
        <v>30400</v>
      </c>
      <c r="B578" s="14" t="s">
        <v>854</v>
      </c>
      <c r="C578" s="14" t="s">
        <v>450</v>
      </c>
      <c r="D578" s="58"/>
      <c r="E578" s="58"/>
    </row>
    <row r="579" spans="1:5" ht="15.75" thickBot="1" x14ac:dyDescent="0.3">
      <c r="A579" s="15">
        <v>30911</v>
      </c>
      <c r="B579" s="14" t="s">
        <v>855</v>
      </c>
      <c r="C579" s="14" t="s">
        <v>450</v>
      </c>
      <c r="D579" s="58"/>
      <c r="E579" s="58"/>
    </row>
    <row r="580" spans="1:5" ht="30.75" thickBot="1" x14ac:dyDescent="0.3">
      <c r="A580" s="15">
        <v>30912</v>
      </c>
      <c r="B580" s="14" t="s">
        <v>856</v>
      </c>
      <c r="C580" s="14" t="s">
        <v>450</v>
      </c>
      <c r="D580" s="58"/>
      <c r="E580" s="88" t="s">
        <v>2091</v>
      </c>
    </row>
    <row r="581" spans="1:5" ht="15.75" thickBot="1" x14ac:dyDescent="0.3">
      <c r="A581" s="15">
        <v>30921</v>
      </c>
      <c r="B581" s="14" t="s">
        <v>857</v>
      </c>
      <c r="C581" s="14" t="s">
        <v>450</v>
      </c>
      <c r="D581" s="58"/>
      <c r="E581" s="58"/>
    </row>
    <row r="582" spans="1:5" ht="30.75" thickBot="1" x14ac:dyDescent="0.3">
      <c r="A582" s="15">
        <v>30922</v>
      </c>
      <c r="B582" s="14" t="s">
        <v>858</v>
      </c>
      <c r="C582" s="14" t="s">
        <v>450</v>
      </c>
      <c r="D582" s="58"/>
      <c r="E582" s="58"/>
    </row>
    <row r="583" spans="1:5" ht="15.75" thickBot="1" x14ac:dyDescent="0.3">
      <c r="A583" s="15">
        <v>30990</v>
      </c>
      <c r="B583" s="14" t="s">
        <v>859</v>
      </c>
      <c r="C583" s="14" t="s">
        <v>450</v>
      </c>
      <c r="D583" s="58"/>
      <c r="E583" s="58"/>
    </row>
    <row r="584" spans="1:5" ht="15.75" thickBot="1" x14ac:dyDescent="0.3">
      <c r="A584" s="15">
        <v>31011</v>
      </c>
      <c r="B584" s="14" t="s">
        <v>860</v>
      </c>
      <c r="C584" s="14" t="s">
        <v>450</v>
      </c>
      <c r="D584" s="58"/>
      <c r="E584" s="58"/>
    </row>
    <row r="585" spans="1:5" ht="15.75" thickBot="1" x14ac:dyDescent="0.3">
      <c r="A585" s="15">
        <v>31012</v>
      </c>
      <c r="B585" s="14" t="s">
        <v>861</v>
      </c>
      <c r="C585" s="14" t="s">
        <v>450</v>
      </c>
      <c r="D585" s="58"/>
      <c r="E585" s="58"/>
    </row>
    <row r="586" spans="1:5" ht="15.75" thickBot="1" x14ac:dyDescent="0.3">
      <c r="A586" s="15">
        <v>31021</v>
      </c>
      <c r="B586" s="14" t="s">
        <v>862</v>
      </c>
      <c r="C586" s="14" t="s">
        <v>450</v>
      </c>
      <c r="D586" s="58"/>
      <c r="E586" s="58"/>
    </row>
    <row r="587" spans="1:5" ht="15.75" thickBot="1" x14ac:dyDescent="0.3">
      <c r="A587" s="15">
        <v>31022</v>
      </c>
      <c r="B587" s="14" t="s">
        <v>863</v>
      </c>
      <c r="C587" s="14" t="s">
        <v>450</v>
      </c>
      <c r="D587" s="58"/>
      <c r="E587" s="58"/>
    </row>
    <row r="588" spans="1:5" ht="15.75" thickBot="1" x14ac:dyDescent="0.3">
      <c r="A588" s="15">
        <v>31029</v>
      </c>
      <c r="B588" s="14" t="s">
        <v>864</v>
      </c>
      <c r="C588" s="14" t="s">
        <v>450</v>
      </c>
      <c r="D588" s="58"/>
      <c r="E588" s="58"/>
    </row>
    <row r="589" spans="1:5" ht="15.75" thickBot="1" x14ac:dyDescent="0.3">
      <c r="A589" s="15">
        <v>32111</v>
      </c>
      <c r="B589" s="14" t="s">
        <v>865</v>
      </c>
      <c r="C589" s="14" t="s">
        <v>450</v>
      </c>
      <c r="D589" s="58"/>
      <c r="E589" s="58"/>
    </row>
    <row r="590" spans="1:5" ht="15.75" thickBot="1" x14ac:dyDescent="0.3">
      <c r="A590" s="15">
        <v>32112</v>
      </c>
      <c r="B590" s="14" t="s">
        <v>866</v>
      </c>
      <c r="C590" s="14" t="s">
        <v>450</v>
      </c>
      <c r="D590" s="58"/>
      <c r="E590" s="58"/>
    </row>
    <row r="591" spans="1:5" ht="30.75" thickBot="1" x14ac:dyDescent="0.3">
      <c r="A591" s="15">
        <v>32113</v>
      </c>
      <c r="B591" s="14" t="s">
        <v>867</v>
      </c>
      <c r="C591" s="14" t="s">
        <v>450</v>
      </c>
      <c r="D591" s="58"/>
      <c r="E591" s="58"/>
    </row>
    <row r="592" spans="1:5" ht="15.75" thickBot="1" x14ac:dyDescent="0.3">
      <c r="A592" s="15">
        <v>32114</v>
      </c>
      <c r="B592" s="14" t="s">
        <v>868</v>
      </c>
      <c r="C592" s="14" t="s">
        <v>450</v>
      </c>
      <c r="D592" s="58"/>
      <c r="E592" s="58"/>
    </row>
    <row r="593" spans="1:5" ht="30.75" thickBot="1" x14ac:dyDescent="0.3">
      <c r="A593" s="15">
        <v>32119</v>
      </c>
      <c r="B593" s="14" t="s">
        <v>869</v>
      </c>
      <c r="C593" s="14" t="s">
        <v>450</v>
      </c>
      <c r="D593" s="58"/>
      <c r="E593" s="58"/>
    </row>
    <row r="594" spans="1:5" ht="15.75" thickBot="1" x14ac:dyDescent="0.3">
      <c r="A594" s="15">
        <v>32120</v>
      </c>
      <c r="B594" s="14" t="s">
        <v>870</v>
      </c>
      <c r="C594" s="14" t="s">
        <v>450</v>
      </c>
      <c r="D594" s="58"/>
      <c r="E594" s="58"/>
    </row>
    <row r="595" spans="1:5" ht="15.75" thickBot="1" x14ac:dyDescent="0.3">
      <c r="A595" s="15">
        <v>32201</v>
      </c>
      <c r="B595" s="14" t="s">
        <v>871</v>
      </c>
      <c r="C595" s="14" t="s">
        <v>450</v>
      </c>
      <c r="D595" s="58"/>
      <c r="E595" s="58"/>
    </row>
    <row r="596" spans="1:5" ht="15.75" thickBot="1" x14ac:dyDescent="0.3">
      <c r="A596" s="15">
        <v>32202</v>
      </c>
      <c r="B596" s="14" t="s">
        <v>872</v>
      </c>
      <c r="C596" s="14" t="s">
        <v>450</v>
      </c>
      <c r="D596" s="58"/>
      <c r="E596" s="58"/>
    </row>
    <row r="597" spans="1:5" ht="30.75" thickBot="1" x14ac:dyDescent="0.3">
      <c r="A597" s="15">
        <v>32300</v>
      </c>
      <c r="B597" s="14" t="s">
        <v>873</v>
      </c>
      <c r="C597" s="14" t="s">
        <v>450</v>
      </c>
      <c r="D597" s="58"/>
      <c r="E597" s="58"/>
    </row>
    <row r="598" spans="1:5" ht="15.75" thickBot="1" x14ac:dyDescent="0.3">
      <c r="A598" s="15">
        <v>32401</v>
      </c>
      <c r="B598" s="14" t="s">
        <v>874</v>
      </c>
      <c r="C598" s="14" t="s">
        <v>450</v>
      </c>
      <c r="D598" s="58"/>
      <c r="E598" s="58"/>
    </row>
    <row r="599" spans="1:5" ht="15.75" thickBot="1" x14ac:dyDescent="0.3">
      <c r="A599" s="15">
        <v>32402</v>
      </c>
      <c r="B599" s="14" t="s">
        <v>875</v>
      </c>
      <c r="C599" s="14" t="s">
        <v>450</v>
      </c>
      <c r="D599" s="58"/>
      <c r="E599" s="58"/>
    </row>
    <row r="600" spans="1:5" ht="30.75" thickBot="1" x14ac:dyDescent="0.3">
      <c r="A600" s="15">
        <v>32501</v>
      </c>
      <c r="B600" s="14" t="s">
        <v>876</v>
      </c>
      <c r="C600" s="14" t="s">
        <v>450</v>
      </c>
      <c r="D600" s="58"/>
      <c r="E600" s="58"/>
    </row>
    <row r="601" spans="1:5" ht="30.75" thickBot="1" x14ac:dyDescent="0.3">
      <c r="A601" s="15">
        <v>32502</v>
      </c>
      <c r="B601" s="14" t="s">
        <v>877</v>
      </c>
      <c r="C601" s="14" t="s">
        <v>450</v>
      </c>
      <c r="D601" s="58"/>
      <c r="E601" s="58"/>
    </row>
    <row r="602" spans="1:5" ht="15.75" thickBot="1" x14ac:dyDescent="0.3">
      <c r="A602" s="15">
        <v>32503</v>
      </c>
      <c r="B602" s="14" t="s">
        <v>878</v>
      </c>
      <c r="C602" s="14" t="s">
        <v>450</v>
      </c>
      <c r="D602" s="58"/>
      <c r="E602" s="58"/>
    </row>
    <row r="603" spans="1:5" ht="30.75" thickBot="1" x14ac:dyDescent="0.3">
      <c r="A603" s="15">
        <v>32509</v>
      </c>
      <c r="B603" s="14" t="s">
        <v>877</v>
      </c>
      <c r="C603" s="14" t="s">
        <v>450</v>
      </c>
      <c r="D603" s="58"/>
      <c r="E603" s="58"/>
    </row>
    <row r="604" spans="1:5" ht="30.75" thickBot="1" x14ac:dyDescent="0.3">
      <c r="A604" s="15">
        <v>32901</v>
      </c>
      <c r="B604" s="14" t="s">
        <v>879</v>
      </c>
      <c r="C604" s="14" t="s">
        <v>450</v>
      </c>
      <c r="D604" s="58"/>
      <c r="E604" s="58"/>
    </row>
    <row r="605" spans="1:5" ht="15.75" thickBot="1" x14ac:dyDescent="0.3">
      <c r="A605" s="15">
        <v>32902</v>
      </c>
      <c r="B605" s="14" t="s">
        <v>880</v>
      </c>
      <c r="C605" s="14" t="s">
        <v>450</v>
      </c>
      <c r="D605" s="58"/>
      <c r="E605" s="58"/>
    </row>
    <row r="606" spans="1:5" ht="15.75" thickBot="1" x14ac:dyDescent="0.3">
      <c r="A606" s="15">
        <v>32903</v>
      </c>
      <c r="B606" s="14" t="s">
        <v>881</v>
      </c>
      <c r="C606" s="14" t="s">
        <v>450</v>
      </c>
      <c r="D606" s="58"/>
      <c r="E606" s="58"/>
    </row>
    <row r="607" spans="1:5" ht="30.75" thickBot="1" x14ac:dyDescent="0.3">
      <c r="A607" s="15">
        <v>32904</v>
      </c>
      <c r="B607" s="14" t="s">
        <v>882</v>
      </c>
      <c r="C607" s="14" t="s">
        <v>450</v>
      </c>
      <c r="D607" s="58"/>
      <c r="E607" s="58"/>
    </row>
    <row r="608" spans="1:5" ht="15.75" thickBot="1" x14ac:dyDescent="0.3">
      <c r="A608" s="15">
        <v>32905</v>
      </c>
      <c r="B608" s="14" t="s">
        <v>883</v>
      </c>
      <c r="C608" s="14" t="s">
        <v>450</v>
      </c>
      <c r="D608" s="58"/>
      <c r="E608" s="58"/>
    </row>
    <row r="609" spans="1:5" ht="15.75" thickBot="1" x14ac:dyDescent="0.3">
      <c r="A609" s="15">
        <v>32906</v>
      </c>
      <c r="B609" s="14" t="s">
        <v>884</v>
      </c>
      <c r="C609" s="14" t="s">
        <v>450</v>
      </c>
      <c r="D609" s="58"/>
      <c r="E609" s="58"/>
    </row>
    <row r="610" spans="1:5" ht="15.75" thickBot="1" x14ac:dyDescent="0.3">
      <c r="A610" s="15">
        <v>32907</v>
      </c>
      <c r="B610" s="14" t="s">
        <v>885</v>
      </c>
      <c r="C610" s="14" t="s">
        <v>450</v>
      </c>
      <c r="D610" s="58"/>
      <c r="E610" s="58"/>
    </row>
    <row r="611" spans="1:5" ht="15.75" thickBot="1" x14ac:dyDescent="0.3">
      <c r="A611" s="15">
        <v>32908</v>
      </c>
      <c r="B611" s="14" t="s">
        <v>886</v>
      </c>
      <c r="C611" s="14" t="s">
        <v>450</v>
      </c>
      <c r="D611" s="58"/>
      <c r="E611" s="58"/>
    </row>
    <row r="612" spans="1:5" ht="15.75" thickBot="1" x14ac:dyDescent="0.3">
      <c r="A612" s="15">
        <v>32909</v>
      </c>
      <c r="B612" s="14" t="s">
        <v>887</v>
      </c>
      <c r="C612" s="14" t="s">
        <v>450</v>
      </c>
      <c r="D612" s="58"/>
      <c r="E612" s="58"/>
    </row>
    <row r="613" spans="1:5" ht="30.75" thickBot="1" x14ac:dyDescent="0.3">
      <c r="A613" s="15">
        <v>33111</v>
      </c>
      <c r="B613" s="14" t="s">
        <v>888</v>
      </c>
      <c r="C613" s="14" t="s">
        <v>450</v>
      </c>
      <c r="D613" s="58"/>
      <c r="E613" s="58"/>
    </row>
    <row r="614" spans="1:5" ht="30.75" thickBot="1" x14ac:dyDescent="0.3">
      <c r="A614" s="15">
        <v>33112</v>
      </c>
      <c r="B614" s="14" t="s">
        <v>889</v>
      </c>
      <c r="C614" s="14" t="s">
        <v>450</v>
      </c>
      <c r="D614" s="58"/>
      <c r="E614" s="58"/>
    </row>
    <row r="615" spans="1:5" ht="30.75" thickBot="1" x14ac:dyDescent="0.3">
      <c r="A615" s="15">
        <v>33119</v>
      </c>
      <c r="B615" s="14" t="s">
        <v>890</v>
      </c>
      <c r="C615" s="14" t="s">
        <v>450</v>
      </c>
      <c r="D615" s="58"/>
      <c r="E615" s="58"/>
    </row>
    <row r="616" spans="1:5" ht="30.75" thickBot="1" x14ac:dyDescent="0.3">
      <c r="A616" s="15">
        <v>33121</v>
      </c>
      <c r="B616" s="14" t="s">
        <v>891</v>
      </c>
      <c r="C616" s="14" t="s">
        <v>450</v>
      </c>
      <c r="D616" s="58"/>
      <c r="E616" s="58"/>
    </row>
    <row r="617" spans="1:5" ht="30.75" thickBot="1" x14ac:dyDescent="0.3">
      <c r="A617" s="15">
        <v>33122</v>
      </c>
      <c r="B617" s="14" t="s">
        <v>892</v>
      </c>
      <c r="C617" s="14" t="s">
        <v>450</v>
      </c>
      <c r="D617" s="58"/>
      <c r="E617" s="58"/>
    </row>
    <row r="618" spans="1:5" ht="30.75" thickBot="1" x14ac:dyDescent="0.3">
      <c r="A618" s="15">
        <v>33131</v>
      </c>
      <c r="B618" s="14" t="s">
        <v>893</v>
      </c>
      <c r="C618" s="14" t="s">
        <v>450</v>
      </c>
      <c r="D618" s="58"/>
      <c r="E618" s="58"/>
    </row>
    <row r="619" spans="1:5" ht="30.75" thickBot="1" x14ac:dyDescent="0.3">
      <c r="A619" s="15">
        <v>33132</v>
      </c>
      <c r="B619" s="14" t="s">
        <v>894</v>
      </c>
      <c r="C619" s="14" t="s">
        <v>450</v>
      </c>
      <c r="D619" s="58"/>
      <c r="E619" s="58"/>
    </row>
    <row r="620" spans="1:5" ht="30.75" thickBot="1" x14ac:dyDescent="0.3">
      <c r="A620" s="15">
        <v>33133</v>
      </c>
      <c r="B620" s="14" t="s">
        <v>895</v>
      </c>
      <c r="C620" s="14" t="s">
        <v>450</v>
      </c>
      <c r="D620" s="58"/>
      <c r="E620" s="58"/>
    </row>
    <row r="621" spans="1:5" ht="30.75" thickBot="1" x14ac:dyDescent="0.3">
      <c r="A621" s="15">
        <v>33141</v>
      </c>
      <c r="B621" s="14" t="s">
        <v>896</v>
      </c>
      <c r="C621" s="14" t="s">
        <v>450</v>
      </c>
      <c r="D621" s="58"/>
      <c r="E621" s="58"/>
    </row>
    <row r="622" spans="1:5" ht="30.75" thickBot="1" x14ac:dyDescent="0.3">
      <c r="A622" s="15">
        <v>33142</v>
      </c>
      <c r="B622" s="14" t="s">
        <v>897</v>
      </c>
      <c r="C622" s="14" t="s">
        <v>450</v>
      </c>
      <c r="D622" s="58"/>
      <c r="E622" s="58"/>
    </row>
    <row r="623" spans="1:5" ht="30.75" thickBot="1" x14ac:dyDescent="0.3">
      <c r="A623" s="15">
        <v>33149</v>
      </c>
      <c r="B623" s="14" t="s">
        <v>898</v>
      </c>
      <c r="C623" s="14" t="s">
        <v>450</v>
      </c>
      <c r="D623" s="58"/>
      <c r="E623" s="58"/>
    </row>
    <row r="624" spans="1:5" ht="30.75" thickBot="1" x14ac:dyDescent="0.3">
      <c r="A624" s="15">
        <v>33151</v>
      </c>
      <c r="B624" s="14" t="s">
        <v>899</v>
      </c>
      <c r="C624" s="14" t="s">
        <v>450</v>
      </c>
      <c r="D624" s="58"/>
      <c r="E624" s="58"/>
    </row>
    <row r="625" spans="1:5" ht="30.75" thickBot="1" x14ac:dyDescent="0.3">
      <c r="A625" s="15">
        <v>33152</v>
      </c>
      <c r="B625" s="14" t="s">
        <v>900</v>
      </c>
      <c r="C625" s="14" t="s">
        <v>450</v>
      </c>
      <c r="D625" s="58"/>
      <c r="E625" s="58"/>
    </row>
    <row r="626" spans="1:5" ht="15.75" thickBot="1" x14ac:dyDescent="0.3">
      <c r="A626" s="15">
        <v>33153</v>
      </c>
      <c r="B626" s="14" t="s">
        <v>901</v>
      </c>
      <c r="C626" s="14" t="s">
        <v>450</v>
      </c>
      <c r="D626" s="58"/>
      <c r="E626" s="58"/>
    </row>
    <row r="627" spans="1:5" ht="30.75" thickBot="1" x14ac:dyDescent="0.3">
      <c r="A627" s="15">
        <v>33159</v>
      </c>
      <c r="B627" s="14" t="s">
        <v>902</v>
      </c>
      <c r="C627" s="14" t="s">
        <v>450</v>
      </c>
      <c r="D627" s="58"/>
      <c r="E627" s="58"/>
    </row>
    <row r="628" spans="1:5" ht="15.75" thickBot="1" x14ac:dyDescent="0.3">
      <c r="A628" s="15">
        <v>33190</v>
      </c>
      <c r="B628" s="14" t="s">
        <v>903</v>
      </c>
      <c r="C628" s="14" t="s">
        <v>450</v>
      </c>
      <c r="D628" s="58"/>
      <c r="E628" s="58"/>
    </row>
    <row r="629" spans="1:5" ht="30.75" thickBot="1" x14ac:dyDescent="0.3">
      <c r="A629" s="15">
        <v>33201</v>
      </c>
      <c r="B629" s="14" t="s">
        <v>904</v>
      </c>
      <c r="C629" s="14" t="s">
        <v>450</v>
      </c>
      <c r="D629" s="58"/>
      <c r="E629" s="58"/>
    </row>
    <row r="630" spans="1:5" ht="30.75" thickBot="1" x14ac:dyDescent="0.3">
      <c r="A630" s="15">
        <v>33202</v>
      </c>
      <c r="B630" s="14" t="s">
        <v>905</v>
      </c>
      <c r="C630" s="14" t="s">
        <v>450</v>
      </c>
      <c r="D630" s="58"/>
      <c r="E630" s="58"/>
    </row>
    <row r="631" spans="1:5" ht="30.75" thickBot="1" x14ac:dyDescent="0.3">
      <c r="A631" s="15">
        <v>33203</v>
      </c>
      <c r="B631" s="14" t="s">
        <v>906</v>
      </c>
      <c r="C631" s="14" t="s">
        <v>450</v>
      </c>
      <c r="D631" s="58"/>
      <c r="E631" s="58"/>
    </row>
    <row r="632" spans="1:5" ht="30.75" thickBot="1" x14ac:dyDescent="0.3">
      <c r="A632" s="15">
        <v>35111</v>
      </c>
      <c r="B632" s="14" t="s">
        <v>908</v>
      </c>
      <c r="C632" s="14" t="s">
        <v>907</v>
      </c>
      <c r="D632" s="58"/>
      <c r="E632" s="58"/>
    </row>
    <row r="633" spans="1:5" ht="30.75" thickBot="1" x14ac:dyDescent="0.3">
      <c r="A633" s="15">
        <v>35112</v>
      </c>
      <c r="B633" s="14" t="s">
        <v>908</v>
      </c>
      <c r="C633" s="14" t="s">
        <v>907</v>
      </c>
      <c r="D633" s="58"/>
      <c r="E633" s="58"/>
    </row>
    <row r="634" spans="1:5" ht="30.75" thickBot="1" x14ac:dyDescent="0.3">
      <c r="A634" s="15">
        <v>35120</v>
      </c>
      <c r="B634" s="14" t="s">
        <v>909</v>
      </c>
      <c r="C634" s="14" t="s">
        <v>907</v>
      </c>
      <c r="D634" s="58"/>
      <c r="E634" s="58"/>
    </row>
    <row r="635" spans="1:5" ht="15.75" thickBot="1" x14ac:dyDescent="0.3">
      <c r="A635" s="15">
        <v>35131</v>
      </c>
      <c r="B635" s="14" t="s">
        <v>910</v>
      </c>
      <c r="C635" s="14" t="s">
        <v>907</v>
      </c>
      <c r="D635" s="58"/>
      <c r="E635" s="58"/>
    </row>
    <row r="636" spans="1:5" ht="15.75" thickBot="1" x14ac:dyDescent="0.3">
      <c r="A636" s="15">
        <v>35132</v>
      </c>
      <c r="B636" s="14" t="s">
        <v>911</v>
      </c>
      <c r="C636" s="14" t="s">
        <v>907</v>
      </c>
      <c r="D636" s="58"/>
      <c r="E636" s="58"/>
    </row>
    <row r="637" spans="1:5" ht="30.75" thickBot="1" x14ac:dyDescent="0.3">
      <c r="A637" s="15">
        <v>35133</v>
      </c>
      <c r="B637" s="14" t="s">
        <v>912</v>
      </c>
      <c r="C637" s="14" t="s">
        <v>907</v>
      </c>
      <c r="D637" s="58"/>
      <c r="E637" s="58"/>
    </row>
    <row r="638" spans="1:5" ht="30.75" thickBot="1" x14ac:dyDescent="0.3">
      <c r="A638" s="15">
        <v>35140</v>
      </c>
      <c r="B638" s="14" t="s">
        <v>913</v>
      </c>
      <c r="C638" s="14" t="s">
        <v>907</v>
      </c>
      <c r="D638" s="58"/>
      <c r="E638" s="58"/>
    </row>
    <row r="639" spans="1:5" ht="30.75" thickBot="1" x14ac:dyDescent="0.3">
      <c r="A639" s="15">
        <v>35151</v>
      </c>
      <c r="B639" s="14" t="s">
        <v>914</v>
      </c>
      <c r="C639" s="14" t="s">
        <v>907</v>
      </c>
      <c r="D639" s="58"/>
      <c r="E639" s="58"/>
    </row>
    <row r="640" spans="1:5" ht="30.75" thickBot="1" x14ac:dyDescent="0.3">
      <c r="A640" s="15">
        <v>35152</v>
      </c>
      <c r="B640" s="14" t="s">
        <v>915</v>
      </c>
      <c r="C640" s="14" t="s">
        <v>907</v>
      </c>
      <c r="D640" s="58"/>
      <c r="E640" s="58"/>
    </row>
    <row r="641" spans="1:5" ht="15.75" thickBot="1" x14ac:dyDescent="0.3">
      <c r="A641" s="15">
        <v>35159</v>
      </c>
      <c r="B641" s="14" t="s">
        <v>916</v>
      </c>
      <c r="C641" s="14" t="s">
        <v>907</v>
      </c>
      <c r="D641" s="58"/>
      <c r="E641" s="58"/>
    </row>
    <row r="642" spans="1:5" ht="15.75" thickBot="1" x14ac:dyDescent="0.3">
      <c r="A642" s="15">
        <v>35201</v>
      </c>
      <c r="B642" s="14" t="s">
        <v>917</v>
      </c>
      <c r="C642" s="14" t="s">
        <v>907</v>
      </c>
      <c r="D642" s="58"/>
      <c r="E642" s="58"/>
    </row>
    <row r="643" spans="1:5" ht="30.75" thickBot="1" x14ac:dyDescent="0.3">
      <c r="A643" s="15">
        <v>35202</v>
      </c>
      <c r="B643" s="14" t="s">
        <v>918</v>
      </c>
      <c r="C643" s="14" t="s">
        <v>907</v>
      </c>
      <c r="D643" s="58"/>
      <c r="E643" s="58"/>
    </row>
    <row r="644" spans="1:5" ht="15.75" thickBot="1" x14ac:dyDescent="0.3">
      <c r="A644" s="15">
        <v>35301</v>
      </c>
      <c r="B644" s="14" t="s">
        <v>919</v>
      </c>
      <c r="C644" s="14" t="s">
        <v>907</v>
      </c>
      <c r="D644" s="58"/>
      <c r="E644" s="58"/>
    </row>
    <row r="645" spans="1:5" ht="15.75" thickBot="1" x14ac:dyDescent="0.3">
      <c r="A645" s="15">
        <v>35302</v>
      </c>
      <c r="B645" s="14" t="s">
        <v>920</v>
      </c>
      <c r="C645" s="14" t="s">
        <v>907</v>
      </c>
      <c r="D645" s="58"/>
      <c r="E645" s="58"/>
    </row>
    <row r="646" spans="1:5" ht="30.75" thickBot="1" x14ac:dyDescent="0.3">
      <c r="A646" s="15">
        <v>35401</v>
      </c>
      <c r="B646" s="14" t="s">
        <v>921</v>
      </c>
      <c r="C646" s="14" t="s">
        <v>907</v>
      </c>
      <c r="D646" s="88" t="s">
        <v>2090</v>
      </c>
      <c r="E646" s="58"/>
    </row>
    <row r="647" spans="1:5" ht="26.25" thickBot="1" x14ac:dyDescent="0.3">
      <c r="A647" s="15">
        <v>35402</v>
      </c>
      <c r="B647" s="14" t="s">
        <v>922</v>
      </c>
      <c r="C647" s="14" t="s">
        <v>907</v>
      </c>
      <c r="D647" s="88" t="s">
        <v>2090</v>
      </c>
      <c r="E647" s="58"/>
    </row>
    <row r="648" spans="1:5" ht="26.25" thickBot="1" x14ac:dyDescent="0.3">
      <c r="A648" s="15">
        <v>36001</v>
      </c>
      <c r="B648" s="14" t="s">
        <v>7</v>
      </c>
      <c r="C648" s="14" t="s">
        <v>6</v>
      </c>
      <c r="D648" s="68"/>
      <c r="E648" s="88" t="s">
        <v>2091</v>
      </c>
    </row>
    <row r="649" spans="1:5" ht="26.25" thickBot="1" x14ac:dyDescent="0.3">
      <c r="A649" s="15">
        <v>36002</v>
      </c>
      <c r="B649" s="14" t="s">
        <v>8</v>
      </c>
      <c r="C649" s="14" t="s">
        <v>6</v>
      </c>
      <c r="D649" s="68"/>
      <c r="E649" s="88" t="s">
        <v>2091</v>
      </c>
    </row>
    <row r="650" spans="1:5" ht="26.25" thickBot="1" x14ac:dyDescent="0.3">
      <c r="A650" s="15">
        <v>36003</v>
      </c>
      <c r="B650" s="14" t="s">
        <v>9</v>
      </c>
      <c r="C650" s="14" t="s">
        <v>6</v>
      </c>
      <c r="D650" s="68"/>
      <c r="E650" s="88" t="s">
        <v>2091</v>
      </c>
    </row>
    <row r="651" spans="1:5" ht="26.25" thickBot="1" x14ac:dyDescent="0.3">
      <c r="A651" s="15">
        <v>37001</v>
      </c>
      <c r="B651" s="14" t="s">
        <v>10</v>
      </c>
      <c r="C651" s="14" t="s">
        <v>6</v>
      </c>
      <c r="D651" s="68"/>
      <c r="E651" s="88" t="s">
        <v>2091</v>
      </c>
    </row>
    <row r="652" spans="1:5" ht="26.25" thickBot="1" x14ac:dyDescent="0.3">
      <c r="A652" s="15">
        <v>37002</v>
      </c>
      <c r="B652" s="14" t="s">
        <v>923</v>
      </c>
      <c r="C652" s="14" t="s">
        <v>6</v>
      </c>
      <c r="D652" s="68"/>
      <c r="E652" s="88" t="s">
        <v>2091</v>
      </c>
    </row>
    <row r="653" spans="1:5" ht="30.75" thickBot="1" x14ac:dyDescent="0.3">
      <c r="A653" s="15">
        <v>38110</v>
      </c>
      <c r="B653" s="14" t="s">
        <v>11</v>
      </c>
      <c r="C653" s="14" t="s">
        <v>6</v>
      </c>
      <c r="D653" s="68"/>
      <c r="E653" s="88" t="s">
        <v>2091</v>
      </c>
    </row>
    <row r="654" spans="1:5" ht="30.75" thickBot="1" x14ac:dyDescent="0.3">
      <c r="A654" s="15">
        <v>38121</v>
      </c>
      <c r="B654" s="14" t="s">
        <v>924</v>
      </c>
      <c r="C654" s="14" t="s">
        <v>6</v>
      </c>
      <c r="D654" s="68"/>
      <c r="E654" s="88" t="s">
        <v>2091</v>
      </c>
    </row>
    <row r="655" spans="1:5" ht="26.25" thickBot="1" x14ac:dyDescent="0.3">
      <c r="A655" s="15">
        <v>38122</v>
      </c>
      <c r="B655" s="14" t="s">
        <v>925</v>
      </c>
      <c r="C655" s="14" t="s">
        <v>6</v>
      </c>
      <c r="D655" s="68"/>
      <c r="E655" s="88" t="s">
        <v>2091</v>
      </c>
    </row>
    <row r="656" spans="1:5" ht="30.75" thickBot="1" x14ac:dyDescent="0.3">
      <c r="A656" s="15">
        <v>38211</v>
      </c>
      <c r="B656" s="14" t="s">
        <v>926</v>
      </c>
      <c r="C656" s="14" t="s">
        <v>6</v>
      </c>
      <c r="D656" s="68"/>
      <c r="E656" s="88" t="s">
        <v>2091</v>
      </c>
    </row>
    <row r="657" spans="1:5" ht="26.25" thickBot="1" x14ac:dyDescent="0.3">
      <c r="A657" s="15">
        <v>38212</v>
      </c>
      <c r="B657" s="16" t="s">
        <v>12</v>
      </c>
      <c r="C657" s="14" t="s">
        <v>6</v>
      </c>
      <c r="D657" s="58"/>
      <c r="E657" s="88" t="s">
        <v>2091</v>
      </c>
    </row>
    <row r="658" spans="1:5" ht="30.75" thickBot="1" x14ac:dyDescent="0.3">
      <c r="A658" s="15">
        <v>38219</v>
      </c>
      <c r="B658" s="16" t="s">
        <v>13</v>
      </c>
      <c r="C658" s="14" t="s">
        <v>6</v>
      </c>
      <c r="D658" s="68"/>
      <c r="E658" s="88" t="s">
        <v>2091</v>
      </c>
    </row>
    <row r="659" spans="1:5" ht="30.75" thickBot="1" x14ac:dyDescent="0.3">
      <c r="A659" s="15">
        <v>38221</v>
      </c>
      <c r="B659" s="16" t="s">
        <v>927</v>
      </c>
      <c r="C659" s="14" t="s">
        <v>6</v>
      </c>
      <c r="D659" s="68"/>
      <c r="E659" s="88" t="s">
        <v>2091</v>
      </c>
    </row>
    <row r="660" spans="1:5" ht="30.75" thickBot="1" x14ac:dyDescent="0.3">
      <c r="A660" s="15">
        <v>38222</v>
      </c>
      <c r="B660" s="16" t="s">
        <v>928</v>
      </c>
      <c r="C660" s="14" t="s">
        <v>6</v>
      </c>
      <c r="D660" s="68"/>
      <c r="E660" s="88" t="s">
        <v>2091</v>
      </c>
    </row>
    <row r="661" spans="1:5" ht="26.25" thickBot="1" x14ac:dyDescent="0.3">
      <c r="A661" s="15">
        <v>38301</v>
      </c>
      <c r="B661" s="16" t="s">
        <v>14</v>
      </c>
      <c r="C661" s="14" t="s">
        <v>6</v>
      </c>
      <c r="D661" s="68"/>
      <c r="E661" s="88" t="s">
        <v>2091</v>
      </c>
    </row>
    <row r="662" spans="1:5" ht="26.25" thickBot="1" x14ac:dyDescent="0.3">
      <c r="A662" s="15">
        <v>38302</v>
      </c>
      <c r="B662" s="16" t="s">
        <v>15</v>
      </c>
      <c r="C662" s="14" t="s">
        <v>6</v>
      </c>
      <c r="D662" s="68"/>
      <c r="E662" s="88" t="s">
        <v>2091</v>
      </c>
    </row>
    <row r="663" spans="1:5" ht="26.25" thickBot="1" x14ac:dyDescent="0.3">
      <c r="A663" s="15">
        <v>38309</v>
      </c>
      <c r="B663" s="16" t="s">
        <v>929</v>
      </c>
      <c r="C663" s="14" t="s">
        <v>6</v>
      </c>
      <c r="D663" s="68"/>
      <c r="E663" s="88" t="s">
        <v>2091</v>
      </c>
    </row>
    <row r="664" spans="1:5" ht="26.25" thickBot="1" x14ac:dyDescent="0.3">
      <c r="A664" s="15">
        <v>39001</v>
      </c>
      <c r="B664" s="16" t="s">
        <v>930</v>
      </c>
      <c r="C664" s="14" t="s">
        <v>6</v>
      </c>
      <c r="D664" s="68"/>
      <c r="E664" s="88" t="s">
        <v>2091</v>
      </c>
    </row>
    <row r="665" spans="1:5" ht="26.25" thickBot="1" x14ac:dyDescent="0.3">
      <c r="A665" s="15">
        <v>39002</v>
      </c>
      <c r="B665" s="16" t="s">
        <v>931</v>
      </c>
      <c r="C665" s="14" t="s">
        <v>6</v>
      </c>
      <c r="D665" s="68"/>
      <c r="E665" s="88" t="s">
        <v>2091</v>
      </c>
    </row>
    <row r="666" spans="1:5" ht="30.75" thickBot="1" x14ac:dyDescent="0.3">
      <c r="A666" s="15">
        <v>39009</v>
      </c>
      <c r="B666" s="16" t="s">
        <v>932</v>
      </c>
      <c r="C666" s="14" t="s">
        <v>6</v>
      </c>
      <c r="D666" s="68"/>
      <c r="E666" s="88" t="s">
        <v>2091</v>
      </c>
    </row>
    <row r="667" spans="1:5" ht="15.75" thickBot="1" x14ac:dyDescent="0.3">
      <c r="A667" s="15">
        <v>41011</v>
      </c>
      <c r="B667" s="14" t="s">
        <v>934</v>
      </c>
      <c r="C667" s="14" t="s">
        <v>933</v>
      </c>
      <c r="D667" s="58"/>
      <c r="E667" s="58"/>
    </row>
    <row r="668" spans="1:5" ht="15.75" thickBot="1" x14ac:dyDescent="0.3">
      <c r="A668" s="15">
        <v>41012</v>
      </c>
      <c r="B668" s="14" t="s">
        <v>935</v>
      </c>
      <c r="C668" s="14" t="s">
        <v>933</v>
      </c>
      <c r="D668" s="58"/>
      <c r="E668" s="58"/>
    </row>
    <row r="669" spans="1:5" ht="15.75" thickBot="1" x14ac:dyDescent="0.3">
      <c r="A669" s="15">
        <v>41013</v>
      </c>
      <c r="B669" s="14" t="s">
        <v>936</v>
      </c>
      <c r="C669" s="14" t="s">
        <v>933</v>
      </c>
      <c r="D669" s="58"/>
      <c r="E669" s="58"/>
    </row>
    <row r="670" spans="1:5" ht="15.75" thickBot="1" x14ac:dyDescent="0.3">
      <c r="A670" s="15">
        <v>41014</v>
      </c>
      <c r="B670" s="14" t="s">
        <v>937</v>
      </c>
      <c r="C670" s="14" t="s">
        <v>933</v>
      </c>
      <c r="D670" s="58"/>
      <c r="E670" s="58"/>
    </row>
    <row r="671" spans="1:5" ht="15.75" thickBot="1" x14ac:dyDescent="0.3">
      <c r="A671" s="15">
        <v>41015</v>
      </c>
      <c r="B671" s="14" t="s">
        <v>938</v>
      </c>
      <c r="C671" s="14" t="s">
        <v>933</v>
      </c>
      <c r="D671" s="58"/>
      <c r="E671" s="58"/>
    </row>
    <row r="672" spans="1:5" ht="15.75" thickBot="1" x14ac:dyDescent="0.3">
      <c r="A672" s="15">
        <v>41016</v>
      </c>
      <c r="B672" s="14" t="s">
        <v>939</v>
      </c>
      <c r="C672" s="14" t="s">
        <v>933</v>
      </c>
      <c r="D672" s="58"/>
      <c r="E672" s="58"/>
    </row>
    <row r="673" spans="1:5" ht="15.75" thickBot="1" x14ac:dyDescent="0.3">
      <c r="A673" s="15">
        <v>41017</v>
      </c>
      <c r="B673" s="14" t="s">
        <v>940</v>
      </c>
      <c r="C673" s="14" t="s">
        <v>933</v>
      </c>
      <c r="D673" s="58"/>
      <c r="E673" s="58"/>
    </row>
    <row r="674" spans="1:5" ht="30.75" thickBot="1" x14ac:dyDescent="0.3">
      <c r="A674" s="15">
        <v>41018</v>
      </c>
      <c r="B674" s="14" t="s">
        <v>941</v>
      </c>
      <c r="C674" s="14" t="s">
        <v>933</v>
      </c>
      <c r="D674" s="58"/>
      <c r="E674" s="58"/>
    </row>
    <row r="675" spans="1:5" ht="15.75" thickBot="1" x14ac:dyDescent="0.3">
      <c r="A675" s="15">
        <v>41019</v>
      </c>
      <c r="B675" s="14" t="s">
        <v>942</v>
      </c>
      <c r="C675" s="14" t="s">
        <v>933</v>
      </c>
      <c r="D675" s="58"/>
      <c r="E675" s="58"/>
    </row>
    <row r="676" spans="1:5" ht="15.75" thickBot="1" x14ac:dyDescent="0.3">
      <c r="A676" s="15">
        <v>41020</v>
      </c>
      <c r="B676" s="14" t="s">
        <v>943</v>
      </c>
      <c r="C676" s="14" t="s">
        <v>933</v>
      </c>
      <c r="D676" s="58"/>
      <c r="E676" s="58"/>
    </row>
    <row r="677" spans="1:5" ht="15.75" thickBot="1" x14ac:dyDescent="0.3">
      <c r="A677" s="15">
        <v>42101</v>
      </c>
      <c r="B677" s="14" t="s">
        <v>944</v>
      </c>
      <c r="C677" s="14" t="s">
        <v>933</v>
      </c>
      <c r="D677" s="58"/>
      <c r="E677" s="58"/>
    </row>
    <row r="678" spans="1:5" ht="30.75" thickBot="1" x14ac:dyDescent="0.3">
      <c r="A678" s="15">
        <v>42102</v>
      </c>
      <c r="B678" s="14" t="s">
        <v>945</v>
      </c>
      <c r="C678" s="14" t="s">
        <v>933</v>
      </c>
      <c r="D678" s="58"/>
      <c r="E678" s="58"/>
    </row>
    <row r="679" spans="1:5" ht="15.75" thickBot="1" x14ac:dyDescent="0.3">
      <c r="A679" s="15">
        <v>42103</v>
      </c>
      <c r="B679" s="14" t="s">
        <v>946</v>
      </c>
      <c r="C679" s="14" t="s">
        <v>933</v>
      </c>
      <c r="D679" s="58"/>
      <c r="E679" s="58"/>
    </row>
    <row r="680" spans="1:5" ht="15.75" thickBot="1" x14ac:dyDescent="0.3">
      <c r="A680" s="15">
        <v>42104</v>
      </c>
      <c r="B680" s="14" t="s">
        <v>947</v>
      </c>
      <c r="C680" s="14" t="s">
        <v>933</v>
      </c>
      <c r="D680" s="58"/>
      <c r="E680" s="58"/>
    </row>
    <row r="681" spans="1:5" ht="15.75" thickBot="1" x14ac:dyDescent="0.3">
      <c r="A681" s="15">
        <v>42201</v>
      </c>
      <c r="B681" s="14" t="s">
        <v>948</v>
      </c>
      <c r="C681" s="14" t="s">
        <v>933</v>
      </c>
      <c r="D681" s="58"/>
      <c r="E681" s="58"/>
    </row>
    <row r="682" spans="1:5" ht="30.75" thickBot="1" x14ac:dyDescent="0.3">
      <c r="A682" s="15">
        <v>42202</v>
      </c>
      <c r="B682" s="14" t="s">
        <v>949</v>
      </c>
      <c r="C682" s="14" t="s">
        <v>933</v>
      </c>
      <c r="D682" s="58"/>
      <c r="E682" s="58"/>
    </row>
    <row r="683" spans="1:5" ht="30.75" thickBot="1" x14ac:dyDescent="0.3">
      <c r="A683" s="15">
        <v>42203</v>
      </c>
      <c r="B683" s="14" t="s">
        <v>950</v>
      </c>
      <c r="C683" s="14" t="s">
        <v>933</v>
      </c>
      <c r="D683" s="58"/>
      <c r="E683" s="58"/>
    </row>
    <row r="684" spans="1:5" ht="15.75" thickBot="1" x14ac:dyDescent="0.3">
      <c r="A684" s="15">
        <v>42204</v>
      </c>
      <c r="B684" s="14" t="s">
        <v>951</v>
      </c>
      <c r="C684" s="14" t="s">
        <v>933</v>
      </c>
      <c r="D684" s="58"/>
      <c r="E684" s="58"/>
    </row>
    <row r="685" spans="1:5" ht="30.75" thickBot="1" x14ac:dyDescent="0.3">
      <c r="A685" s="15">
        <v>42205</v>
      </c>
      <c r="B685" s="14" t="s">
        <v>952</v>
      </c>
      <c r="C685" s="14" t="s">
        <v>933</v>
      </c>
      <c r="D685" s="58"/>
      <c r="E685" s="58"/>
    </row>
    <row r="686" spans="1:5" ht="15.75" thickBot="1" x14ac:dyDescent="0.3">
      <c r="A686" s="15">
        <v>42206</v>
      </c>
      <c r="B686" s="14" t="s">
        <v>953</v>
      </c>
      <c r="C686" s="14" t="s">
        <v>933</v>
      </c>
      <c r="D686" s="58"/>
      <c r="E686" s="58"/>
    </row>
    <row r="687" spans="1:5" ht="15.75" thickBot="1" x14ac:dyDescent="0.3">
      <c r="A687" s="15">
        <v>42207</v>
      </c>
      <c r="B687" s="14" t="s">
        <v>954</v>
      </c>
      <c r="C687" s="14" t="s">
        <v>933</v>
      </c>
      <c r="D687" s="58"/>
      <c r="E687" s="58"/>
    </row>
    <row r="688" spans="1:5" ht="15.75" thickBot="1" x14ac:dyDescent="0.3">
      <c r="A688" s="15">
        <v>42209</v>
      </c>
      <c r="B688" s="14" t="s">
        <v>955</v>
      </c>
      <c r="C688" s="14" t="s">
        <v>933</v>
      </c>
      <c r="D688" s="58"/>
      <c r="E688" s="58"/>
    </row>
    <row r="689" spans="1:5" ht="30.75" thickBot="1" x14ac:dyDescent="0.3">
      <c r="A689" s="15">
        <v>42911</v>
      </c>
      <c r="B689" s="14" t="s">
        <v>956</v>
      </c>
      <c r="C689" s="14" t="s">
        <v>933</v>
      </c>
      <c r="D689" s="58"/>
      <c r="E689" s="58"/>
    </row>
    <row r="690" spans="1:5" ht="30.75" thickBot="1" x14ac:dyDescent="0.3">
      <c r="A690" s="15">
        <v>42912</v>
      </c>
      <c r="B690" s="14" t="s">
        <v>957</v>
      </c>
      <c r="C690" s="14" t="s">
        <v>933</v>
      </c>
      <c r="D690" s="58"/>
      <c r="E690" s="58"/>
    </row>
    <row r="691" spans="1:5" ht="15.75" thickBot="1" x14ac:dyDescent="0.3">
      <c r="A691" s="15">
        <v>42913</v>
      </c>
      <c r="B691" s="14" t="s">
        <v>958</v>
      </c>
      <c r="C691" s="14" t="s">
        <v>933</v>
      </c>
      <c r="D691" s="58"/>
      <c r="E691" s="58"/>
    </row>
    <row r="692" spans="1:5" ht="30.75" thickBot="1" x14ac:dyDescent="0.3">
      <c r="A692" s="15">
        <v>42914</v>
      </c>
      <c r="B692" s="14" t="s">
        <v>959</v>
      </c>
      <c r="C692" s="14" t="s">
        <v>933</v>
      </c>
      <c r="D692" s="58"/>
      <c r="E692" s="58"/>
    </row>
    <row r="693" spans="1:5" ht="15.75" thickBot="1" x14ac:dyDescent="0.3">
      <c r="A693" s="15">
        <v>42915</v>
      </c>
      <c r="B693" s="14" t="s">
        <v>960</v>
      </c>
      <c r="C693" s="14" t="s">
        <v>933</v>
      </c>
      <c r="D693" s="58"/>
      <c r="E693" s="58"/>
    </row>
    <row r="694" spans="1:5" ht="30.75" thickBot="1" x14ac:dyDescent="0.3">
      <c r="A694" s="15">
        <v>42919</v>
      </c>
      <c r="B694" s="14" t="s">
        <v>961</v>
      </c>
      <c r="C694" s="14" t="s">
        <v>933</v>
      </c>
      <c r="D694" s="58"/>
      <c r="E694" s="58"/>
    </row>
    <row r="695" spans="1:5" ht="15.75" thickBot="1" x14ac:dyDescent="0.3">
      <c r="A695" s="15">
        <v>42991</v>
      </c>
      <c r="B695" s="14" t="s">
        <v>962</v>
      </c>
      <c r="C695" s="14" t="s">
        <v>933</v>
      </c>
      <c r="D695" s="58"/>
      <c r="E695" s="58"/>
    </row>
    <row r="696" spans="1:5" ht="15.75" thickBot="1" x14ac:dyDescent="0.3">
      <c r="A696" s="15">
        <v>42992</v>
      </c>
      <c r="B696" s="14" t="s">
        <v>963</v>
      </c>
      <c r="C696" s="14" t="s">
        <v>933</v>
      </c>
      <c r="D696" s="58"/>
      <c r="E696" s="58"/>
    </row>
    <row r="697" spans="1:5" ht="15.75" thickBot="1" x14ac:dyDescent="0.3">
      <c r="A697" s="15">
        <v>42993</v>
      </c>
      <c r="B697" s="14" t="s">
        <v>964</v>
      </c>
      <c r="C697" s="14" t="s">
        <v>933</v>
      </c>
      <c r="D697" s="58"/>
      <c r="E697" s="58"/>
    </row>
    <row r="698" spans="1:5" ht="15.75" thickBot="1" x14ac:dyDescent="0.3">
      <c r="A698" s="15">
        <v>42994</v>
      </c>
      <c r="B698" s="14" t="s">
        <v>965</v>
      </c>
      <c r="C698" s="14" t="s">
        <v>933</v>
      </c>
      <c r="D698" s="58"/>
      <c r="E698" s="58"/>
    </row>
    <row r="699" spans="1:5" ht="30.75" thickBot="1" x14ac:dyDescent="0.3">
      <c r="A699" s="15">
        <v>42995</v>
      </c>
      <c r="B699" s="14" t="s">
        <v>966</v>
      </c>
      <c r="C699" s="14" t="s">
        <v>933</v>
      </c>
      <c r="D699" s="58"/>
      <c r="E699" s="58"/>
    </row>
    <row r="700" spans="1:5" ht="30.75" thickBot="1" x14ac:dyDescent="0.3">
      <c r="A700" s="15">
        <v>42996</v>
      </c>
      <c r="B700" s="14" t="s">
        <v>967</v>
      </c>
      <c r="C700" s="14" t="s">
        <v>933</v>
      </c>
      <c r="D700" s="58"/>
      <c r="E700" s="58"/>
    </row>
    <row r="701" spans="1:5" ht="30.75" thickBot="1" x14ac:dyDescent="0.3">
      <c r="A701" s="15">
        <v>42997</v>
      </c>
      <c r="B701" s="14" t="s">
        <v>968</v>
      </c>
      <c r="C701" s="14" t="s">
        <v>933</v>
      </c>
      <c r="D701" s="58"/>
      <c r="E701" s="58"/>
    </row>
    <row r="702" spans="1:5" ht="15.75" thickBot="1" x14ac:dyDescent="0.3">
      <c r="A702" s="15">
        <v>42998</v>
      </c>
      <c r="B702" s="14" t="s">
        <v>969</v>
      </c>
      <c r="C702" s="14" t="s">
        <v>933</v>
      </c>
      <c r="D702" s="58"/>
      <c r="E702" s="58"/>
    </row>
    <row r="703" spans="1:5" ht="15.75" thickBot="1" x14ac:dyDescent="0.3">
      <c r="A703" s="15">
        <v>42999</v>
      </c>
      <c r="B703" s="14" t="s">
        <v>970</v>
      </c>
      <c r="C703" s="14" t="s">
        <v>933</v>
      </c>
      <c r="D703" s="58"/>
      <c r="E703" s="58"/>
    </row>
    <row r="704" spans="1:5" ht="15.75" thickBot="1" x14ac:dyDescent="0.3">
      <c r="A704" s="15">
        <v>43110</v>
      </c>
      <c r="B704" s="14" t="s">
        <v>971</v>
      </c>
      <c r="C704" s="14" t="s">
        <v>933</v>
      </c>
      <c r="D704" s="58"/>
      <c r="E704" s="58"/>
    </row>
    <row r="705" spans="1:5" ht="15.75" thickBot="1" x14ac:dyDescent="0.3">
      <c r="A705" s="15">
        <v>43120</v>
      </c>
      <c r="B705" s="14" t="s">
        <v>972</v>
      </c>
      <c r="C705" s="14" t="s">
        <v>933</v>
      </c>
      <c r="D705" s="58"/>
      <c r="E705" s="58"/>
    </row>
    <row r="706" spans="1:5" ht="15.75" thickBot="1" x14ac:dyDescent="0.3">
      <c r="A706" s="15">
        <v>43211</v>
      </c>
      <c r="B706" s="14" t="s">
        <v>973</v>
      </c>
      <c r="C706" s="14" t="s">
        <v>933</v>
      </c>
      <c r="D706" s="58"/>
      <c r="E706" s="58"/>
    </row>
    <row r="707" spans="1:5" ht="15.75" thickBot="1" x14ac:dyDescent="0.3">
      <c r="A707" s="15">
        <v>43212</v>
      </c>
      <c r="B707" s="14" t="s">
        <v>974</v>
      </c>
      <c r="C707" s="14" t="s">
        <v>933</v>
      </c>
      <c r="D707" s="58"/>
      <c r="E707" s="58"/>
    </row>
    <row r="708" spans="1:5" ht="15.75" thickBot="1" x14ac:dyDescent="0.3">
      <c r="A708" s="15">
        <v>43213</v>
      </c>
      <c r="B708" s="14" t="s">
        <v>975</v>
      </c>
      <c r="C708" s="14" t="s">
        <v>933</v>
      </c>
      <c r="D708" s="58"/>
      <c r="E708" s="58"/>
    </row>
    <row r="709" spans="1:5" ht="30.75" thickBot="1" x14ac:dyDescent="0.3">
      <c r="A709" s="15">
        <v>43214</v>
      </c>
      <c r="B709" s="14" t="s">
        <v>976</v>
      </c>
      <c r="C709" s="14" t="s">
        <v>933</v>
      </c>
      <c r="D709" s="58"/>
      <c r="E709" s="58"/>
    </row>
    <row r="710" spans="1:5" ht="30.75" thickBot="1" x14ac:dyDescent="0.3">
      <c r="A710" s="15">
        <v>43215</v>
      </c>
      <c r="B710" s="14" t="s">
        <v>977</v>
      </c>
      <c r="C710" s="14" t="s">
        <v>933</v>
      </c>
      <c r="D710" s="58"/>
      <c r="E710" s="58"/>
    </row>
    <row r="711" spans="1:5" ht="30.75" thickBot="1" x14ac:dyDescent="0.3">
      <c r="A711" s="15">
        <v>43216</v>
      </c>
      <c r="B711" s="14" t="s">
        <v>978</v>
      </c>
      <c r="C711" s="14" t="s">
        <v>933</v>
      </c>
      <c r="D711" s="58"/>
      <c r="E711" s="58"/>
    </row>
    <row r="712" spans="1:5" ht="15.75" thickBot="1" x14ac:dyDescent="0.3">
      <c r="A712" s="15">
        <v>43221</v>
      </c>
      <c r="B712" s="14" t="s">
        <v>979</v>
      </c>
      <c r="C712" s="14" t="s">
        <v>933</v>
      </c>
      <c r="D712" s="58"/>
      <c r="E712" s="58"/>
    </row>
    <row r="713" spans="1:5" ht="15.75" thickBot="1" x14ac:dyDescent="0.3">
      <c r="A713" s="15">
        <v>43222</v>
      </c>
      <c r="B713" s="14" t="s">
        <v>980</v>
      </c>
      <c r="C713" s="14" t="s">
        <v>933</v>
      </c>
      <c r="D713" s="58"/>
      <c r="E713" s="58"/>
    </row>
    <row r="714" spans="1:5" ht="15.75" thickBot="1" x14ac:dyDescent="0.3">
      <c r="A714" s="15">
        <v>43223</v>
      </c>
      <c r="B714" s="14" t="s">
        <v>981</v>
      </c>
      <c r="C714" s="14" t="s">
        <v>933</v>
      </c>
      <c r="D714" s="58"/>
      <c r="E714" s="58"/>
    </row>
    <row r="715" spans="1:5" ht="15.75" thickBot="1" x14ac:dyDescent="0.3">
      <c r="A715" s="15">
        <v>43224</v>
      </c>
      <c r="B715" s="14" t="s">
        <v>982</v>
      </c>
      <c r="C715" s="14" t="s">
        <v>933</v>
      </c>
      <c r="D715" s="58"/>
      <c r="E715" s="58"/>
    </row>
    <row r="716" spans="1:5" ht="30.75" thickBot="1" x14ac:dyDescent="0.3">
      <c r="A716" s="15">
        <v>43291</v>
      </c>
      <c r="B716" s="14" t="s">
        <v>983</v>
      </c>
      <c r="C716" s="14" t="s">
        <v>933</v>
      </c>
      <c r="D716" s="58"/>
      <c r="E716" s="58"/>
    </row>
    <row r="717" spans="1:5" ht="15.75" thickBot="1" x14ac:dyDescent="0.3">
      <c r="A717" s="15">
        <v>43299</v>
      </c>
      <c r="B717" s="14" t="s">
        <v>984</v>
      </c>
      <c r="C717" s="14" t="s">
        <v>933</v>
      </c>
      <c r="D717" s="58"/>
      <c r="E717" s="58"/>
    </row>
    <row r="718" spans="1:5" ht="30.75" thickBot="1" x14ac:dyDescent="0.3">
      <c r="A718" s="15">
        <v>43301</v>
      </c>
      <c r="B718" s="14" t="s">
        <v>985</v>
      </c>
      <c r="C718" s="14" t="s">
        <v>933</v>
      </c>
      <c r="D718" s="58"/>
      <c r="E718" s="58"/>
    </row>
    <row r="719" spans="1:5" ht="15.75" thickBot="1" x14ac:dyDescent="0.3">
      <c r="A719" s="15">
        <v>43302</v>
      </c>
      <c r="B719" s="14" t="s">
        <v>986</v>
      </c>
      <c r="C719" s="14" t="s">
        <v>933</v>
      </c>
      <c r="D719" s="58"/>
      <c r="E719" s="58"/>
    </row>
    <row r="720" spans="1:5" ht="15.75" thickBot="1" x14ac:dyDescent="0.3">
      <c r="A720" s="15">
        <v>43303</v>
      </c>
      <c r="B720" s="14" t="s">
        <v>987</v>
      </c>
      <c r="C720" s="14" t="s">
        <v>933</v>
      </c>
      <c r="D720" s="58"/>
      <c r="E720" s="58"/>
    </row>
    <row r="721" spans="1:5" ht="15.75" thickBot="1" x14ac:dyDescent="0.3">
      <c r="A721" s="15">
        <v>43309</v>
      </c>
      <c r="B721" s="14" t="s">
        <v>988</v>
      </c>
      <c r="C721" s="14" t="s">
        <v>933</v>
      </c>
      <c r="D721" s="58"/>
      <c r="E721" s="58"/>
    </row>
    <row r="722" spans="1:5" ht="26.25" thickBot="1" x14ac:dyDescent="0.3">
      <c r="A722" s="15">
        <v>43400</v>
      </c>
      <c r="B722" s="14" t="s">
        <v>989</v>
      </c>
      <c r="C722" s="14" t="s">
        <v>933</v>
      </c>
      <c r="D722" s="88" t="s">
        <v>2090</v>
      </c>
      <c r="E722" s="58"/>
    </row>
    <row r="723" spans="1:5" ht="15.75" thickBot="1" x14ac:dyDescent="0.3">
      <c r="A723" s="15">
        <v>43901</v>
      </c>
      <c r="B723" s="14" t="s">
        <v>990</v>
      </c>
      <c r="C723" s="14" t="s">
        <v>933</v>
      </c>
      <c r="D723" s="58"/>
      <c r="E723" s="58"/>
    </row>
    <row r="724" spans="1:5" ht="15.75" thickBot="1" x14ac:dyDescent="0.3">
      <c r="A724" s="15">
        <v>43902</v>
      </c>
      <c r="B724" s="14" t="s">
        <v>991</v>
      </c>
      <c r="C724" s="14" t="s">
        <v>933</v>
      </c>
      <c r="D724" s="58"/>
      <c r="E724" s="58"/>
    </row>
    <row r="725" spans="1:5" ht="15.75" thickBot="1" x14ac:dyDescent="0.3">
      <c r="A725" s="15">
        <v>43903</v>
      </c>
      <c r="B725" s="14" t="s">
        <v>992</v>
      </c>
      <c r="C725" s="14" t="s">
        <v>933</v>
      </c>
      <c r="D725" s="58"/>
      <c r="E725" s="58"/>
    </row>
    <row r="726" spans="1:5" ht="15.75" thickBot="1" x14ac:dyDescent="0.3">
      <c r="A726" s="15">
        <v>43904</v>
      </c>
      <c r="B726" s="14" t="s">
        <v>993</v>
      </c>
      <c r="C726" s="14" t="s">
        <v>933</v>
      </c>
      <c r="D726" s="58"/>
      <c r="E726" s="58"/>
    </row>
    <row r="727" spans="1:5" ht="15.75" thickBot="1" x14ac:dyDescent="0.3">
      <c r="A727" s="15">
        <v>43905</v>
      </c>
      <c r="B727" s="14" t="s">
        <v>994</v>
      </c>
      <c r="C727" s="14" t="s">
        <v>933</v>
      </c>
      <c r="D727" s="58"/>
      <c r="E727" s="58"/>
    </row>
    <row r="728" spans="1:5" ht="15.75" thickBot="1" x14ac:dyDescent="0.3">
      <c r="A728" s="15">
        <v>43909</v>
      </c>
      <c r="B728" s="14" t="s">
        <v>995</v>
      </c>
      <c r="C728" s="14" t="s">
        <v>933</v>
      </c>
      <c r="D728" s="58"/>
      <c r="E728" s="58"/>
    </row>
    <row r="729" spans="1:5" ht="30.75" thickBot="1" x14ac:dyDescent="0.3">
      <c r="A729" s="15">
        <v>46100</v>
      </c>
      <c r="B729" s="14" t="s">
        <v>997</v>
      </c>
      <c r="C729" s="14" t="s">
        <v>996</v>
      </c>
      <c r="D729" s="88" t="s">
        <v>2090</v>
      </c>
      <c r="E729" s="58"/>
    </row>
    <row r="730" spans="1:5" ht="15.75" thickBot="1" x14ac:dyDescent="0.3">
      <c r="A730" s="15">
        <v>46201</v>
      </c>
      <c r="B730" s="14" t="s">
        <v>998</v>
      </c>
      <c r="C730" s="14" t="s">
        <v>996</v>
      </c>
      <c r="D730" s="58"/>
      <c r="E730" s="58"/>
    </row>
    <row r="731" spans="1:5" ht="30.75" thickBot="1" x14ac:dyDescent="0.3">
      <c r="A731" s="15">
        <v>46202</v>
      </c>
      <c r="B731" s="14" t="s">
        <v>999</v>
      </c>
      <c r="C731" s="14" t="s">
        <v>996</v>
      </c>
      <c r="D731" s="58"/>
      <c r="E731" s="58"/>
    </row>
    <row r="732" spans="1:5" ht="15.75" thickBot="1" x14ac:dyDescent="0.3">
      <c r="A732" s="15">
        <v>46203</v>
      </c>
      <c r="B732" s="14" t="s">
        <v>1000</v>
      </c>
      <c r="C732" s="14" t="s">
        <v>996</v>
      </c>
      <c r="D732" s="58"/>
      <c r="E732" s="58"/>
    </row>
    <row r="733" spans="1:5" ht="15.75" thickBot="1" x14ac:dyDescent="0.3">
      <c r="A733" s="15">
        <v>46204</v>
      </c>
      <c r="B733" s="14" t="s">
        <v>1001</v>
      </c>
      <c r="C733" s="14" t="s">
        <v>996</v>
      </c>
      <c r="D733" s="58"/>
      <c r="E733" s="58"/>
    </row>
    <row r="734" spans="1:5" ht="15.75" thickBot="1" x14ac:dyDescent="0.3">
      <c r="A734" s="15">
        <v>46205</v>
      </c>
      <c r="B734" s="14" t="s">
        <v>1002</v>
      </c>
      <c r="C734" s="14" t="s">
        <v>996</v>
      </c>
      <c r="D734" s="58"/>
      <c r="E734" s="58"/>
    </row>
    <row r="735" spans="1:5" ht="30.75" thickBot="1" x14ac:dyDescent="0.3">
      <c r="A735" s="15">
        <v>46206</v>
      </c>
      <c r="B735" s="14" t="s">
        <v>1003</v>
      </c>
      <c r="C735" s="14" t="s">
        <v>996</v>
      </c>
      <c r="D735" s="58"/>
      <c r="E735" s="58"/>
    </row>
    <row r="736" spans="1:5" ht="30.75" thickBot="1" x14ac:dyDescent="0.3">
      <c r="A736" s="15">
        <v>46207</v>
      </c>
      <c r="B736" s="14" t="s">
        <v>1004</v>
      </c>
      <c r="C736" s="14" t="s">
        <v>996</v>
      </c>
      <c r="D736" s="58"/>
      <c r="E736" s="58"/>
    </row>
    <row r="737" spans="1:5" ht="15.75" thickBot="1" x14ac:dyDescent="0.3">
      <c r="A737" s="15">
        <v>46208</v>
      </c>
      <c r="B737" s="14" t="s">
        <v>1005</v>
      </c>
      <c r="C737" s="14" t="s">
        <v>996</v>
      </c>
      <c r="D737" s="58"/>
      <c r="E737" s="58"/>
    </row>
    <row r="738" spans="1:5" ht="30.75" thickBot="1" x14ac:dyDescent="0.3">
      <c r="A738" s="15">
        <v>46209</v>
      </c>
      <c r="B738" s="14" t="s">
        <v>1006</v>
      </c>
      <c r="C738" s="14" t="s">
        <v>996</v>
      </c>
      <c r="D738" s="58"/>
      <c r="E738" s="58"/>
    </row>
    <row r="739" spans="1:5" ht="15.75" thickBot="1" x14ac:dyDescent="0.3">
      <c r="A739" s="15">
        <v>46311</v>
      </c>
      <c r="B739" s="14" t="s">
        <v>1007</v>
      </c>
      <c r="C739" s="14" t="s">
        <v>996</v>
      </c>
      <c r="D739" s="58"/>
      <c r="E739" s="58"/>
    </row>
    <row r="740" spans="1:5" ht="15.75" thickBot="1" x14ac:dyDescent="0.3">
      <c r="A740" s="15">
        <v>46312</v>
      </c>
      <c r="B740" s="14" t="s">
        <v>1008</v>
      </c>
      <c r="C740" s="14" t="s">
        <v>996</v>
      </c>
      <c r="D740" s="58"/>
      <c r="E740" s="58"/>
    </row>
    <row r="741" spans="1:5" ht="15.75" thickBot="1" x14ac:dyDescent="0.3">
      <c r="A741" s="15">
        <v>46313</v>
      </c>
      <c r="B741" s="14" t="s">
        <v>1009</v>
      </c>
      <c r="C741" s="14" t="s">
        <v>996</v>
      </c>
      <c r="D741" s="58"/>
      <c r="E741" s="58"/>
    </row>
    <row r="742" spans="1:5" ht="15.75" thickBot="1" x14ac:dyDescent="0.3">
      <c r="A742" s="15">
        <v>46314</v>
      </c>
      <c r="B742" s="14" t="s">
        <v>1010</v>
      </c>
      <c r="C742" s="14" t="s">
        <v>996</v>
      </c>
      <c r="D742" s="58"/>
      <c r="E742" s="58"/>
    </row>
    <row r="743" spans="1:5" ht="15.75" thickBot="1" x14ac:dyDescent="0.3">
      <c r="A743" s="15">
        <v>46315</v>
      </c>
      <c r="B743" s="14" t="s">
        <v>1011</v>
      </c>
      <c r="C743" s="14" t="s">
        <v>996</v>
      </c>
      <c r="D743" s="58"/>
      <c r="E743" s="58"/>
    </row>
    <row r="744" spans="1:5" ht="30.75" thickBot="1" x14ac:dyDescent="0.3">
      <c r="A744" s="15">
        <v>46319</v>
      </c>
      <c r="B744" s="14" t="s">
        <v>1012</v>
      </c>
      <c r="C744" s="14" t="s">
        <v>996</v>
      </c>
      <c r="D744" s="58"/>
      <c r="E744" s="58"/>
    </row>
    <row r="745" spans="1:5" ht="30.75" thickBot="1" x14ac:dyDescent="0.3">
      <c r="A745" s="15">
        <v>46321</v>
      </c>
      <c r="B745" s="14" t="s">
        <v>1013</v>
      </c>
      <c r="C745" s="14" t="s">
        <v>996</v>
      </c>
      <c r="D745" s="58"/>
      <c r="E745" s="58"/>
    </row>
    <row r="746" spans="1:5" ht="30.75" thickBot="1" x14ac:dyDescent="0.3">
      <c r="A746" s="15">
        <v>46322</v>
      </c>
      <c r="B746" s="14" t="s">
        <v>1014</v>
      </c>
      <c r="C746" s="14" t="s">
        <v>996</v>
      </c>
      <c r="D746" s="58"/>
      <c r="E746" s="58"/>
    </row>
    <row r="747" spans="1:5" ht="30.75" thickBot="1" x14ac:dyDescent="0.3">
      <c r="A747" s="15">
        <v>46323</v>
      </c>
      <c r="B747" s="14" t="s">
        <v>1015</v>
      </c>
      <c r="C747" s="14" t="s">
        <v>996</v>
      </c>
      <c r="D747" s="58"/>
      <c r="E747" s="58"/>
    </row>
    <row r="748" spans="1:5" ht="30.75" thickBot="1" x14ac:dyDescent="0.3">
      <c r="A748" s="15">
        <v>46324</v>
      </c>
      <c r="B748" s="14" t="s">
        <v>1016</v>
      </c>
      <c r="C748" s="14" t="s">
        <v>996</v>
      </c>
      <c r="D748" s="58"/>
      <c r="E748" s="58"/>
    </row>
    <row r="749" spans="1:5" ht="30.75" thickBot="1" x14ac:dyDescent="0.3">
      <c r="A749" s="15">
        <v>46325</v>
      </c>
      <c r="B749" s="14" t="s">
        <v>1017</v>
      </c>
      <c r="C749" s="14" t="s">
        <v>996</v>
      </c>
      <c r="D749" s="58"/>
      <c r="E749" s="58"/>
    </row>
    <row r="750" spans="1:5" ht="15.75" thickBot="1" x14ac:dyDescent="0.3">
      <c r="A750" s="15">
        <v>46326</v>
      </c>
      <c r="B750" s="14" t="s">
        <v>1018</v>
      </c>
      <c r="C750" s="14" t="s">
        <v>996</v>
      </c>
      <c r="D750" s="58"/>
      <c r="E750" s="58"/>
    </row>
    <row r="751" spans="1:5" ht="15.75" thickBot="1" x14ac:dyDescent="0.3">
      <c r="A751" s="15">
        <v>46327</v>
      </c>
      <c r="B751" s="14" t="s">
        <v>1019</v>
      </c>
      <c r="C751" s="14" t="s">
        <v>996</v>
      </c>
      <c r="D751" s="58"/>
      <c r="E751" s="58"/>
    </row>
    <row r="752" spans="1:5" ht="30.75" thickBot="1" x14ac:dyDescent="0.3">
      <c r="A752" s="15">
        <v>46329</v>
      </c>
      <c r="B752" s="14" t="s">
        <v>1012</v>
      </c>
      <c r="C752" s="14" t="s">
        <v>996</v>
      </c>
      <c r="D752" s="58"/>
      <c r="E752" s="58"/>
    </row>
    <row r="753" spans="1:5" ht="30.75" thickBot="1" x14ac:dyDescent="0.3">
      <c r="A753" s="15">
        <v>46331</v>
      </c>
      <c r="B753" s="14" t="s">
        <v>1020</v>
      </c>
      <c r="C753" s="14" t="s">
        <v>996</v>
      </c>
      <c r="D753" s="58"/>
      <c r="E753" s="58"/>
    </row>
    <row r="754" spans="1:5" ht="15.75" thickBot="1" x14ac:dyDescent="0.3">
      <c r="A754" s="15">
        <v>46332</v>
      </c>
      <c r="B754" s="14" t="s">
        <v>1021</v>
      </c>
      <c r="C754" s="14" t="s">
        <v>996</v>
      </c>
      <c r="D754" s="58"/>
      <c r="E754" s="58"/>
    </row>
    <row r="755" spans="1:5" ht="15.75" thickBot="1" x14ac:dyDescent="0.3">
      <c r="A755" s="15">
        <v>46333</v>
      </c>
      <c r="B755" s="14" t="s">
        <v>1022</v>
      </c>
      <c r="C755" s="14" t="s">
        <v>996</v>
      </c>
      <c r="D755" s="58"/>
      <c r="E755" s="58"/>
    </row>
    <row r="756" spans="1:5" ht="30.75" thickBot="1" x14ac:dyDescent="0.3">
      <c r="A756" s="15">
        <v>46334</v>
      </c>
      <c r="B756" s="14" t="s">
        <v>1023</v>
      </c>
      <c r="C756" s="14" t="s">
        <v>996</v>
      </c>
      <c r="D756" s="58"/>
      <c r="E756" s="58"/>
    </row>
    <row r="757" spans="1:5" ht="15.75" thickBot="1" x14ac:dyDescent="0.3">
      <c r="A757" s="15">
        <v>46335</v>
      </c>
      <c r="B757" s="14" t="s">
        <v>1024</v>
      </c>
      <c r="C757" s="14" t="s">
        <v>996</v>
      </c>
      <c r="D757" s="58"/>
      <c r="E757" s="58"/>
    </row>
    <row r="758" spans="1:5" ht="30.75" thickBot="1" x14ac:dyDescent="0.3">
      <c r="A758" s="15">
        <v>46339</v>
      </c>
      <c r="B758" s="14" t="s">
        <v>1025</v>
      </c>
      <c r="C758" s="14" t="s">
        <v>996</v>
      </c>
      <c r="D758" s="58"/>
      <c r="E758" s="58"/>
    </row>
    <row r="759" spans="1:5" ht="15.75" thickBot="1" x14ac:dyDescent="0.3">
      <c r="A759" s="15">
        <v>46411</v>
      </c>
      <c r="B759" s="14" t="s">
        <v>1026</v>
      </c>
      <c r="C759" s="14" t="s">
        <v>996</v>
      </c>
      <c r="D759" s="58"/>
      <c r="E759" s="58"/>
    </row>
    <row r="760" spans="1:5" ht="15.75" thickBot="1" x14ac:dyDescent="0.3">
      <c r="A760" s="15">
        <v>46412</v>
      </c>
      <c r="B760" s="14" t="s">
        <v>1027</v>
      </c>
      <c r="C760" s="14" t="s">
        <v>996</v>
      </c>
      <c r="D760" s="58"/>
      <c r="E760" s="58"/>
    </row>
    <row r="761" spans="1:5" ht="15.75" thickBot="1" x14ac:dyDescent="0.3">
      <c r="A761" s="15">
        <v>46413</v>
      </c>
      <c r="B761" s="14" t="s">
        <v>1028</v>
      </c>
      <c r="C761" s="14" t="s">
        <v>996</v>
      </c>
      <c r="D761" s="58"/>
      <c r="E761" s="58"/>
    </row>
    <row r="762" spans="1:5" ht="15.75" thickBot="1" x14ac:dyDescent="0.3">
      <c r="A762" s="15">
        <v>46414</v>
      </c>
      <c r="B762" s="14" t="s">
        <v>1029</v>
      </c>
      <c r="C762" s="14" t="s">
        <v>996</v>
      </c>
      <c r="D762" s="58"/>
      <c r="E762" s="58"/>
    </row>
    <row r="763" spans="1:5" ht="15.75" thickBot="1" x14ac:dyDescent="0.3">
      <c r="A763" s="15">
        <v>46415</v>
      </c>
      <c r="B763" s="14" t="s">
        <v>1030</v>
      </c>
      <c r="C763" s="14" t="s">
        <v>996</v>
      </c>
      <c r="D763" s="58"/>
      <c r="E763" s="58"/>
    </row>
    <row r="764" spans="1:5" ht="30.75" thickBot="1" x14ac:dyDescent="0.3">
      <c r="A764" s="15">
        <v>46420</v>
      </c>
      <c r="B764" s="14" t="s">
        <v>1031</v>
      </c>
      <c r="C764" s="14" t="s">
        <v>996</v>
      </c>
      <c r="D764" s="58"/>
      <c r="E764" s="58"/>
    </row>
    <row r="765" spans="1:5" ht="30.75" thickBot="1" x14ac:dyDescent="0.3">
      <c r="A765" s="15">
        <v>46430</v>
      </c>
      <c r="B765" s="14" t="s">
        <v>1032</v>
      </c>
      <c r="C765" s="14" t="s">
        <v>996</v>
      </c>
      <c r="D765" s="58"/>
      <c r="E765" s="58"/>
    </row>
    <row r="766" spans="1:5" ht="30.75" thickBot="1" x14ac:dyDescent="0.3">
      <c r="A766" s="15">
        <v>46441</v>
      </c>
      <c r="B766" s="14" t="s">
        <v>1033</v>
      </c>
      <c r="C766" s="14" t="s">
        <v>996</v>
      </c>
      <c r="D766" s="58"/>
      <c r="E766" s="58"/>
    </row>
    <row r="767" spans="1:5" ht="30.75" thickBot="1" x14ac:dyDescent="0.3">
      <c r="A767" s="15">
        <v>46442</v>
      </c>
      <c r="B767" s="14" t="s">
        <v>1034</v>
      </c>
      <c r="C767" s="14" t="s">
        <v>996</v>
      </c>
      <c r="D767" s="58"/>
      <c r="E767" s="58"/>
    </row>
    <row r="768" spans="1:5" ht="15.75" thickBot="1" x14ac:dyDescent="0.3">
      <c r="A768" s="15">
        <v>46451</v>
      </c>
      <c r="B768" s="14" t="s">
        <v>1035</v>
      </c>
      <c r="C768" s="14" t="s">
        <v>996</v>
      </c>
      <c r="D768" s="58"/>
      <c r="E768" s="58"/>
    </row>
    <row r="769" spans="1:5" ht="30.75" thickBot="1" x14ac:dyDescent="0.3">
      <c r="A769" s="15">
        <v>46452</v>
      </c>
      <c r="B769" s="14" t="s">
        <v>1036</v>
      </c>
      <c r="C769" s="14" t="s">
        <v>996</v>
      </c>
      <c r="D769" s="58"/>
      <c r="E769" s="58"/>
    </row>
    <row r="770" spans="1:5" ht="30.75" thickBot="1" x14ac:dyDescent="0.3">
      <c r="A770" s="15">
        <v>46491</v>
      </c>
      <c r="B770" s="14" t="s">
        <v>1037</v>
      </c>
      <c r="C770" s="14" t="s">
        <v>996</v>
      </c>
      <c r="D770" s="58"/>
      <c r="E770" s="58"/>
    </row>
    <row r="771" spans="1:5" ht="30.75" thickBot="1" x14ac:dyDescent="0.3">
      <c r="A771" s="15">
        <v>46492</v>
      </c>
      <c r="B771" s="14" t="s">
        <v>1038</v>
      </c>
      <c r="C771" s="14" t="s">
        <v>996</v>
      </c>
      <c r="D771" s="58"/>
      <c r="E771" s="58"/>
    </row>
    <row r="772" spans="1:5" ht="15.75" thickBot="1" x14ac:dyDescent="0.3">
      <c r="A772" s="15">
        <v>46493</v>
      </c>
      <c r="B772" s="14" t="s">
        <v>1039</v>
      </c>
      <c r="C772" s="14" t="s">
        <v>996</v>
      </c>
      <c r="D772" s="58"/>
      <c r="E772" s="58"/>
    </row>
    <row r="773" spans="1:5" ht="15.75" thickBot="1" x14ac:dyDescent="0.3">
      <c r="A773" s="15">
        <v>46494</v>
      </c>
      <c r="B773" s="14" t="s">
        <v>1040</v>
      </c>
      <c r="C773" s="14" t="s">
        <v>996</v>
      </c>
      <c r="D773" s="58"/>
      <c r="E773" s="58"/>
    </row>
    <row r="774" spans="1:5" ht="30.75" thickBot="1" x14ac:dyDescent="0.3">
      <c r="A774" s="15">
        <v>46495</v>
      </c>
      <c r="B774" s="14" t="s">
        <v>1041</v>
      </c>
      <c r="C774" s="14" t="s">
        <v>996</v>
      </c>
      <c r="D774" s="58"/>
      <c r="E774" s="58"/>
    </row>
    <row r="775" spans="1:5" ht="30.75" thickBot="1" x14ac:dyDescent="0.3">
      <c r="A775" s="15">
        <v>46496</v>
      </c>
      <c r="B775" s="14" t="s">
        <v>1042</v>
      </c>
      <c r="C775" s="14" t="s">
        <v>996</v>
      </c>
      <c r="D775" s="58"/>
      <c r="E775" s="58"/>
    </row>
    <row r="776" spans="1:5" ht="30.75" thickBot="1" x14ac:dyDescent="0.3">
      <c r="A776" s="15">
        <v>46499</v>
      </c>
      <c r="B776" s="14" t="s">
        <v>1043</v>
      </c>
      <c r="C776" s="14" t="s">
        <v>996</v>
      </c>
      <c r="D776" s="58"/>
      <c r="E776" s="58"/>
    </row>
    <row r="777" spans="1:5" ht="30.75" thickBot="1" x14ac:dyDescent="0.3">
      <c r="A777" s="15">
        <v>46511</v>
      </c>
      <c r="B777" s="14" t="s">
        <v>1044</v>
      </c>
      <c r="C777" s="14" t="s">
        <v>996</v>
      </c>
      <c r="D777" s="88" t="s">
        <v>2090</v>
      </c>
      <c r="E777" s="58"/>
    </row>
    <row r="778" spans="1:5" ht="26.25" thickBot="1" x14ac:dyDescent="0.3">
      <c r="A778" s="15">
        <v>46512</v>
      </c>
      <c r="B778" s="14" t="s">
        <v>1045</v>
      </c>
      <c r="C778" s="14" t="s">
        <v>996</v>
      </c>
      <c r="D778" s="88" t="s">
        <v>2090</v>
      </c>
      <c r="E778" s="58"/>
    </row>
    <row r="779" spans="1:5" ht="15.75" thickBot="1" x14ac:dyDescent="0.3">
      <c r="A779" s="15">
        <v>46521</v>
      </c>
      <c r="B779" s="14" t="s">
        <v>1046</v>
      </c>
      <c r="C779" s="14" t="s">
        <v>996</v>
      </c>
      <c r="D779" s="58"/>
      <c r="E779" s="58"/>
    </row>
    <row r="780" spans="1:5" ht="30.75" thickBot="1" x14ac:dyDescent="0.3">
      <c r="A780" s="15">
        <v>46522</v>
      </c>
      <c r="B780" s="14" t="s">
        <v>1047</v>
      </c>
      <c r="C780" s="14" t="s">
        <v>996</v>
      </c>
      <c r="D780" s="58"/>
      <c r="E780" s="58"/>
    </row>
    <row r="781" spans="1:5" ht="26.25" thickBot="1" x14ac:dyDescent="0.3">
      <c r="A781" s="15">
        <v>46523</v>
      </c>
      <c r="B781" s="14" t="s">
        <v>1048</v>
      </c>
      <c r="C781" s="14" t="s">
        <v>996</v>
      </c>
      <c r="D781" s="88" t="s">
        <v>2090</v>
      </c>
      <c r="E781" s="58"/>
    </row>
    <row r="782" spans="1:5" ht="30.75" thickBot="1" x14ac:dyDescent="0.3">
      <c r="A782" s="15">
        <v>46530</v>
      </c>
      <c r="B782" s="14" t="s">
        <v>1049</v>
      </c>
      <c r="C782" s="14" t="s">
        <v>996</v>
      </c>
      <c r="D782" s="58"/>
      <c r="E782" s="58"/>
    </row>
    <row r="783" spans="1:5" ht="30.75" thickBot="1" x14ac:dyDescent="0.3">
      <c r="A783" s="15">
        <v>46591</v>
      </c>
      <c r="B783" s="14" t="s">
        <v>1050</v>
      </c>
      <c r="C783" s="14" t="s">
        <v>996</v>
      </c>
      <c r="D783" s="58"/>
      <c r="E783" s="58"/>
    </row>
    <row r="784" spans="1:5" ht="30.75" thickBot="1" x14ac:dyDescent="0.3">
      <c r="A784" s="15">
        <v>46592</v>
      </c>
      <c r="B784" s="14" t="s">
        <v>1051</v>
      </c>
      <c r="C784" s="14" t="s">
        <v>996</v>
      </c>
      <c r="D784" s="58"/>
      <c r="E784" s="58"/>
    </row>
    <row r="785" spans="1:5" ht="30.75" thickBot="1" x14ac:dyDescent="0.3">
      <c r="A785" s="15">
        <v>46593</v>
      </c>
      <c r="B785" s="14" t="s">
        <v>1052</v>
      </c>
      <c r="C785" s="14" t="s">
        <v>996</v>
      </c>
      <c r="D785" s="58"/>
      <c r="E785" s="58"/>
    </row>
    <row r="786" spans="1:5" ht="30.75" thickBot="1" x14ac:dyDescent="0.3">
      <c r="A786" s="15">
        <v>46594</v>
      </c>
      <c r="B786" s="14" t="s">
        <v>1053</v>
      </c>
      <c r="C786" s="14" t="s">
        <v>996</v>
      </c>
      <c r="D786" s="58"/>
      <c r="E786" s="58"/>
    </row>
    <row r="787" spans="1:5" ht="30.75" thickBot="1" x14ac:dyDescent="0.3">
      <c r="A787" s="15">
        <v>46599</v>
      </c>
      <c r="B787" s="14" t="s">
        <v>1054</v>
      </c>
      <c r="C787" s="14" t="s">
        <v>996</v>
      </c>
      <c r="D787" s="58"/>
      <c r="E787" s="58"/>
    </row>
    <row r="788" spans="1:5" ht="15.75" thickBot="1" x14ac:dyDescent="0.3">
      <c r="A788" s="15">
        <v>46611</v>
      </c>
      <c r="B788" s="14" t="s">
        <v>1055</v>
      </c>
      <c r="C788" s="14" t="s">
        <v>996</v>
      </c>
      <c r="D788" s="58"/>
      <c r="E788" s="58"/>
    </row>
    <row r="789" spans="1:5" ht="15.75" thickBot="1" x14ac:dyDescent="0.3">
      <c r="A789" s="15">
        <v>46612</v>
      </c>
      <c r="B789" s="14" t="s">
        <v>1056</v>
      </c>
      <c r="C789" s="14" t="s">
        <v>996</v>
      </c>
      <c r="D789" s="58"/>
      <c r="E789" s="58"/>
    </row>
    <row r="790" spans="1:5" ht="30.75" thickBot="1" x14ac:dyDescent="0.3">
      <c r="A790" s="15">
        <v>46620</v>
      </c>
      <c r="B790" s="14" t="s">
        <v>1057</v>
      </c>
      <c r="C790" s="14" t="s">
        <v>996</v>
      </c>
      <c r="D790" s="58"/>
      <c r="E790" s="58"/>
    </row>
    <row r="791" spans="1:5" ht="15.75" thickBot="1" x14ac:dyDescent="0.3">
      <c r="A791" s="15">
        <v>46631</v>
      </c>
      <c r="B791" s="14" t="s">
        <v>1058</v>
      </c>
      <c r="C791" s="14" t="s">
        <v>996</v>
      </c>
      <c r="D791" s="58"/>
      <c r="E791" s="58"/>
    </row>
    <row r="792" spans="1:5" ht="15.75" thickBot="1" x14ac:dyDescent="0.3">
      <c r="A792" s="15">
        <v>46632</v>
      </c>
      <c r="B792" s="14" t="s">
        <v>1059</v>
      </c>
      <c r="C792" s="14" t="s">
        <v>996</v>
      </c>
      <c r="D792" s="58"/>
      <c r="E792" s="58"/>
    </row>
    <row r="793" spans="1:5" ht="30.75" thickBot="1" x14ac:dyDescent="0.3">
      <c r="A793" s="15">
        <v>46633</v>
      </c>
      <c r="B793" s="14" t="s">
        <v>1060</v>
      </c>
      <c r="C793" s="14" t="s">
        <v>996</v>
      </c>
      <c r="D793" s="58"/>
      <c r="E793" s="58"/>
    </row>
    <row r="794" spans="1:5" ht="30.75" thickBot="1" x14ac:dyDescent="0.3">
      <c r="A794" s="15">
        <v>46710</v>
      </c>
      <c r="B794" s="14" t="s">
        <v>1061</v>
      </c>
      <c r="C794" s="14" t="s">
        <v>996</v>
      </c>
      <c r="D794" s="58"/>
      <c r="E794" s="58"/>
    </row>
    <row r="795" spans="1:5" ht="30.75" thickBot="1" x14ac:dyDescent="0.3">
      <c r="A795" s="15">
        <v>46721</v>
      </c>
      <c r="B795" s="14" t="s">
        <v>1062</v>
      </c>
      <c r="C795" s="14" t="s">
        <v>996</v>
      </c>
      <c r="D795" s="58"/>
      <c r="E795" s="58"/>
    </row>
    <row r="796" spans="1:5" ht="30.75" thickBot="1" x14ac:dyDescent="0.3">
      <c r="A796" s="15">
        <v>46722</v>
      </c>
      <c r="B796" s="14" t="s">
        <v>1063</v>
      </c>
      <c r="C796" s="14" t="s">
        <v>996</v>
      </c>
      <c r="D796" s="58"/>
      <c r="E796" s="58"/>
    </row>
    <row r="797" spans="1:5" ht="30.75" thickBot="1" x14ac:dyDescent="0.3">
      <c r="A797" s="15">
        <v>46731</v>
      </c>
      <c r="B797" s="14" t="s">
        <v>1064</v>
      </c>
      <c r="C797" s="14" t="s">
        <v>996</v>
      </c>
      <c r="D797" s="58"/>
      <c r="E797" s="58"/>
    </row>
    <row r="798" spans="1:5" ht="15.75" thickBot="1" x14ac:dyDescent="0.3">
      <c r="A798" s="15">
        <v>46732</v>
      </c>
      <c r="B798" s="14" t="s">
        <v>1065</v>
      </c>
      <c r="C798" s="14" t="s">
        <v>996</v>
      </c>
      <c r="D798" s="58"/>
      <c r="E798" s="58"/>
    </row>
    <row r="799" spans="1:5" ht="30.75" thickBot="1" x14ac:dyDescent="0.3">
      <c r="A799" s="15">
        <v>46733</v>
      </c>
      <c r="B799" s="14" t="s">
        <v>1066</v>
      </c>
      <c r="C799" s="14" t="s">
        <v>996</v>
      </c>
      <c r="D799" s="58"/>
      <c r="E799" s="58"/>
    </row>
    <row r="800" spans="1:5" ht="30.75" thickBot="1" x14ac:dyDescent="0.3">
      <c r="A800" s="15">
        <v>46734</v>
      </c>
      <c r="B800" s="14" t="s">
        <v>1067</v>
      </c>
      <c r="C800" s="14" t="s">
        <v>996</v>
      </c>
      <c r="D800" s="58"/>
      <c r="E800" s="58"/>
    </row>
    <row r="801" spans="1:5" ht="30.75" thickBot="1" x14ac:dyDescent="0.3">
      <c r="A801" s="15">
        <v>46735</v>
      </c>
      <c r="B801" s="14" t="s">
        <v>1068</v>
      </c>
      <c r="C801" s="14" t="s">
        <v>996</v>
      </c>
      <c r="D801" s="58"/>
      <c r="E801" s="58"/>
    </row>
    <row r="802" spans="1:5" ht="15.75" thickBot="1" x14ac:dyDescent="0.3">
      <c r="A802" s="15">
        <v>46736</v>
      </c>
      <c r="B802" s="14" t="s">
        <v>1069</v>
      </c>
      <c r="C802" s="14" t="s">
        <v>996</v>
      </c>
      <c r="D802" s="58"/>
      <c r="E802" s="58"/>
    </row>
    <row r="803" spans="1:5" ht="15.75" thickBot="1" x14ac:dyDescent="0.3">
      <c r="A803" s="15">
        <v>46737</v>
      </c>
      <c r="B803" s="14" t="s">
        <v>1070</v>
      </c>
      <c r="C803" s="14" t="s">
        <v>996</v>
      </c>
      <c r="D803" s="58"/>
      <c r="E803" s="58"/>
    </row>
    <row r="804" spans="1:5" ht="30.75" thickBot="1" x14ac:dyDescent="0.3">
      <c r="A804" s="15">
        <v>46738</v>
      </c>
      <c r="B804" s="14" t="s">
        <v>1071</v>
      </c>
      <c r="C804" s="14" t="s">
        <v>996</v>
      </c>
      <c r="D804" s="58"/>
      <c r="E804" s="58"/>
    </row>
    <row r="805" spans="1:5" ht="30.75" thickBot="1" x14ac:dyDescent="0.3">
      <c r="A805" s="15">
        <v>46739</v>
      </c>
      <c r="B805" s="14" t="s">
        <v>1072</v>
      </c>
      <c r="C805" s="14" t="s">
        <v>996</v>
      </c>
      <c r="D805" s="58"/>
      <c r="E805" s="58"/>
    </row>
    <row r="806" spans="1:5" ht="15.75" thickBot="1" x14ac:dyDescent="0.3">
      <c r="A806" s="15">
        <v>46741</v>
      </c>
      <c r="B806" s="14" t="s">
        <v>1073</v>
      </c>
      <c r="C806" s="14" t="s">
        <v>996</v>
      </c>
      <c r="D806" s="58"/>
      <c r="E806" s="58"/>
    </row>
    <row r="807" spans="1:5" ht="15.75" thickBot="1" x14ac:dyDescent="0.3">
      <c r="A807" s="15">
        <v>46742</v>
      </c>
      <c r="B807" s="14" t="s">
        <v>1074</v>
      </c>
      <c r="C807" s="14" t="s">
        <v>996</v>
      </c>
      <c r="D807" s="58"/>
      <c r="E807" s="58"/>
    </row>
    <row r="808" spans="1:5" ht="30.75" thickBot="1" x14ac:dyDescent="0.3">
      <c r="A808" s="15">
        <v>46743</v>
      </c>
      <c r="B808" s="14" t="s">
        <v>1075</v>
      </c>
      <c r="C808" s="14" t="s">
        <v>996</v>
      </c>
      <c r="D808" s="58"/>
      <c r="E808" s="58"/>
    </row>
    <row r="809" spans="1:5" ht="15.75" thickBot="1" x14ac:dyDescent="0.3">
      <c r="A809" s="15">
        <v>46751</v>
      </c>
      <c r="B809" s="14" t="s">
        <v>1076</v>
      </c>
      <c r="C809" s="14" t="s">
        <v>996</v>
      </c>
      <c r="D809" s="58"/>
      <c r="E809" s="58"/>
    </row>
    <row r="810" spans="1:5" ht="30.75" thickBot="1" x14ac:dyDescent="0.3">
      <c r="A810" s="15">
        <v>46752</v>
      </c>
      <c r="B810" s="14" t="s">
        <v>1077</v>
      </c>
      <c r="C810" s="14" t="s">
        <v>996</v>
      </c>
      <c r="D810" s="58"/>
      <c r="E810" s="58"/>
    </row>
    <row r="811" spans="1:5" ht="15.75" thickBot="1" x14ac:dyDescent="0.3">
      <c r="A811" s="15">
        <v>46753</v>
      </c>
      <c r="B811" s="14" t="s">
        <v>1078</v>
      </c>
      <c r="C811" s="14" t="s">
        <v>996</v>
      </c>
      <c r="D811" s="58"/>
      <c r="E811" s="58"/>
    </row>
    <row r="812" spans="1:5" ht="30.75" thickBot="1" x14ac:dyDescent="0.3">
      <c r="A812" s="15">
        <v>46791</v>
      </c>
      <c r="B812" s="14" t="s">
        <v>1079</v>
      </c>
      <c r="C812" s="14" t="s">
        <v>996</v>
      </c>
      <c r="D812" s="58"/>
      <c r="E812" s="58"/>
    </row>
    <row r="813" spans="1:5" ht="30.75" thickBot="1" x14ac:dyDescent="0.3">
      <c r="A813" s="15">
        <v>46792</v>
      </c>
      <c r="B813" s="14" t="s">
        <v>1080</v>
      </c>
      <c r="C813" s="14" t="s">
        <v>996</v>
      </c>
      <c r="D813" s="58"/>
      <c r="E813" s="58"/>
    </row>
    <row r="814" spans="1:5" ht="30.75" thickBot="1" x14ac:dyDescent="0.3">
      <c r="A814" s="15">
        <v>46793</v>
      </c>
      <c r="B814" s="14" t="s">
        <v>1081</v>
      </c>
      <c r="C814" s="14" t="s">
        <v>996</v>
      </c>
      <c r="D814" s="58"/>
      <c r="E814" s="58"/>
    </row>
    <row r="815" spans="1:5" ht="15.75" thickBot="1" x14ac:dyDescent="0.3">
      <c r="A815" s="15">
        <v>46794</v>
      </c>
      <c r="B815" s="14" t="s">
        <v>1082</v>
      </c>
      <c r="C815" s="14" t="s">
        <v>996</v>
      </c>
      <c r="D815" s="58"/>
      <c r="E815" s="58"/>
    </row>
    <row r="816" spans="1:5" ht="30.75" thickBot="1" x14ac:dyDescent="0.3">
      <c r="A816" s="15">
        <v>46795</v>
      </c>
      <c r="B816" s="14" t="s">
        <v>1083</v>
      </c>
      <c r="C816" s="14" t="s">
        <v>996</v>
      </c>
      <c r="D816" s="58"/>
      <c r="E816" s="58"/>
    </row>
    <row r="817" spans="1:5" ht="15.75" thickBot="1" x14ac:dyDescent="0.3">
      <c r="A817" s="15">
        <v>46796</v>
      </c>
      <c r="B817" s="14" t="s">
        <v>1084</v>
      </c>
      <c r="C817" s="14" t="s">
        <v>996</v>
      </c>
      <c r="D817" s="58"/>
      <c r="E817" s="58"/>
    </row>
    <row r="818" spans="1:5" ht="15.75" thickBot="1" x14ac:dyDescent="0.3">
      <c r="A818" s="15">
        <v>46799</v>
      </c>
      <c r="B818" s="14" t="s">
        <v>1085</v>
      </c>
      <c r="C818" s="14" t="s">
        <v>996</v>
      </c>
      <c r="D818" s="58"/>
      <c r="E818" s="58"/>
    </row>
    <row r="819" spans="1:5" ht="15.75" thickBot="1" x14ac:dyDescent="0.3">
      <c r="A819" s="15">
        <v>46901</v>
      </c>
      <c r="B819" s="14" t="s">
        <v>1086</v>
      </c>
      <c r="C819" s="14" t="s">
        <v>996</v>
      </c>
      <c r="D819" s="58"/>
      <c r="E819" s="58"/>
    </row>
    <row r="820" spans="1:5" ht="30.75" thickBot="1" x14ac:dyDescent="0.3">
      <c r="A820" s="15">
        <v>46902</v>
      </c>
      <c r="B820" s="14" t="s">
        <v>1087</v>
      </c>
      <c r="C820" s="14" t="s">
        <v>996</v>
      </c>
      <c r="D820" s="58"/>
      <c r="E820" s="58"/>
    </row>
    <row r="821" spans="1:5" ht="30.75" thickBot="1" x14ac:dyDescent="0.3">
      <c r="A821" s="15">
        <v>47111</v>
      </c>
      <c r="B821" s="14" t="s">
        <v>1088</v>
      </c>
      <c r="C821" s="14" t="s">
        <v>996</v>
      </c>
      <c r="D821" s="58"/>
      <c r="E821" s="58"/>
    </row>
    <row r="822" spans="1:5" ht="30.75" thickBot="1" x14ac:dyDescent="0.3">
      <c r="A822" s="15">
        <v>47112</v>
      </c>
      <c r="B822" s="14" t="s">
        <v>1088</v>
      </c>
      <c r="C822" s="14" t="s">
        <v>996</v>
      </c>
      <c r="D822" s="58"/>
      <c r="E822" s="58"/>
    </row>
    <row r="823" spans="1:5" ht="30.75" thickBot="1" x14ac:dyDescent="0.3">
      <c r="A823" s="15">
        <v>47191</v>
      </c>
      <c r="B823" s="14" t="s">
        <v>1088</v>
      </c>
      <c r="C823" s="14" t="s">
        <v>996</v>
      </c>
      <c r="D823" s="58"/>
      <c r="E823" s="58"/>
    </row>
    <row r="824" spans="1:5" ht="30.75" thickBot="1" x14ac:dyDescent="0.3">
      <c r="A824" s="15">
        <v>47192</v>
      </c>
      <c r="B824" s="14" t="s">
        <v>1088</v>
      </c>
      <c r="C824" s="14" t="s">
        <v>996</v>
      </c>
      <c r="D824" s="58"/>
      <c r="E824" s="58"/>
    </row>
    <row r="825" spans="1:5" ht="15.75" thickBot="1" x14ac:dyDescent="0.3">
      <c r="A825" s="15">
        <v>47211</v>
      </c>
      <c r="B825" s="14" t="s">
        <v>1089</v>
      </c>
      <c r="C825" s="14" t="s">
        <v>996</v>
      </c>
      <c r="D825" s="58"/>
      <c r="E825" s="58"/>
    </row>
    <row r="826" spans="1:5" ht="15.75" thickBot="1" x14ac:dyDescent="0.3">
      <c r="A826" s="15">
        <v>47212</v>
      </c>
      <c r="B826" s="14" t="s">
        <v>1090</v>
      </c>
      <c r="C826" s="14" t="s">
        <v>996</v>
      </c>
      <c r="D826" s="58"/>
      <c r="E826" s="58"/>
    </row>
    <row r="827" spans="1:5" ht="15.75" thickBot="1" x14ac:dyDescent="0.3">
      <c r="A827" s="15">
        <v>47213</v>
      </c>
      <c r="B827" s="14" t="s">
        <v>1091</v>
      </c>
      <c r="C827" s="14" t="s">
        <v>996</v>
      </c>
      <c r="D827" s="58"/>
      <c r="E827" s="58"/>
    </row>
    <row r="828" spans="1:5" ht="15.75" thickBot="1" x14ac:dyDescent="0.3">
      <c r="A828" s="15">
        <v>47214</v>
      </c>
      <c r="B828" s="14" t="s">
        <v>1092</v>
      </c>
      <c r="C828" s="14" t="s">
        <v>996</v>
      </c>
      <c r="D828" s="58"/>
      <c r="E828" s="58"/>
    </row>
    <row r="829" spans="1:5" ht="15.75" thickBot="1" x14ac:dyDescent="0.3">
      <c r="A829" s="15">
        <v>47215</v>
      </c>
      <c r="B829" s="14" t="s">
        <v>1093</v>
      </c>
      <c r="C829" s="14" t="s">
        <v>996</v>
      </c>
      <c r="D829" s="58"/>
      <c r="E829" s="58"/>
    </row>
    <row r="830" spans="1:5" ht="30.75" thickBot="1" x14ac:dyDescent="0.3">
      <c r="A830" s="15">
        <v>47216</v>
      </c>
      <c r="B830" s="14" t="s">
        <v>1094</v>
      </c>
      <c r="C830" s="14" t="s">
        <v>996</v>
      </c>
      <c r="D830" s="58"/>
      <c r="E830" s="58"/>
    </row>
    <row r="831" spans="1:5" ht="15.75" thickBot="1" x14ac:dyDescent="0.3">
      <c r="A831" s="15">
        <v>47219</v>
      </c>
      <c r="B831" s="14" t="s">
        <v>1095</v>
      </c>
      <c r="C831" s="14" t="s">
        <v>996</v>
      </c>
      <c r="D831" s="58"/>
      <c r="E831" s="58"/>
    </row>
    <row r="832" spans="1:5" ht="15.75" thickBot="1" x14ac:dyDescent="0.3">
      <c r="A832" s="15">
        <v>47221</v>
      </c>
      <c r="B832" s="14" t="s">
        <v>1096</v>
      </c>
      <c r="C832" s="14" t="s">
        <v>996</v>
      </c>
      <c r="D832" s="58"/>
      <c r="E832" s="58"/>
    </row>
    <row r="833" spans="1:5" ht="30.75" thickBot="1" x14ac:dyDescent="0.3">
      <c r="A833" s="15">
        <v>47222</v>
      </c>
      <c r="B833" s="14" t="s">
        <v>1097</v>
      </c>
      <c r="C833" s="14" t="s">
        <v>996</v>
      </c>
      <c r="D833" s="58"/>
      <c r="E833" s="58"/>
    </row>
    <row r="834" spans="1:5" ht="15.75" thickBot="1" x14ac:dyDescent="0.3">
      <c r="A834" s="15">
        <v>47230</v>
      </c>
      <c r="B834" s="14" t="s">
        <v>1098</v>
      </c>
      <c r="C834" s="14" t="s">
        <v>996</v>
      </c>
      <c r="D834" s="58"/>
      <c r="E834" s="58"/>
    </row>
    <row r="835" spans="1:5" ht="15.75" thickBot="1" x14ac:dyDescent="0.3">
      <c r="A835" s="15">
        <v>47241</v>
      </c>
      <c r="B835" s="14" t="s">
        <v>1099</v>
      </c>
      <c r="C835" s="14" t="s">
        <v>996</v>
      </c>
      <c r="D835" s="58"/>
      <c r="E835" s="58"/>
    </row>
    <row r="836" spans="1:5" ht="30.75" thickBot="1" x14ac:dyDescent="0.3">
      <c r="A836" s="15">
        <v>47242</v>
      </c>
      <c r="B836" s="14" t="s">
        <v>1100</v>
      </c>
      <c r="C836" s="14" t="s">
        <v>996</v>
      </c>
      <c r="D836" s="58"/>
      <c r="E836" s="58"/>
    </row>
    <row r="837" spans="1:5" ht="30.75" thickBot="1" x14ac:dyDescent="0.3">
      <c r="A837" s="15">
        <v>47243</v>
      </c>
      <c r="B837" s="14" t="s">
        <v>1101</v>
      </c>
      <c r="C837" s="14" t="s">
        <v>996</v>
      </c>
      <c r="D837" s="58"/>
      <c r="E837" s="58"/>
    </row>
    <row r="838" spans="1:5" ht="30.75" thickBot="1" x14ac:dyDescent="0.3">
      <c r="A838" s="15">
        <v>47244</v>
      </c>
      <c r="B838" s="14" t="s">
        <v>1102</v>
      </c>
      <c r="C838" s="14" t="s">
        <v>996</v>
      </c>
      <c r="D838" s="58"/>
      <c r="E838" s="58"/>
    </row>
    <row r="839" spans="1:5" ht="15.75" thickBot="1" x14ac:dyDescent="0.3">
      <c r="A839" s="15">
        <v>47245</v>
      </c>
      <c r="B839" s="14" t="s">
        <v>1103</v>
      </c>
      <c r="C839" s="14" t="s">
        <v>996</v>
      </c>
      <c r="D839" s="58"/>
      <c r="E839" s="58"/>
    </row>
    <row r="840" spans="1:5" ht="15.75" thickBot="1" x14ac:dyDescent="0.3">
      <c r="A840" s="15">
        <v>47246</v>
      </c>
      <c r="B840" s="14" t="s">
        <v>1104</v>
      </c>
      <c r="C840" s="14" t="s">
        <v>996</v>
      </c>
      <c r="D840" s="58"/>
      <c r="E840" s="58"/>
    </row>
    <row r="841" spans="1:5" ht="15.75" thickBot="1" x14ac:dyDescent="0.3">
      <c r="A841" s="15">
        <v>47249</v>
      </c>
      <c r="B841" s="14" t="s">
        <v>1105</v>
      </c>
      <c r="C841" s="14" t="s">
        <v>996</v>
      </c>
      <c r="D841" s="58"/>
      <c r="E841" s="58"/>
    </row>
    <row r="842" spans="1:5" ht="30.75" thickBot="1" x14ac:dyDescent="0.3">
      <c r="A842" s="15">
        <v>47301</v>
      </c>
      <c r="B842" s="14" t="s">
        <v>1106</v>
      </c>
      <c r="C842" s="14" t="s">
        <v>996</v>
      </c>
      <c r="D842" s="58"/>
      <c r="E842" s="58"/>
    </row>
    <row r="843" spans="1:5" ht="30.75" thickBot="1" x14ac:dyDescent="0.3">
      <c r="A843" s="15">
        <v>47302</v>
      </c>
      <c r="B843" s="14" t="s">
        <v>1107</v>
      </c>
      <c r="C843" s="14" t="s">
        <v>996</v>
      </c>
      <c r="D843" s="58"/>
      <c r="E843" s="58"/>
    </row>
    <row r="844" spans="1:5" ht="15.75" thickBot="1" x14ac:dyDescent="0.3">
      <c r="A844" s="15">
        <v>47303</v>
      </c>
      <c r="B844" s="14" t="s">
        <v>1108</v>
      </c>
      <c r="C844" s="14" t="s">
        <v>996</v>
      </c>
      <c r="D844" s="58"/>
      <c r="E844" s="58"/>
    </row>
    <row r="845" spans="1:5" ht="30.75" thickBot="1" x14ac:dyDescent="0.3">
      <c r="A845" s="15">
        <v>47401</v>
      </c>
      <c r="B845" s="14" t="s">
        <v>1109</v>
      </c>
      <c r="C845" s="14" t="s">
        <v>996</v>
      </c>
      <c r="D845" s="58"/>
      <c r="E845" s="58"/>
    </row>
    <row r="846" spans="1:5" ht="30.75" thickBot="1" x14ac:dyDescent="0.3">
      <c r="A846" s="15">
        <v>47402</v>
      </c>
      <c r="B846" s="14" t="s">
        <v>1110</v>
      </c>
      <c r="C846" s="14" t="s">
        <v>996</v>
      </c>
      <c r="D846" s="58"/>
      <c r="E846" s="58"/>
    </row>
    <row r="847" spans="1:5" ht="30.75" thickBot="1" x14ac:dyDescent="0.3">
      <c r="A847" s="15">
        <v>47403</v>
      </c>
      <c r="B847" s="14" t="s">
        <v>1111</v>
      </c>
      <c r="C847" s="14" t="s">
        <v>996</v>
      </c>
      <c r="D847" s="58"/>
      <c r="E847" s="58"/>
    </row>
    <row r="848" spans="1:5" ht="30.75" thickBot="1" x14ac:dyDescent="0.3">
      <c r="A848" s="15">
        <v>47404</v>
      </c>
      <c r="B848" s="14" t="s">
        <v>1112</v>
      </c>
      <c r="C848" s="14" t="s">
        <v>996</v>
      </c>
      <c r="D848" s="58"/>
      <c r="E848" s="58"/>
    </row>
    <row r="849" spans="1:5" ht="30.75" thickBot="1" x14ac:dyDescent="0.3">
      <c r="A849" s="15">
        <v>47405</v>
      </c>
      <c r="B849" s="14" t="s">
        <v>1113</v>
      </c>
      <c r="C849" s="14" t="s">
        <v>996</v>
      </c>
      <c r="D849" s="58"/>
      <c r="E849" s="58"/>
    </row>
    <row r="850" spans="1:5" ht="30.75" thickBot="1" x14ac:dyDescent="0.3">
      <c r="A850" s="15">
        <v>47406</v>
      </c>
      <c r="B850" s="14" t="s">
        <v>1114</v>
      </c>
      <c r="C850" s="14" t="s">
        <v>996</v>
      </c>
      <c r="D850" s="58"/>
      <c r="E850" s="58"/>
    </row>
    <row r="851" spans="1:5" ht="15.75" thickBot="1" x14ac:dyDescent="0.3">
      <c r="A851" s="15">
        <v>47511</v>
      </c>
      <c r="B851" s="14" t="s">
        <v>1115</v>
      </c>
      <c r="C851" s="14" t="s">
        <v>996</v>
      </c>
      <c r="D851" s="58"/>
      <c r="E851" s="58"/>
    </row>
    <row r="852" spans="1:5" ht="30.75" thickBot="1" x14ac:dyDescent="0.3">
      <c r="A852" s="15">
        <v>47512</v>
      </c>
      <c r="B852" s="14" t="s">
        <v>1116</v>
      </c>
      <c r="C852" s="14" t="s">
        <v>996</v>
      </c>
      <c r="D852" s="58"/>
      <c r="E852" s="58"/>
    </row>
    <row r="853" spans="1:5" ht="30.75" thickBot="1" x14ac:dyDescent="0.3">
      <c r="A853" s="15">
        <v>47513</v>
      </c>
      <c r="B853" s="14" t="s">
        <v>1117</v>
      </c>
      <c r="C853" s="14" t="s">
        <v>996</v>
      </c>
      <c r="D853" s="58"/>
      <c r="E853" s="58"/>
    </row>
    <row r="854" spans="1:5" ht="30.75" thickBot="1" x14ac:dyDescent="0.3">
      <c r="A854" s="15">
        <v>47521</v>
      </c>
      <c r="B854" s="14" t="s">
        <v>1118</v>
      </c>
      <c r="C854" s="14" t="s">
        <v>996</v>
      </c>
      <c r="D854" s="58"/>
      <c r="E854" s="58"/>
    </row>
    <row r="855" spans="1:5" ht="15.75" thickBot="1" x14ac:dyDescent="0.3">
      <c r="A855" s="15">
        <v>47522</v>
      </c>
      <c r="B855" s="14" t="s">
        <v>1119</v>
      </c>
      <c r="C855" s="14" t="s">
        <v>996</v>
      </c>
      <c r="D855" s="58"/>
      <c r="E855" s="58"/>
    </row>
    <row r="856" spans="1:5" ht="30.75" thickBot="1" x14ac:dyDescent="0.3">
      <c r="A856" s="15">
        <v>47523</v>
      </c>
      <c r="B856" s="14" t="s">
        <v>1120</v>
      </c>
      <c r="C856" s="14" t="s">
        <v>996</v>
      </c>
      <c r="D856" s="58"/>
      <c r="E856" s="58"/>
    </row>
    <row r="857" spans="1:5" ht="30.75" thickBot="1" x14ac:dyDescent="0.3">
      <c r="A857" s="15">
        <v>47524</v>
      </c>
      <c r="B857" s="14" t="s">
        <v>1121</v>
      </c>
      <c r="C857" s="14" t="s">
        <v>996</v>
      </c>
      <c r="D857" s="58"/>
      <c r="E857" s="58"/>
    </row>
    <row r="858" spans="1:5" ht="15.75" thickBot="1" x14ac:dyDescent="0.3">
      <c r="A858" s="15">
        <v>47525</v>
      </c>
      <c r="B858" s="14" t="s">
        <v>1122</v>
      </c>
      <c r="C858" s="14" t="s">
        <v>996</v>
      </c>
      <c r="D858" s="58"/>
      <c r="E858" s="58"/>
    </row>
    <row r="859" spans="1:5" ht="30.75" thickBot="1" x14ac:dyDescent="0.3">
      <c r="A859" s="15">
        <v>47526</v>
      </c>
      <c r="B859" s="14" t="s">
        <v>1123</v>
      </c>
      <c r="C859" s="14" t="s">
        <v>996</v>
      </c>
      <c r="D859" s="58"/>
      <c r="E859" s="58"/>
    </row>
    <row r="860" spans="1:5" ht="30.75" thickBot="1" x14ac:dyDescent="0.3">
      <c r="A860" s="15">
        <v>47530</v>
      </c>
      <c r="B860" s="14" t="s">
        <v>1124</v>
      </c>
      <c r="C860" s="14" t="s">
        <v>996</v>
      </c>
      <c r="D860" s="58"/>
      <c r="E860" s="58"/>
    </row>
    <row r="861" spans="1:5" ht="15.75" thickBot="1" x14ac:dyDescent="0.3">
      <c r="A861" s="15">
        <v>47591</v>
      </c>
      <c r="B861" s="14" t="s">
        <v>1125</v>
      </c>
      <c r="C861" s="14" t="s">
        <v>996</v>
      </c>
      <c r="D861" s="58"/>
      <c r="E861" s="58"/>
    </row>
    <row r="862" spans="1:5" ht="30.75" thickBot="1" x14ac:dyDescent="0.3">
      <c r="A862" s="15">
        <v>47592</v>
      </c>
      <c r="B862" s="14" t="s">
        <v>1126</v>
      </c>
      <c r="C862" s="14" t="s">
        <v>996</v>
      </c>
      <c r="D862" s="58"/>
      <c r="E862" s="58"/>
    </row>
    <row r="863" spans="1:5" ht="30.75" thickBot="1" x14ac:dyDescent="0.3">
      <c r="A863" s="15">
        <v>47593</v>
      </c>
      <c r="B863" s="14" t="s">
        <v>1127</v>
      </c>
      <c r="C863" s="14" t="s">
        <v>996</v>
      </c>
      <c r="D863" s="58"/>
      <c r="E863" s="58"/>
    </row>
    <row r="864" spans="1:5" ht="15.75" thickBot="1" x14ac:dyDescent="0.3">
      <c r="A864" s="15">
        <v>47594</v>
      </c>
      <c r="B864" s="14" t="s">
        <v>1128</v>
      </c>
      <c r="C864" s="14" t="s">
        <v>996</v>
      </c>
      <c r="D864" s="58"/>
      <c r="E864" s="58"/>
    </row>
    <row r="865" spans="1:5" ht="30.75" thickBot="1" x14ac:dyDescent="0.3">
      <c r="A865" s="15">
        <v>47599</v>
      </c>
      <c r="B865" s="14" t="s">
        <v>1129</v>
      </c>
      <c r="C865" s="14" t="s">
        <v>996</v>
      </c>
      <c r="D865" s="58"/>
      <c r="E865" s="58"/>
    </row>
    <row r="866" spans="1:5" ht="30.75" thickBot="1" x14ac:dyDescent="0.3">
      <c r="A866" s="15">
        <v>47611</v>
      </c>
      <c r="B866" s="14" t="s">
        <v>1130</v>
      </c>
      <c r="C866" s="14" t="s">
        <v>996</v>
      </c>
      <c r="D866" s="58"/>
      <c r="E866" s="58"/>
    </row>
    <row r="867" spans="1:5" ht="30.75" thickBot="1" x14ac:dyDescent="0.3">
      <c r="A867" s="15">
        <v>47612</v>
      </c>
      <c r="B867" s="14" t="s">
        <v>1131</v>
      </c>
      <c r="C867" s="14" t="s">
        <v>996</v>
      </c>
      <c r="D867" s="58"/>
      <c r="E867" s="58"/>
    </row>
    <row r="868" spans="1:5" ht="30.75" thickBot="1" x14ac:dyDescent="0.3">
      <c r="A868" s="15">
        <v>47613</v>
      </c>
      <c r="B868" s="14" t="s">
        <v>1132</v>
      </c>
      <c r="C868" s="14" t="s">
        <v>996</v>
      </c>
      <c r="D868" s="58"/>
      <c r="E868" s="58"/>
    </row>
    <row r="869" spans="1:5" ht="30.75" thickBot="1" x14ac:dyDescent="0.3">
      <c r="A869" s="15">
        <v>47620</v>
      </c>
      <c r="B869" s="14" t="s">
        <v>1133</v>
      </c>
      <c r="C869" s="14" t="s">
        <v>996</v>
      </c>
      <c r="D869" s="58"/>
      <c r="E869" s="58"/>
    </row>
    <row r="870" spans="1:5" ht="30.75" thickBot="1" x14ac:dyDescent="0.3">
      <c r="A870" s="15">
        <v>47630</v>
      </c>
      <c r="B870" s="14" t="s">
        <v>1134</v>
      </c>
      <c r="C870" s="14" t="s">
        <v>996</v>
      </c>
      <c r="D870" s="58"/>
      <c r="E870" s="58"/>
    </row>
    <row r="871" spans="1:5" ht="30.75" thickBot="1" x14ac:dyDescent="0.3">
      <c r="A871" s="15">
        <v>47690</v>
      </c>
      <c r="B871" s="14" t="s">
        <v>1135</v>
      </c>
      <c r="C871" s="14" t="s">
        <v>996</v>
      </c>
      <c r="D871" s="58"/>
      <c r="E871" s="58"/>
    </row>
    <row r="872" spans="1:5" ht="15.75" thickBot="1" x14ac:dyDescent="0.3">
      <c r="A872" s="15">
        <v>47711</v>
      </c>
      <c r="B872" s="14" t="s">
        <v>1136</v>
      </c>
      <c r="C872" s="14" t="s">
        <v>996</v>
      </c>
      <c r="D872" s="58"/>
      <c r="E872" s="58"/>
    </row>
    <row r="873" spans="1:5" ht="30.75" thickBot="1" x14ac:dyDescent="0.3">
      <c r="A873" s="15">
        <v>47712</v>
      </c>
      <c r="B873" s="14" t="s">
        <v>1137</v>
      </c>
      <c r="C873" s="14" t="s">
        <v>996</v>
      </c>
      <c r="D873" s="58"/>
      <c r="E873" s="58"/>
    </row>
    <row r="874" spans="1:5" ht="15.75" thickBot="1" x14ac:dyDescent="0.3">
      <c r="A874" s="15">
        <v>47713</v>
      </c>
      <c r="B874" s="14" t="s">
        <v>1138</v>
      </c>
      <c r="C874" s="14" t="s">
        <v>996</v>
      </c>
      <c r="D874" s="58"/>
      <c r="E874" s="58"/>
    </row>
    <row r="875" spans="1:5" ht="30.75" thickBot="1" x14ac:dyDescent="0.3">
      <c r="A875" s="15">
        <v>47714</v>
      </c>
      <c r="B875" s="14" t="s">
        <v>1139</v>
      </c>
      <c r="C875" s="14" t="s">
        <v>996</v>
      </c>
      <c r="D875" s="58"/>
      <c r="E875" s="58"/>
    </row>
    <row r="876" spans="1:5" ht="30.75" thickBot="1" x14ac:dyDescent="0.3">
      <c r="A876" s="15">
        <v>47721</v>
      </c>
      <c r="B876" s="14" t="s">
        <v>1140</v>
      </c>
      <c r="C876" s="14" t="s">
        <v>996</v>
      </c>
      <c r="D876" s="58"/>
      <c r="E876" s="58"/>
    </row>
    <row r="877" spans="1:5" ht="30.75" thickBot="1" x14ac:dyDescent="0.3">
      <c r="A877" s="15">
        <v>47722</v>
      </c>
      <c r="B877" s="14" t="s">
        <v>1141</v>
      </c>
      <c r="C877" s="14" t="s">
        <v>996</v>
      </c>
      <c r="D877" s="58"/>
      <c r="E877" s="58"/>
    </row>
    <row r="878" spans="1:5" ht="30.75" thickBot="1" x14ac:dyDescent="0.3">
      <c r="A878" s="15">
        <v>47723</v>
      </c>
      <c r="B878" s="14" t="s">
        <v>1142</v>
      </c>
      <c r="C878" s="14" t="s">
        <v>996</v>
      </c>
      <c r="D878" s="58"/>
      <c r="E878" s="58"/>
    </row>
    <row r="879" spans="1:5" ht="15.75" thickBot="1" x14ac:dyDescent="0.3">
      <c r="A879" s="15">
        <v>47724</v>
      </c>
      <c r="B879" s="14" t="s">
        <v>1143</v>
      </c>
      <c r="C879" s="14" t="s">
        <v>996</v>
      </c>
      <c r="D879" s="58"/>
      <c r="E879" s="58"/>
    </row>
    <row r="880" spans="1:5" ht="30.75" thickBot="1" x14ac:dyDescent="0.3">
      <c r="A880" s="15">
        <v>47725</v>
      </c>
      <c r="B880" s="14" t="s">
        <v>1144</v>
      </c>
      <c r="C880" s="14" t="s">
        <v>996</v>
      </c>
      <c r="D880" s="58"/>
      <c r="E880" s="58"/>
    </row>
    <row r="881" spans="1:5" ht="30.75" thickBot="1" x14ac:dyDescent="0.3">
      <c r="A881" s="15">
        <v>47726</v>
      </c>
      <c r="B881" s="14" t="s">
        <v>1145</v>
      </c>
      <c r="C881" s="14" t="s">
        <v>996</v>
      </c>
      <c r="D881" s="58"/>
      <c r="E881" s="58"/>
    </row>
    <row r="882" spans="1:5" ht="30.75" thickBot="1" x14ac:dyDescent="0.3">
      <c r="A882" s="15">
        <v>47727</v>
      </c>
      <c r="B882" s="14" t="s">
        <v>1146</v>
      </c>
      <c r="C882" s="14" t="s">
        <v>996</v>
      </c>
      <c r="D882" s="58"/>
      <c r="E882" s="58"/>
    </row>
    <row r="883" spans="1:5" ht="15.75" thickBot="1" x14ac:dyDescent="0.3">
      <c r="A883" s="15">
        <v>47728</v>
      </c>
      <c r="B883" s="14" t="s">
        <v>1147</v>
      </c>
      <c r="C883" s="14" t="s">
        <v>996</v>
      </c>
      <c r="D883" s="58"/>
      <c r="E883" s="58"/>
    </row>
    <row r="884" spans="1:5" ht="30.75" thickBot="1" x14ac:dyDescent="0.3">
      <c r="A884" s="15">
        <v>47729</v>
      </c>
      <c r="B884" s="14" t="s">
        <v>1148</v>
      </c>
      <c r="C884" s="14" t="s">
        <v>996</v>
      </c>
      <c r="D884" s="58"/>
      <c r="E884" s="58"/>
    </row>
    <row r="885" spans="1:5" ht="30.75" thickBot="1" x14ac:dyDescent="0.3">
      <c r="A885" s="15">
        <v>47731</v>
      </c>
      <c r="B885" s="14" t="s">
        <v>1149</v>
      </c>
      <c r="C885" s="14" t="s">
        <v>996</v>
      </c>
      <c r="D885" s="58"/>
      <c r="E885" s="58"/>
    </row>
    <row r="886" spans="1:5" ht="30.75" thickBot="1" x14ac:dyDescent="0.3">
      <c r="A886" s="15">
        <v>47732</v>
      </c>
      <c r="B886" s="14" t="s">
        <v>1150</v>
      </c>
      <c r="C886" s="14" t="s">
        <v>996</v>
      </c>
      <c r="D886" s="58"/>
      <c r="E886" s="58"/>
    </row>
    <row r="887" spans="1:5" ht="15.75" thickBot="1" x14ac:dyDescent="0.3">
      <c r="A887" s="15">
        <v>47733</v>
      </c>
      <c r="B887" s="14" t="s">
        <v>1151</v>
      </c>
      <c r="C887" s="14" t="s">
        <v>996</v>
      </c>
      <c r="D887" s="58"/>
      <c r="E887" s="58"/>
    </row>
    <row r="888" spans="1:5" ht="15.75" thickBot="1" x14ac:dyDescent="0.3">
      <c r="A888" s="15">
        <v>47734</v>
      </c>
      <c r="B888" s="14" t="s">
        <v>1152</v>
      </c>
      <c r="C888" s="14" t="s">
        <v>996</v>
      </c>
      <c r="D888" s="58"/>
      <c r="E888" s="58"/>
    </row>
    <row r="889" spans="1:5" ht="15.75" thickBot="1" x14ac:dyDescent="0.3">
      <c r="A889" s="15">
        <v>47735</v>
      </c>
      <c r="B889" s="14" t="s">
        <v>1153</v>
      </c>
      <c r="C889" s="14" t="s">
        <v>996</v>
      </c>
      <c r="D889" s="58"/>
      <c r="E889" s="58"/>
    </row>
    <row r="890" spans="1:5" ht="30.75" thickBot="1" x14ac:dyDescent="0.3">
      <c r="A890" s="15">
        <v>47741</v>
      </c>
      <c r="B890" s="14" t="s">
        <v>1154</v>
      </c>
      <c r="C890" s="14" t="s">
        <v>996</v>
      </c>
      <c r="D890" s="58"/>
      <c r="E890" s="58"/>
    </row>
    <row r="891" spans="1:5" ht="30.75" thickBot="1" x14ac:dyDescent="0.3">
      <c r="A891" s="15">
        <v>47742</v>
      </c>
      <c r="B891" s="14" t="s">
        <v>1155</v>
      </c>
      <c r="C891" s="14" t="s">
        <v>996</v>
      </c>
      <c r="D891" s="58"/>
      <c r="E891" s="58"/>
    </row>
    <row r="892" spans="1:5" ht="30.75" thickBot="1" x14ac:dyDescent="0.3">
      <c r="A892" s="15">
        <v>47743</v>
      </c>
      <c r="B892" s="14" t="s">
        <v>1156</v>
      </c>
      <c r="C892" s="14" t="s">
        <v>996</v>
      </c>
      <c r="D892" s="58"/>
      <c r="E892" s="58"/>
    </row>
    <row r="893" spans="1:5" ht="30.75" thickBot="1" x14ac:dyDescent="0.3">
      <c r="A893" s="15">
        <v>47744</v>
      </c>
      <c r="B893" s="14" t="s">
        <v>1157</v>
      </c>
      <c r="C893" s="14" t="s">
        <v>996</v>
      </c>
      <c r="D893" s="58"/>
      <c r="E893" s="58"/>
    </row>
    <row r="894" spans="1:5" ht="30.75" thickBot="1" x14ac:dyDescent="0.3">
      <c r="A894" s="15">
        <v>47745</v>
      </c>
      <c r="B894" s="14" t="s">
        <v>1158</v>
      </c>
      <c r="C894" s="14" t="s">
        <v>996</v>
      </c>
      <c r="D894" s="58"/>
      <c r="E894" s="58"/>
    </row>
    <row r="895" spans="1:5" ht="15.75" thickBot="1" x14ac:dyDescent="0.3">
      <c r="A895" s="15">
        <v>47746</v>
      </c>
      <c r="B895" s="14" t="s">
        <v>1159</v>
      </c>
      <c r="C895" s="14" t="s">
        <v>996</v>
      </c>
      <c r="D895" s="58"/>
      <c r="E895" s="58"/>
    </row>
    <row r="896" spans="1:5" ht="15.75" thickBot="1" x14ac:dyDescent="0.3">
      <c r="A896" s="15">
        <v>47749</v>
      </c>
      <c r="B896" s="14" t="s">
        <v>1160</v>
      </c>
      <c r="C896" s="14" t="s">
        <v>996</v>
      </c>
      <c r="D896" s="58"/>
      <c r="E896" s="58"/>
    </row>
    <row r="897" spans="1:5" ht="30.75" thickBot="1" x14ac:dyDescent="0.3">
      <c r="A897" s="15">
        <v>47751</v>
      </c>
      <c r="B897" s="14" t="s">
        <v>1161</v>
      </c>
      <c r="C897" s="14" t="s">
        <v>996</v>
      </c>
      <c r="D897" s="58"/>
      <c r="E897" s="58"/>
    </row>
    <row r="898" spans="1:5" ht="30.75" thickBot="1" x14ac:dyDescent="0.3">
      <c r="A898" s="15">
        <v>47752</v>
      </c>
      <c r="B898" s="14" t="s">
        <v>1162</v>
      </c>
      <c r="C898" s="14" t="s">
        <v>996</v>
      </c>
      <c r="D898" s="58"/>
      <c r="E898" s="58"/>
    </row>
    <row r="899" spans="1:5" ht="30.75" thickBot="1" x14ac:dyDescent="0.3">
      <c r="A899" s="15">
        <v>47753</v>
      </c>
      <c r="B899" s="14" t="s">
        <v>1163</v>
      </c>
      <c r="C899" s="14" t="s">
        <v>996</v>
      </c>
      <c r="D899" s="58"/>
      <c r="E899" s="58"/>
    </row>
    <row r="900" spans="1:5" ht="30.75" thickBot="1" x14ac:dyDescent="0.3">
      <c r="A900" s="15">
        <v>47754</v>
      </c>
      <c r="B900" s="14" t="s">
        <v>1164</v>
      </c>
      <c r="C900" s="14" t="s">
        <v>996</v>
      </c>
      <c r="D900" s="58"/>
      <c r="E900" s="58"/>
    </row>
    <row r="901" spans="1:5" ht="15.75" thickBot="1" x14ac:dyDescent="0.3">
      <c r="A901" s="15">
        <v>47761</v>
      </c>
      <c r="B901" s="14" t="s">
        <v>1165</v>
      </c>
      <c r="C901" s="14" t="s">
        <v>996</v>
      </c>
      <c r="D901" s="58"/>
      <c r="E901" s="58"/>
    </row>
    <row r="902" spans="1:5" ht="30.75" thickBot="1" x14ac:dyDescent="0.3">
      <c r="A902" s="15">
        <v>47762</v>
      </c>
      <c r="B902" s="14" t="s">
        <v>1166</v>
      </c>
      <c r="C902" s="14" t="s">
        <v>996</v>
      </c>
      <c r="D902" s="58"/>
      <c r="E902" s="58"/>
    </row>
    <row r="903" spans="1:5" ht="30.75" thickBot="1" x14ac:dyDescent="0.3">
      <c r="A903" s="15">
        <v>47763</v>
      </c>
      <c r="B903" s="14" t="s">
        <v>1167</v>
      </c>
      <c r="C903" s="14" t="s">
        <v>996</v>
      </c>
      <c r="D903" s="58"/>
      <c r="E903" s="58"/>
    </row>
    <row r="904" spans="1:5" ht="30.75" thickBot="1" x14ac:dyDescent="0.3">
      <c r="A904" s="15">
        <v>47764</v>
      </c>
      <c r="B904" s="14" t="s">
        <v>1168</v>
      </c>
      <c r="C904" s="14" t="s">
        <v>996</v>
      </c>
      <c r="D904" s="58"/>
      <c r="E904" s="58"/>
    </row>
    <row r="905" spans="1:5" ht="30.75" thickBot="1" x14ac:dyDescent="0.3">
      <c r="A905" s="15">
        <v>47765</v>
      </c>
      <c r="B905" s="14" t="s">
        <v>1169</v>
      </c>
      <c r="C905" s="14" t="s">
        <v>996</v>
      </c>
      <c r="D905" s="58"/>
      <c r="E905" s="58"/>
    </row>
    <row r="906" spans="1:5" ht="15.75" thickBot="1" x14ac:dyDescent="0.3">
      <c r="A906" s="15">
        <v>47771</v>
      </c>
      <c r="B906" s="14" t="s">
        <v>1170</v>
      </c>
      <c r="C906" s="14" t="s">
        <v>996</v>
      </c>
      <c r="D906" s="58"/>
      <c r="E906" s="58"/>
    </row>
    <row r="907" spans="1:5" ht="15.75" thickBot="1" x14ac:dyDescent="0.3">
      <c r="A907" s="15">
        <v>47772</v>
      </c>
      <c r="B907" s="14" t="s">
        <v>1171</v>
      </c>
      <c r="C907" s="14" t="s">
        <v>996</v>
      </c>
      <c r="D907" s="58"/>
      <c r="E907" s="58"/>
    </row>
    <row r="908" spans="1:5" ht="15.75" thickBot="1" x14ac:dyDescent="0.3">
      <c r="A908" s="15">
        <v>47773</v>
      </c>
      <c r="B908" s="14" t="s">
        <v>1172</v>
      </c>
      <c r="C908" s="14" t="s">
        <v>996</v>
      </c>
      <c r="D908" s="58"/>
      <c r="E908" s="58"/>
    </row>
    <row r="909" spans="1:5" ht="30.75" thickBot="1" x14ac:dyDescent="0.3">
      <c r="A909" s="15">
        <v>47774</v>
      </c>
      <c r="B909" s="14" t="s">
        <v>1173</v>
      </c>
      <c r="C909" s="14" t="s">
        <v>996</v>
      </c>
      <c r="D909" s="58"/>
      <c r="E909" s="58"/>
    </row>
    <row r="910" spans="1:5" ht="30.75" thickBot="1" x14ac:dyDescent="0.3">
      <c r="A910" s="15">
        <v>47779</v>
      </c>
      <c r="B910" s="14" t="s">
        <v>1174</v>
      </c>
      <c r="C910" s="14" t="s">
        <v>996</v>
      </c>
      <c r="D910" s="58"/>
      <c r="E910" s="58"/>
    </row>
    <row r="911" spans="1:5" ht="30.75" thickBot="1" x14ac:dyDescent="0.3">
      <c r="A911" s="15">
        <v>47781</v>
      </c>
      <c r="B911" s="14" t="s">
        <v>1175</v>
      </c>
      <c r="C911" s="14" t="s">
        <v>996</v>
      </c>
      <c r="D911" s="58"/>
      <c r="E911" s="58"/>
    </row>
    <row r="912" spans="1:5" ht="15.75" thickBot="1" x14ac:dyDescent="0.3">
      <c r="A912" s="15">
        <v>47782</v>
      </c>
      <c r="B912" s="14" t="s">
        <v>1176</v>
      </c>
      <c r="C912" s="14" t="s">
        <v>996</v>
      </c>
      <c r="D912" s="58"/>
      <c r="E912" s="58"/>
    </row>
    <row r="913" spans="1:5" ht="30.75" thickBot="1" x14ac:dyDescent="0.3">
      <c r="A913" s="15">
        <v>47791</v>
      </c>
      <c r="B913" s="14" t="s">
        <v>1177</v>
      </c>
      <c r="C913" s="14" t="s">
        <v>996</v>
      </c>
      <c r="D913" s="58"/>
      <c r="E913" s="58"/>
    </row>
    <row r="914" spans="1:5" ht="30.75" thickBot="1" x14ac:dyDescent="0.3">
      <c r="A914" s="15">
        <v>47792</v>
      </c>
      <c r="B914" s="14" t="s">
        <v>1178</v>
      </c>
      <c r="C914" s="14" t="s">
        <v>996</v>
      </c>
      <c r="D914" s="58"/>
      <c r="E914" s="58"/>
    </row>
    <row r="915" spans="1:5" ht="15.75" thickBot="1" x14ac:dyDescent="0.3">
      <c r="A915" s="15">
        <v>47793</v>
      </c>
      <c r="B915" s="14" t="s">
        <v>1179</v>
      </c>
      <c r="C915" s="14" t="s">
        <v>996</v>
      </c>
      <c r="D915" s="58"/>
      <c r="E915" s="58"/>
    </row>
    <row r="916" spans="1:5" ht="15.75" thickBot="1" x14ac:dyDescent="0.3">
      <c r="A916" s="15">
        <v>47794</v>
      </c>
      <c r="B916" s="14" t="s">
        <v>1180</v>
      </c>
      <c r="C916" s="14" t="s">
        <v>996</v>
      </c>
      <c r="D916" s="58"/>
      <c r="E916" s="58"/>
    </row>
    <row r="917" spans="1:5" ht="30.75" thickBot="1" x14ac:dyDescent="0.3">
      <c r="A917" s="15">
        <v>47795</v>
      </c>
      <c r="B917" s="14" t="s">
        <v>1181</v>
      </c>
      <c r="C917" s="14" t="s">
        <v>996</v>
      </c>
      <c r="D917" s="58"/>
      <c r="E917" s="58"/>
    </row>
    <row r="918" spans="1:5" ht="15.75" thickBot="1" x14ac:dyDescent="0.3">
      <c r="A918" s="15">
        <v>47796</v>
      </c>
      <c r="B918" s="14" t="s">
        <v>1182</v>
      </c>
      <c r="C918" s="14" t="s">
        <v>996</v>
      </c>
      <c r="D918" s="58"/>
      <c r="E918" s="58"/>
    </row>
    <row r="919" spans="1:5" ht="15.75" thickBot="1" x14ac:dyDescent="0.3">
      <c r="A919" s="15">
        <v>47799</v>
      </c>
      <c r="B919" s="14" t="s">
        <v>1183</v>
      </c>
      <c r="C919" s="14" t="s">
        <v>996</v>
      </c>
      <c r="D919" s="58"/>
      <c r="E919" s="58"/>
    </row>
    <row r="920" spans="1:5" ht="15.75" thickBot="1" x14ac:dyDescent="0.3">
      <c r="A920" s="15">
        <v>47811</v>
      </c>
      <c r="B920" s="14" t="s">
        <v>1184</v>
      </c>
      <c r="C920" s="14" t="s">
        <v>996</v>
      </c>
      <c r="D920" s="58"/>
      <c r="E920" s="58"/>
    </row>
    <row r="921" spans="1:5" ht="15.75" thickBot="1" x14ac:dyDescent="0.3">
      <c r="A921" s="15">
        <v>47812</v>
      </c>
      <c r="B921" s="14" t="s">
        <v>1185</v>
      </c>
      <c r="C921" s="14" t="s">
        <v>996</v>
      </c>
      <c r="D921" s="58"/>
      <c r="E921" s="58"/>
    </row>
    <row r="922" spans="1:5" ht="30.75" thickBot="1" x14ac:dyDescent="0.3">
      <c r="A922" s="15">
        <v>47820</v>
      </c>
      <c r="B922" s="14" t="s">
        <v>1186</v>
      </c>
      <c r="C922" s="14" t="s">
        <v>996</v>
      </c>
      <c r="D922" s="58"/>
      <c r="E922" s="58"/>
    </row>
    <row r="923" spans="1:5" ht="15.75" thickBot="1" x14ac:dyDescent="0.3">
      <c r="A923" s="15">
        <v>47831</v>
      </c>
      <c r="B923" s="14" t="s">
        <v>1187</v>
      </c>
      <c r="C923" s="14" t="s">
        <v>996</v>
      </c>
      <c r="D923" s="58"/>
      <c r="E923" s="58"/>
    </row>
    <row r="924" spans="1:5" ht="15.75" thickBot="1" x14ac:dyDescent="0.3">
      <c r="A924" s="15">
        <v>47832</v>
      </c>
      <c r="B924" s="14" t="s">
        <v>1188</v>
      </c>
      <c r="C924" s="14" t="s">
        <v>996</v>
      </c>
      <c r="D924" s="58"/>
      <c r="E924" s="58"/>
    </row>
    <row r="925" spans="1:5" ht="30.75" thickBot="1" x14ac:dyDescent="0.3">
      <c r="A925" s="15">
        <v>47833</v>
      </c>
      <c r="B925" s="14" t="s">
        <v>1189</v>
      </c>
      <c r="C925" s="14" t="s">
        <v>996</v>
      </c>
      <c r="D925" s="58"/>
      <c r="E925" s="58"/>
    </row>
    <row r="926" spans="1:5" ht="30.75" thickBot="1" x14ac:dyDescent="0.3">
      <c r="A926" s="15">
        <v>47901</v>
      </c>
      <c r="B926" s="14" t="s">
        <v>1190</v>
      </c>
      <c r="C926" s="14" t="s">
        <v>996</v>
      </c>
      <c r="D926" s="88" t="s">
        <v>2090</v>
      </c>
      <c r="E926" s="58"/>
    </row>
    <row r="927" spans="1:5" ht="26.25" thickBot="1" x14ac:dyDescent="0.3">
      <c r="A927" s="15">
        <v>47909</v>
      </c>
      <c r="B927" s="14" t="s">
        <v>1191</v>
      </c>
      <c r="C927" s="14" t="s">
        <v>996</v>
      </c>
      <c r="D927" s="88" t="s">
        <v>2090</v>
      </c>
      <c r="E927" s="58"/>
    </row>
    <row r="928" spans="1:5" ht="15.75" thickBot="1" x14ac:dyDescent="0.3">
      <c r="A928" s="15">
        <v>49111</v>
      </c>
      <c r="B928" s="14" t="s">
        <v>1192</v>
      </c>
      <c r="C928" s="14" t="s">
        <v>16</v>
      </c>
      <c r="D928" s="58"/>
      <c r="E928" s="58"/>
    </row>
    <row r="929" spans="1:5" ht="30.75" thickBot="1" x14ac:dyDescent="0.3">
      <c r="A929" s="15">
        <v>49119</v>
      </c>
      <c r="B929" s="14" t="s">
        <v>1193</v>
      </c>
      <c r="C929" s="14" t="s">
        <v>16</v>
      </c>
      <c r="D929" s="58"/>
      <c r="E929" s="58"/>
    </row>
    <row r="930" spans="1:5" ht="15.75" thickBot="1" x14ac:dyDescent="0.3">
      <c r="A930" s="15">
        <v>49120</v>
      </c>
      <c r="B930" s="14" t="s">
        <v>1194</v>
      </c>
      <c r="C930" s="14" t="s">
        <v>16</v>
      </c>
      <c r="D930" s="58"/>
      <c r="E930" s="58"/>
    </row>
    <row r="931" spans="1:5" ht="15.75" thickBot="1" x14ac:dyDescent="0.3">
      <c r="A931" s="15">
        <v>49211</v>
      </c>
      <c r="B931" s="14" t="s">
        <v>1195</v>
      </c>
      <c r="C931" s="14" t="s">
        <v>16</v>
      </c>
      <c r="D931" s="58"/>
      <c r="E931" s="58"/>
    </row>
    <row r="932" spans="1:5" ht="15.75" thickBot="1" x14ac:dyDescent="0.3">
      <c r="A932" s="15">
        <v>49212</v>
      </c>
      <c r="B932" s="14" t="s">
        <v>1196</v>
      </c>
      <c r="C932" s="14" t="s">
        <v>16</v>
      </c>
      <c r="D932" s="58"/>
      <c r="E932" s="58"/>
    </row>
    <row r="933" spans="1:5" ht="15.75" thickBot="1" x14ac:dyDescent="0.3">
      <c r="A933" s="15">
        <v>49213</v>
      </c>
      <c r="B933" s="14" t="s">
        <v>1197</v>
      </c>
      <c r="C933" s="14" t="s">
        <v>16</v>
      </c>
      <c r="D933" s="58"/>
      <c r="E933" s="58"/>
    </row>
    <row r="934" spans="1:5" ht="15.75" thickBot="1" x14ac:dyDescent="0.3">
      <c r="A934" s="15">
        <v>49214</v>
      </c>
      <c r="B934" s="14" t="s">
        <v>1198</v>
      </c>
      <c r="C934" s="14" t="s">
        <v>16</v>
      </c>
      <c r="D934" s="58"/>
      <c r="E934" s="58"/>
    </row>
    <row r="935" spans="1:5" ht="30.75" thickBot="1" x14ac:dyDescent="0.3">
      <c r="A935" s="15">
        <v>49219</v>
      </c>
      <c r="B935" s="14" t="s">
        <v>1199</v>
      </c>
      <c r="C935" s="14" t="s">
        <v>16</v>
      </c>
      <c r="D935" s="58"/>
      <c r="E935" s="58"/>
    </row>
    <row r="936" spans="1:5" ht="15.75" thickBot="1" x14ac:dyDescent="0.3">
      <c r="A936" s="15">
        <v>49221</v>
      </c>
      <c r="B936" s="14" t="s">
        <v>1200</v>
      </c>
      <c r="C936" s="14" t="s">
        <v>16</v>
      </c>
      <c r="D936" s="58"/>
      <c r="E936" s="58"/>
    </row>
    <row r="937" spans="1:5" ht="15.75" thickBot="1" x14ac:dyDescent="0.3">
      <c r="A937" s="15">
        <v>49222</v>
      </c>
      <c r="B937" s="14" t="s">
        <v>1201</v>
      </c>
      <c r="C937" s="14" t="s">
        <v>16</v>
      </c>
      <c r="D937" s="58"/>
      <c r="E937" s="58"/>
    </row>
    <row r="938" spans="1:5" ht="15.75" thickBot="1" x14ac:dyDescent="0.3">
      <c r="A938" s="15">
        <v>49223</v>
      </c>
      <c r="B938" s="14" t="s">
        <v>1202</v>
      </c>
      <c r="C938" s="14" t="s">
        <v>16</v>
      </c>
      <c r="D938" s="58"/>
      <c r="E938" s="58"/>
    </row>
    <row r="939" spans="1:5" ht="30.75" thickBot="1" x14ac:dyDescent="0.3">
      <c r="A939" s="15">
        <v>49229</v>
      </c>
      <c r="B939" s="14" t="s">
        <v>1203</v>
      </c>
      <c r="C939" s="14" t="s">
        <v>16</v>
      </c>
      <c r="D939" s="58"/>
      <c r="E939" s="58"/>
    </row>
    <row r="940" spans="1:5" ht="15.75" thickBot="1" x14ac:dyDescent="0.3">
      <c r="A940" s="15">
        <v>49231</v>
      </c>
      <c r="B940" s="14" t="s">
        <v>1204</v>
      </c>
      <c r="C940" s="14" t="s">
        <v>16</v>
      </c>
      <c r="D940" s="58"/>
      <c r="E940" s="58"/>
    </row>
    <row r="941" spans="1:5" ht="15.75" thickBot="1" x14ac:dyDescent="0.3">
      <c r="A941" s="15">
        <v>49232</v>
      </c>
      <c r="B941" s="14" t="s">
        <v>1205</v>
      </c>
      <c r="C941" s="14" t="s">
        <v>16</v>
      </c>
      <c r="D941" s="58"/>
      <c r="E941" s="58"/>
    </row>
    <row r="942" spans="1:5" ht="15.75" thickBot="1" x14ac:dyDescent="0.3">
      <c r="A942" s="15">
        <v>49233</v>
      </c>
      <c r="B942" s="14" t="s">
        <v>1206</v>
      </c>
      <c r="C942" s="14" t="s">
        <v>16</v>
      </c>
      <c r="D942" s="58"/>
      <c r="E942" s="58"/>
    </row>
    <row r="943" spans="1:5" ht="15.75" thickBot="1" x14ac:dyDescent="0.3">
      <c r="A943" s="15">
        <v>49291</v>
      </c>
      <c r="B943" s="14" t="s">
        <v>1207</v>
      </c>
      <c r="C943" s="14" t="s">
        <v>16</v>
      </c>
      <c r="D943" s="58"/>
      <c r="E943" s="58"/>
    </row>
    <row r="944" spans="1:5" ht="15.75" thickBot="1" x14ac:dyDescent="0.3">
      <c r="A944" s="15">
        <v>49292</v>
      </c>
      <c r="B944" s="14" t="s">
        <v>1208</v>
      </c>
      <c r="C944" s="14" t="s">
        <v>16</v>
      </c>
      <c r="D944" s="58"/>
      <c r="E944" s="58"/>
    </row>
    <row r="945" spans="1:5" ht="15.75" thickBot="1" x14ac:dyDescent="0.3">
      <c r="A945" s="15">
        <v>49293</v>
      </c>
      <c r="B945" s="14" t="s">
        <v>1209</v>
      </c>
      <c r="C945" s="14" t="s">
        <v>16</v>
      </c>
      <c r="D945" s="58"/>
      <c r="E945" s="58"/>
    </row>
    <row r="946" spans="1:5" ht="15.75" thickBot="1" x14ac:dyDescent="0.3">
      <c r="A946" s="15">
        <v>49294</v>
      </c>
      <c r="B946" s="14" t="s">
        <v>1210</v>
      </c>
      <c r="C946" s="14" t="s">
        <v>16</v>
      </c>
      <c r="D946" s="58"/>
      <c r="E946" s="58"/>
    </row>
    <row r="947" spans="1:5" ht="15.75" thickBot="1" x14ac:dyDescent="0.3">
      <c r="A947" s="15">
        <v>49295</v>
      </c>
      <c r="B947" s="14" t="s">
        <v>1211</v>
      </c>
      <c r="C947" s="14" t="s">
        <v>16</v>
      </c>
      <c r="D947" s="58"/>
      <c r="E947" s="58"/>
    </row>
    <row r="948" spans="1:5" ht="15.75" thickBot="1" x14ac:dyDescent="0.3">
      <c r="A948" s="15">
        <v>49296</v>
      </c>
      <c r="B948" s="14" t="s">
        <v>1212</v>
      </c>
      <c r="C948" s="14" t="s">
        <v>16</v>
      </c>
      <c r="D948" s="58"/>
      <c r="E948" s="58"/>
    </row>
    <row r="949" spans="1:5" ht="15.75" thickBot="1" x14ac:dyDescent="0.3">
      <c r="A949" s="15">
        <v>49297</v>
      </c>
      <c r="B949" s="14" t="s">
        <v>1213</v>
      </c>
      <c r="C949" s="14" t="s">
        <v>16</v>
      </c>
      <c r="D949" s="58"/>
      <c r="E949" s="58"/>
    </row>
    <row r="950" spans="1:5" ht="30.75" thickBot="1" x14ac:dyDescent="0.3">
      <c r="A950" s="15">
        <v>49299</v>
      </c>
      <c r="B950" s="14" t="s">
        <v>1214</v>
      </c>
      <c r="C950" s="14" t="s">
        <v>16</v>
      </c>
      <c r="D950" s="58"/>
      <c r="E950" s="58"/>
    </row>
    <row r="951" spans="1:5" ht="15.75" thickBot="1" x14ac:dyDescent="0.3">
      <c r="A951" s="15">
        <v>49300</v>
      </c>
      <c r="B951" s="14" t="s">
        <v>1215</v>
      </c>
      <c r="C951" s="14" t="s">
        <v>16</v>
      </c>
      <c r="D951" s="58"/>
      <c r="E951" s="58"/>
    </row>
    <row r="952" spans="1:5" ht="30.75" thickBot="1" x14ac:dyDescent="0.3">
      <c r="A952" s="15">
        <v>50111</v>
      </c>
      <c r="B952" s="14" t="s">
        <v>1216</v>
      </c>
      <c r="C952" s="14" t="s">
        <v>16</v>
      </c>
      <c r="D952" s="58"/>
      <c r="E952" s="58"/>
    </row>
    <row r="953" spans="1:5" ht="30.75" thickBot="1" x14ac:dyDescent="0.3">
      <c r="A953" s="15">
        <v>50112</v>
      </c>
      <c r="B953" s="14" t="s">
        <v>1217</v>
      </c>
      <c r="C953" s="14" t="s">
        <v>16</v>
      </c>
      <c r="D953" s="58"/>
      <c r="E953" s="58"/>
    </row>
    <row r="954" spans="1:5" ht="15.75" thickBot="1" x14ac:dyDescent="0.3">
      <c r="A954" s="15">
        <v>50113</v>
      </c>
      <c r="B954" s="14" t="s">
        <v>1218</v>
      </c>
      <c r="C954" s="14" t="s">
        <v>16</v>
      </c>
      <c r="D954" s="58"/>
      <c r="E954" s="58"/>
    </row>
    <row r="955" spans="1:5" ht="30.75" thickBot="1" x14ac:dyDescent="0.3">
      <c r="A955" s="15">
        <v>50114</v>
      </c>
      <c r="B955" s="14" t="s">
        <v>1219</v>
      </c>
      <c r="C955" s="14" t="s">
        <v>16</v>
      </c>
      <c r="D955" s="58"/>
      <c r="E955" s="58"/>
    </row>
    <row r="956" spans="1:5" ht="15.75" thickBot="1" x14ac:dyDescent="0.3">
      <c r="A956" s="15">
        <v>50115</v>
      </c>
      <c r="B956" s="14" t="s">
        <v>1220</v>
      </c>
      <c r="C956" s="14" t="s">
        <v>16</v>
      </c>
      <c r="D956" s="58"/>
      <c r="E956" s="58"/>
    </row>
    <row r="957" spans="1:5" ht="30.75" thickBot="1" x14ac:dyDescent="0.3">
      <c r="A957" s="15">
        <v>50121</v>
      </c>
      <c r="B957" s="14" t="s">
        <v>1221</v>
      </c>
      <c r="C957" s="14" t="s">
        <v>16</v>
      </c>
      <c r="D957" s="58"/>
      <c r="E957" s="58"/>
    </row>
    <row r="958" spans="1:5" ht="30.75" thickBot="1" x14ac:dyDescent="0.3">
      <c r="A958" s="15">
        <v>50122</v>
      </c>
      <c r="B958" s="14" t="s">
        <v>1222</v>
      </c>
      <c r="C958" s="14" t="s">
        <v>16</v>
      </c>
      <c r="D958" s="58"/>
      <c r="E958" s="58"/>
    </row>
    <row r="959" spans="1:5" ht="30.75" thickBot="1" x14ac:dyDescent="0.3">
      <c r="A959" s="15">
        <v>50123</v>
      </c>
      <c r="B959" s="14" t="s">
        <v>1223</v>
      </c>
      <c r="C959" s="14" t="s">
        <v>16</v>
      </c>
      <c r="D959" s="58"/>
      <c r="E959" s="58"/>
    </row>
    <row r="960" spans="1:5" ht="30.75" thickBot="1" x14ac:dyDescent="0.3">
      <c r="A960" s="15">
        <v>50124</v>
      </c>
      <c r="B960" s="14" t="s">
        <v>1224</v>
      </c>
      <c r="C960" s="14" t="s">
        <v>16</v>
      </c>
      <c r="D960" s="58"/>
      <c r="E960" s="58"/>
    </row>
    <row r="961" spans="1:5" ht="15.75" thickBot="1" x14ac:dyDescent="0.3">
      <c r="A961" s="15">
        <v>50125</v>
      </c>
      <c r="B961" s="14" t="s">
        <v>1225</v>
      </c>
      <c r="C961" s="14" t="s">
        <v>16</v>
      </c>
      <c r="D961" s="58"/>
      <c r="E961" s="58"/>
    </row>
    <row r="962" spans="1:5" ht="30.75" thickBot="1" x14ac:dyDescent="0.3">
      <c r="A962" s="15">
        <v>50126</v>
      </c>
      <c r="B962" s="14" t="s">
        <v>1226</v>
      </c>
      <c r="C962" s="14" t="s">
        <v>16</v>
      </c>
      <c r="D962" s="58"/>
      <c r="E962" s="58"/>
    </row>
    <row r="963" spans="1:5" ht="30.75" thickBot="1" x14ac:dyDescent="0.3">
      <c r="A963" s="15">
        <v>50127</v>
      </c>
      <c r="B963" s="14" t="s">
        <v>1227</v>
      </c>
      <c r="C963" s="14" t="s">
        <v>16</v>
      </c>
      <c r="D963" s="58"/>
      <c r="E963" s="58"/>
    </row>
    <row r="964" spans="1:5" ht="30.75" thickBot="1" x14ac:dyDescent="0.3">
      <c r="A964" s="15">
        <v>50131</v>
      </c>
      <c r="B964" s="14" t="s">
        <v>1228</v>
      </c>
      <c r="C964" s="14" t="s">
        <v>16</v>
      </c>
      <c r="D964" s="58"/>
      <c r="E964" s="58"/>
    </row>
    <row r="965" spans="1:5" ht="30.75" thickBot="1" x14ac:dyDescent="0.3">
      <c r="A965" s="15">
        <v>50132</v>
      </c>
      <c r="B965" s="14" t="s">
        <v>1229</v>
      </c>
      <c r="C965" s="14" t="s">
        <v>16</v>
      </c>
      <c r="D965" s="58"/>
      <c r="E965" s="58"/>
    </row>
    <row r="966" spans="1:5" ht="30.75" thickBot="1" x14ac:dyDescent="0.3">
      <c r="A966" s="15">
        <v>50133</v>
      </c>
      <c r="B966" s="14" t="s">
        <v>1230</v>
      </c>
      <c r="C966" s="14" t="s">
        <v>16</v>
      </c>
      <c r="D966" s="58"/>
      <c r="E966" s="58"/>
    </row>
    <row r="967" spans="1:5" ht="30.75" thickBot="1" x14ac:dyDescent="0.3">
      <c r="A967" s="15">
        <v>50134</v>
      </c>
      <c r="B967" s="14" t="s">
        <v>1231</v>
      </c>
      <c r="C967" s="14" t="s">
        <v>16</v>
      </c>
      <c r="D967" s="58"/>
      <c r="E967" s="58"/>
    </row>
    <row r="968" spans="1:5" ht="30.75" thickBot="1" x14ac:dyDescent="0.3">
      <c r="A968" s="15">
        <v>50135</v>
      </c>
      <c r="B968" s="14" t="s">
        <v>1232</v>
      </c>
      <c r="C968" s="14" t="s">
        <v>16</v>
      </c>
      <c r="D968" s="58"/>
      <c r="E968" s="58"/>
    </row>
    <row r="969" spans="1:5" ht="15.75" thickBot="1" x14ac:dyDescent="0.3">
      <c r="A969" s="15">
        <v>50139</v>
      </c>
      <c r="B969" s="14" t="s">
        <v>1233</v>
      </c>
      <c r="C969" s="14" t="s">
        <v>16</v>
      </c>
      <c r="D969" s="58"/>
      <c r="E969" s="58"/>
    </row>
    <row r="970" spans="1:5" ht="30.75" thickBot="1" x14ac:dyDescent="0.3">
      <c r="A970" s="15">
        <v>50141</v>
      </c>
      <c r="B970" s="14" t="s">
        <v>1234</v>
      </c>
      <c r="C970" s="14" t="s">
        <v>16</v>
      </c>
      <c r="D970" s="58"/>
      <c r="E970" s="58"/>
    </row>
    <row r="971" spans="1:5" ht="30.75" thickBot="1" x14ac:dyDescent="0.3">
      <c r="A971" s="15">
        <v>50142</v>
      </c>
      <c r="B971" s="14" t="s">
        <v>1229</v>
      </c>
      <c r="C971" s="14" t="s">
        <v>16</v>
      </c>
      <c r="D971" s="58"/>
      <c r="E971" s="58"/>
    </row>
    <row r="972" spans="1:5" ht="30.75" thickBot="1" x14ac:dyDescent="0.3">
      <c r="A972" s="15">
        <v>50143</v>
      </c>
      <c r="B972" s="14" t="s">
        <v>1230</v>
      </c>
      <c r="C972" s="14" t="s">
        <v>16</v>
      </c>
      <c r="D972" s="58"/>
      <c r="E972" s="58"/>
    </row>
    <row r="973" spans="1:5" ht="30.75" thickBot="1" x14ac:dyDescent="0.3">
      <c r="A973" s="15">
        <v>50144</v>
      </c>
      <c r="B973" s="14" t="s">
        <v>1231</v>
      </c>
      <c r="C973" s="14" t="s">
        <v>16</v>
      </c>
      <c r="D973" s="58"/>
      <c r="E973" s="58"/>
    </row>
    <row r="974" spans="1:5" ht="30.75" thickBot="1" x14ac:dyDescent="0.3">
      <c r="A974" s="15">
        <v>50145</v>
      </c>
      <c r="B974" s="14" t="s">
        <v>1232</v>
      </c>
      <c r="C974" s="14" t="s">
        <v>16</v>
      </c>
      <c r="D974" s="58"/>
      <c r="E974" s="58"/>
    </row>
    <row r="975" spans="1:5" ht="15.75" thickBot="1" x14ac:dyDescent="0.3">
      <c r="A975" s="15">
        <v>50149</v>
      </c>
      <c r="B975" s="14" t="s">
        <v>1235</v>
      </c>
      <c r="C975" s="14" t="s">
        <v>16</v>
      </c>
      <c r="D975" s="58"/>
      <c r="E975" s="58"/>
    </row>
    <row r="976" spans="1:5" ht="30.75" thickBot="1" x14ac:dyDescent="0.3">
      <c r="A976" s="15">
        <v>50211</v>
      </c>
      <c r="B976" s="14" t="s">
        <v>1236</v>
      </c>
      <c r="C976" s="14" t="s">
        <v>16</v>
      </c>
      <c r="D976" s="58"/>
      <c r="E976" s="58"/>
    </row>
    <row r="977" spans="1:5" ht="30.75" thickBot="1" x14ac:dyDescent="0.3">
      <c r="A977" s="15">
        <v>50212</v>
      </c>
      <c r="B977" s="14" t="s">
        <v>1237</v>
      </c>
      <c r="C977" s="14" t="s">
        <v>16</v>
      </c>
      <c r="D977" s="58"/>
      <c r="E977" s="58"/>
    </row>
    <row r="978" spans="1:5" ht="15.75" thickBot="1" x14ac:dyDescent="0.3">
      <c r="A978" s="15">
        <v>50213</v>
      </c>
      <c r="B978" s="14" t="s">
        <v>1238</v>
      </c>
      <c r="C978" s="14" t="s">
        <v>16</v>
      </c>
      <c r="D978" s="58"/>
      <c r="E978" s="58"/>
    </row>
    <row r="979" spans="1:5" ht="30.75" thickBot="1" x14ac:dyDescent="0.3">
      <c r="A979" s="15">
        <v>50221</v>
      </c>
      <c r="B979" s="14" t="s">
        <v>1239</v>
      </c>
      <c r="C979" s="14" t="s">
        <v>16</v>
      </c>
      <c r="D979" s="58"/>
      <c r="E979" s="58"/>
    </row>
    <row r="980" spans="1:5" ht="30.75" thickBot="1" x14ac:dyDescent="0.3">
      <c r="A980" s="15">
        <v>50222</v>
      </c>
      <c r="B980" s="14" t="s">
        <v>1240</v>
      </c>
      <c r="C980" s="14" t="s">
        <v>16</v>
      </c>
      <c r="D980" s="58"/>
      <c r="E980" s="58"/>
    </row>
    <row r="981" spans="1:5" ht="30.75" thickBot="1" x14ac:dyDescent="0.3">
      <c r="A981" s="15">
        <v>50223</v>
      </c>
      <c r="B981" s="14" t="s">
        <v>1241</v>
      </c>
      <c r="C981" s="14" t="s">
        <v>16</v>
      </c>
      <c r="D981" s="58"/>
      <c r="E981" s="58"/>
    </row>
    <row r="982" spans="1:5" ht="30.75" thickBot="1" x14ac:dyDescent="0.3">
      <c r="A982" s="15">
        <v>51101</v>
      </c>
      <c r="B982" s="14" t="s">
        <v>1242</v>
      </c>
      <c r="C982" s="14" t="s">
        <v>16</v>
      </c>
      <c r="D982" s="58"/>
      <c r="E982" s="58"/>
    </row>
    <row r="983" spans="1:5" ht="30.75" thickBot="1" x14ac:dyDescent="0.3">
      <c r="A983" s="15">
        <v>51102</v>
      </c>
      <c r="B983" s="14" t="s">
        <v>1243</v>
      </c>
      <c r="C983" s="14" t="s">
        <v>16</v>
      </c>
      <c r="D983" s="58"/>
      <c r="E983" s="58"/>
    </row>
    <row r="984" spans="1:5" ht="15.75" thickBot="1" x14ac:dyDescent="0.3">
      <c r="A984" s="15">
        <v>51103</v>
      </c>
      <c r="B984" s="14" t="s">
        <v>1244</v>
      </c>
      <c r="C984" s="14" t="s">
        <v>16</v>
      </c>
      <c r="D984" s="58"/>
      <c r="E984" s="58"/>
    </row>
    <row r="985" spans="1:5" ht="30.75" thickBot="1" x14ac:dyDescent="0.3">
      <c r="A985" s="15">
        <v>51201</v>
      </c>
      <c r="B985" s="14" t="s">
        <v>1245</v>
      </c>
      <c r="C985" s="14" t="s">
        <v>16</v>
      </c>
      <c r="D985" s="58"/>
      <c r="E985" s="58"/>
    </row>
    <row r="986" spans="1:5" ht="30.75" thickBot="1" x14ac:dyDescent="0.3">
      <c r="A986" s="15">
        <v>51202</v>
      </c>
      <c r="B986" s="14" t="s">
        <v>1246</v>
      </c>
      <c r="C986" s="14" t="s">
        <v>16</v>
      </c>
      <c r="D986" s="58"/>
      <c r="E986" s="58"/>
    </row>
    <row r="987" spans="1:5" ht="15.75" thickBot="1" x14ac:dyDescent="0.3">
      <c r="A987" s="15">
        <v>51203</v>
      </c>
      <c r="B987" s="14" t="s">
        <v>1247</v>
      </c>
      <c r="C987" s="14" t="s">
        <v>16</v>
      </c>
      <c r="D987" s="58"/>
      <c r="E987" s="58"/>
    </row>
    <row r="988" spans="1:5" ht="15.75" thickBot="1" x14ac:dyDescent="0.3">
      <c r="A988" s="15">
        <v>52101</v>
      </c>
      <c r="B988" s="14" t="s">
        <v>1248</v>
      </c>
      <c r="C988" s="14" t="s">
        <v>16</v>
      </c>
      <c r="D988" s="58"/>
      <c r="E988" s="58"/>
    </row>
    <row r="989" spans="1:5" ht="15.75" thickBot="1" x14ac:dyDescent="0.3">
      <c r="A989" s="15">
        <v>52102</v>
      </c>
      <c r="B989" s="14" t="s">
        <v>1249</v>
      </c>
      <c r="C989" s="14" t="s">
        <v>16</v>
      </c>
      <c r="D989" s="58"/>
      <c r="E989" s="58"/>
    </row>
    <row r="990" spans="1:5" ht="15.75" thickBot="1" x14ac:dyDescent="0.3">
      <c r="A990" s="15">
        <v>52103</v>
      </c>
      <c r="B990" s="14" t="s">
        <v>1250</v>
      </c>
      <c r="C990" s="14" t="s">
        <v>16</v>
      </c>
      <c r="D990" s="58"/>
      <c r="E990" s="58"/>
    </row>
    <row r="991" spans="1:5" ht="15.75" thickBot="1" x14ac:dyDescent="0.3">
      <c r="A991" s="15">
        <v>52104</v>
      </c>
      <c r="B991" s="14" t="s">
        <v>1251</v>
      </c>
      <c r="C991" s="14" t="s">
        <v>16</v>
      </c>
      <c r="D991" s="58"/>
      <c r="E991" s="58"/>
    </row>
    <row r="992" spans="1:5" ht="30.75" thickBot="1" x14ac:dyDescent="0.3">
      <c r="A992" s="15">
        <v>52105</v>
      </c>
      <c r="B992" s="14" t="s">
        <v>1252</v>
      </c>
      <c r="C992" s="14" t="s">
        <v>16</v>
      </c>
      <c r="D992" s="58"/>
      <c r="E992" s="58"/>
    </row>
    <row r="993" spans="1:5" ht="15.75" thickBot="1" x14ac:dyDescent="0.3">
      <c r="A993" s="15">
        <v>52106</v>
      </c>
      <c r="B993" s="14" t="s">
        <v>1253</v>
      </c>
      <c r="C993" s="14" t="s">
        <v>16</v>
      </c>
      <c r="D993" s="58"/>
      <c r="E993" s="58"/>
    </row>
    <row r="994" spans="1:5" ht="15.75" thickBot="1" x14ac:dyDescent="0.3">
      <c r="A994" s="15">
        <v>52107</v>
      </c>
      <c r="B994" s="14" t="s">
        <v>1254</v>
      </c>
      <c r="C994" s="14" t="s">
        <v>16</v>
      </c>
      <c r="D994" s="58"/>
      <c r="E994" s="58"/>
    </row>
    <row r="995" spans="1:5" ht="15.75" thickBot="1" x14ac:dyDescent="0.3">
      <c r="A995" s="15">
        <v>52109</v>
      </c>
      <c r="B995" s="14" t="s">
        <v>1255</v>
      </c>
      <c r="C995" s="14" t="s">
        <v>16</v>
      </c>
      <c r="D995" s="58"/>
      <c r="E995" s="58"/>
    </row>
    <row r="996" spans="1:5" ht="15.75" thickBot="1" x14ac:dyDescent="0.3">
      <c r="A996" s="15">
        <v>52211</v>
      </c>
      <c r="B996" s="14" t="s">
        <v>1256</v>
      </c>
      <c r="C996" s="14" t="s">
        <v>16</v>
      </c>
      <c r="D996" s="58"/>
      <c r="E996" s="58"/>
    </row>
    <row r="997" spans="1:5" ht="30.75" thickBot="1" x14ac:dyDescent="0.3">
      <c r="A997" s="15">
        <v>52212</v>
      </c>
      <c r="B997" s="14" t="s">
        <v>1257</v>
      </c>
      <c r="C997" s="14" t="s">
        <v>16</v>
      </c>
      <c r="D997" s="58"/>
      <c r="E997" s="58"/>
    </row>
    <row r="998" spans="1:5" ht="15.75" thickBot="1" x14ac:dyDescent="0.3">
      <c r="A998" s="15">
        <v>52213</v>
      </c>
      <c r="B998" s="14" t="s">
        <v>1258</v>
      </c>
      <c r="C998" s="14" t="s">
        <v>16</v>
      </c>
      <c r="D998" s="58"/>
      <c r="E998" s="58"/>
    </row>
    <row r="999" spans="1:5" ht="30.75" thickBot="1" x14ac:dyDescent="0.3">
      <c r="A999" s="15">
        <v>52214</v>
      </c>
      <c r="B999" s="14" t="s">
        <v>1259</v>
      </c>
      <c r="C999" s="14" t="s">
        <v>16</v>
      </c>
      <c r="D999" s="58"/>
      <c r="E999" s="58"/>
    </row>
    <row r="1000" spans="1:5" ht="30.75" thickBot="1" x14ac:dyDescent="0.3">
      <c r="A1000" s="15">
        <v>52215</v>
      </c>
      <c r="B1000" s="14" t="s">
        <v>1260</v>
      </c>
      <c r="C1000" s="14" t="s">
        <v>16</v>
      </c>
      <c r="D1000" s="58"/>
      <c r="E1000" s="58"/>
    </row>
    <row r="1001" spans="1:5" ht="30.75" thickBot="1" x14ac:dyDescent="0.3">
      <c r="A1001" s="15">
        <v>52219</v>
      </c>
      <c r="B1001" s="14" t="s">
        <v>1261</v>
      </c>
      <c r="C1001" s="14" t="s">
        <v>16</v>
      </c>
      <c r="D1001" s="58"/>
      <c r="E1001" s="58"/>
    </row>
    <row r="1002" spans="1:5" ht="15.75" thickBot="1" x14ac:dyDescent="0.3">
      <c r="A1002" s="15">
        <v>52221</v>
      </c>
      <c r="B1002" s="14" t="s">
        <v>1262</v>
      </c>
      <c r="C1002" s="14" t="s">
        <v>16</v>
      </c>
      <c r="D1002" s="58"/>
      <c r="E1002" s="58"/>
    </row>
    <row r="1003" spans="1:5" ht="30.75" thickBot="1" x14ac:dyDescent="0.3">
      <c r="A1003" s="15">
        <v>52222</v>
      </c>
      <c r="B1003" s="14" t="s">
        <v>1263</v>
      </c>
      <c r="C1003" s="14" t="s">
        <v>16</v>
      </c>
      <c r="D1003" s="58"/>
      <c r="E1003" s="58"/>
    </row>
    <row r="1004" spans="1:5" ht="30.75" thickBot="1" x14ac:dyDescent="0.3">
      <c r="A1004" s="15">
        <v>52223</v>
      </c>
      <c r="B1004" s="14" t="s">
        <v>1264</v>
      </c>
      <c r="C1004" s="14" t="s">
        <v>16</v>
      </c>
      <c r="D1004" s="58"/>
      <c r="E1004" s="58"/>
    </row>
    <row r="1005" spans="1:5" ht="15.75" thickBot="1" x14ac:dyDescent="0.3">
      <c r="A1005" s="15">
        <v>52224</v>
      </c>
      <c r="B1005" s="14" t="s">
        <v>1265</v>
      </c>
      <c r="C1005" s="14" t="s">
        <v>16</v>
      </c>
      <c r="D1005" s="58"/>
      <c r="E1005" s="58"/>
    </row>
    <row r="1006" spans="1:5" ht="15.75" thickBot="1" x14ac:dyDescent="0.3">
      <c r="A1006" s="15">
        <v>52225</v>
      </c>
      <c r="B1006" s="14" t="s">
        <v>1266</v>
      </c>
      <c r="C1006" s="14" t="s">
        <v>16</v>
      </c>
      <c r="D1006" s="58"/>
      <c r="E1006" s="58"/>
    </row>
    <row r="1007" spans="1:5" ht="15.75" thickBot="1" x14ac:dyDescent="0.3">
      <c r="A1007" s="15">
        <v>52226</v>
      </c>
      <c r="B1007" s="14" t="s">
        <v>1267</v>
      </c>
      <c r="C1007" s="14" t="s">
        <v>16</v>
      </c>
      <c r="D1007" s="58"/>
      <c r="E1007" s="58"/>
    </row>
    <row r="1008" spans="1:5" ht="15.75" thickBot="1" x14ac:dyDescent="0.3">
      <c r="A1008" s="15">
        <v>52227</v>
      </c>
      <c r="B1008" s="14" t="s">
        <v>1268</v>
      </c>
      <c r="C1008" s="14" t="s">
        <v>16</v>
      </c>
      <c r="D1008" s="58"/>
      <c r="E1008" s="58"/>
    </row>
    <row r="1009" spans="1:5" ht="30.75" thickBot="1" x14ac:dyDescent="0.3">
      <c r="A1009" s="15">
        <v>52229</v>
      </c>
      <c r="B1009" s="14" t="s">
        <v>1269</v>
      </c>
      <c r="C1009" s="14" t="s">
        <v>16</v>
      </c>
      <c r="D1009" s="58"/>
      <c r="E1009" s="58"/>
    </row>
    <row r="1010" spans="1:5" ht="15.75" thickBot="1" x14ac:dyDescent="0.3">
      <c r="A1010" s="15">
        <v>52231</v>
      </c>
      <c r="B1010" s="14" t="s">
        <v>1270</v>
      </c>
      <c r="C1010" s="14" t="s">
        <v>16</v>
      </c>
      <c r="D1010" s="58"/>
      <c r="E1010" s="58"/>
    </row>
    <row r="1011" spans="1:5" ht="15.75" thickBot="1" x14ac:dyDescent="0.3">
      <c r="A1011" s="15">
        <v>52232</v>
      </c>
      <c r="B1011" s="14" t="s">
        <v>1271</v>
      </c>
      <c r="C1011" s="14" t="s">
        <v>16</v>
      </c>
      <c r="D1011" s="58"/>
      <c r="E1011" s="58"/>
    </row>
    <row r="1012" spans="1:5" ht="30.75" thickBot="1" x14ac:dyDescent="0.3">
      <c r="A1012" s="15">
        <v>52233</v>
      </c>
      <c r="B1012" s="14" t="s">
        <v>1272</v>
      </c>
      <c r="C1012" s="14" t="s">
        <v>16</v>
      </c>
      <c r="D1012" s="58"/>
      <c r="E1012" s="58"/>
    </row>
    <row r="1013" spans="1:5" ht="30.75" thickBot="1" x14ac:dyDescent="0.3">
      <c r="A1013" s="15">
        <v>52234</v>
      </c>
      <c r="B1013" s="14" t="s">
        <v>1273</v>
      </c>
      <c r="C1013" s="14" t="s">
        <v>16</v>
      </c>
      <c r="D1013" s="58"/>
      <c r="E1013" s="58"/>
    </row>
    <row r="1014" spans="1:5" ht="15.75" thickBot="1" x14ac:dyDescent="0.3">
      <c r="A1014" s="15">
        <v>52239</v>
      </c>
      <c r="B1014" s="14" t="s">
        <v>1274</v>
      </c>
      <c r="C1014" s="14" t="s">
        <v>16</v>
      </c>
      <c r="D1014" s="58"/>
      <c r="E1014" s="58"/>
    </row>
    <row r="1015" spans="1:5" ht="15.75" thickBot="1" x14ac:dyDescent="0.3">
      <c r="A1015" s="15">
        <v>52240</v>
      </c>
      <c r="B1015" s="14" t="s">
        <v>1275</v>
      </c>
      <c r="C1015" s="14" t="s">
        <v>16</v>
      </c>
      <c r="D1015" s="58"/>
      <c r="E1015" s="58"/>
    </row>
    <row r="1016" spans="1:5" ht="15.75" thickBot="1" x14ac:dyDescent="0.3">
      <c r="A1016" s="15">
        <v>52291</v>
      </c>
      <c r="B1016" s="14" t="s">
        <v>1276</v>
      </c>
      <c r="C1016" s="14" t="s">
        <v>16</v>
      </c>
      <c r="D1016" s="58"/>
      <c r="E1016" s="58"/>
    </row>
    <row r="1017" spans="1:5" ht="15.75" thickBot="1" x14ac:dyDescent="0.3">
      <c r="A1017" s="15">
        <v>52292</v>
      </c>
      <c r="B1017" s="14" t="s">
        <v>1277</v>
      </c>
      <c r="C1017" s="14" t="s">
        <v>16</v>
      </c>
      <c r="D1017" s="58"/>
      <c r="E1017" s="58"/>
    </row>
    <row r="1018" spans="1:5" ht="15.75" thickBot="1" x14ac:dyDescent="0.3">
      <c r="A1018" s="15">
        <v>52299</v>
      </c>
      <c r="B1018" s="14" t="s">
        <v>1278</v>
      </c>
      <c r="C1018" s="14" t="s">
        <v>16</v>
      </c>
      <c r="D1018" s="58"/>
      <c r="E1018" s="58"/>
    </row>
    <row r="1019" spans="1:5" ht="26.25" thickBot="1" x14ac:dyDescent="0.3">
      <c r="A1019" s="15">
        <v>52311</v>
      </c>
      <c r="B1019" s="14" t="s">
        <v>1279</v>
      </c>
      <c r="C1019" s="14" t="s">
        <v>16</v>
      </c>
      <c r="D1019" s="88" t="s">
        <v>2090</v>
      </c>
      <c r="E1019" s="58"/>
    </row>
    <row r="1020" spans="1:5" ht="26.25" thickBot="1" x14ac:dyDescent="0.3">
      <c r="A1020" s="15">
        <v>52312</v>
      </c>
      <c r="B1020" s="14" t="s">
        <v>1280</v>
      </c>
      <c r="C1020" s="14" t="s">
        <v>16</v>
      </c>
      <c r="D1020" s="88" t="s">
        <v>2090</v>
      </c>
      <c r="E1020" s="58"/>
    </row>
    <row r="1021" spans="1:5" ht="30.75" thickBot="1" x14ac:dyDescent="0.3">
      <c r="A1021" s="15">
        <v>52313</v>
      </c>
      <c r="B1021" s="14" t="s">
        <v>1281</v>
      </c>
      <c r="C1021" s="14" t="s">
        <v>16</v>
      </c>
      <c r="D1021" s="88" t="s">
        <v>2090</v>
      </c>
      <c r="E1021" s="58"/>
    </row>
    <row r="1022" spans="1:5" ht="30.75" thickBot="1" x14ac:dyDescent="0.3">
      <c r="A1022" s="15">
        <v>52319</v>
      </c>
      <c r="B1022" s="14" t="s">
        <v>1282</v>
      </c>
      <c r="C1022" s="14" t="s">
        <v>16</v>
      </c>
      <c r="D1022" s="88" t="s">
        <v>2090</v>
      </c>
      <c r="E1022" s="58"/>
    </row>
    <row r="1023" spans="1:5" ht="26.25" thickBot="1" x14ac:dyDescent="0.3">
      <c r="A1023" s="15">
        <v>52321</v>
      </c>
      <c r="B1023" s="14" t="s">
        <v>1283</v>
      </c>
      <c r="C1023" s="14" t="s">
        <v>16</v>
      </c>
      <c r="D1023" s="88" t="s">
        <v>2090</v>
      </c>
      <c r="E1023" s="58"/>
    </row>
    <row r="1024" spans="1:5" ht="26.25" thickBot="1" x14ac:dyDescent="0.3">
      <c r="A1024" s="15">
        <v>52322</v>
      </c>
      <c r="B1024" s="14" t="s">
        <v>1284</v>
      </c>
      <c r="C1024" s="14" t="s">
        <v>16</v>
      </c>
      <c r="D1024" s="88" t="s">
        <v>2090</v>
      </c>
      <c r="E1024" s="58"/>
    </row>
    <row r="1025" spans="1:5" ht="30.75" thickBot="1" x14ac:dyDescent="0.3">
      <c r="A1025" s="15">
        <v>52323</v>
      </c>
      <c r="B1025" s="14" t="s">
        <v>1285</v>
      </c>
      <c r="C1025" s="14" t="s">
        <v>16</v>
      </c>
      <c r="D1025" s="88" t="s">
        <v>2090</v>
      </c>
      <c r="E1025" s="58"/>
    </row>
    <row r="1026" spans="1:5" ht="30.75" thickBot="1" x14ac:dyDescent="0.3">
      <c r="A1026" s="15">
        <v>52329</v>
      </c>
      <c r="B1026" s="14" t="s">
        <v>1286</v>
      </c>
      <c r="C1026" s="14" t="s">
        <v>16</v>
      </c>
      <c r="D1026" s="88" t="s">
        <v>2090</v>
      </c>
      <c r="E1026" s="58"/>
    </row>
    <row r="1027" spans="1:5" ht="15.75" thickBot="1" x14ac:dyDescent="0.3">
      <c r="A1027" s="15">
        <v>53100</v>
      </c>
      <c r="B1027" s="14" t="s">
        <v>17</v>
      </c>
      <c r="C1027" s="14" t="s">
        <v>16</v>
      </c>
      <c r="D1027" s="58"/>
      <c r="E1027" s="58"/>
    </row>
    <row r="1028" spans="1:5" ht="15.75" thickBot="1" x14ac:dyDescent="0.3">
      <c r="A1028" s="15">
        <v>53200</v>
      </c>
      <c r="B1028" s="14" t="s">
        <v>18</v>
      </c>
      <c r="C1028" s="14" t="s">
        <v>16</v>
      </c>
      <c r="D1028" s="58"/>
      <c r="E1028" s="58"/>
    </row>
    <row r="1029" spans="1:5" ht="30.75" thickBot="1" x14ac:dyDescent="0.3">
      <c r="A1029" s="15">
        <v>53301</v>
      </c>
      <c r="B1029" s="14" t="s">
        <v>1287</v>
      </c>
      <c r="C1029" s="14" t="s">
        <v>16</v>
      </c>
      <c r="D1029" s="88" t="s">
        <v>2090</v>
      </c>
      <c r="E1029" s="58"/>
    </row>
    <row r="1030" spans="1:5" ht="26.25" thickBot="1" x14ac:dyDescent="0.3">
      <c r="A1030" s="15">
        <v>53309</v>
      </c>
      <c r="B1030" s="14" t="s">
        <v>1288</v>
      </c>
      <c r="C1030" s="14" t="s">
        <v>16</v>
      </c>
      <c r="D1030" s="88" t="s">
        <v>2090</v>
      </c>
      <c r="E1030" s="58"/>
    </row>
    <row r="1031" spans="1:5" ht="26.25" thickBot="1" x14ac:dyDescent="0.3">
      <c r="A1031" s="15">
        <v>55101</v>
      </c>
      <c r="B1031" s="14" t="s">
        <v>20</v>
      </c>
      <c r="C1031" s="14" t="s">
        <v>19</v>
      </c>
      <c r="D1031" s="58"/>
      <c r="E1031" s="88" t="s">
        <v>2091</v>
      </c>
    </row>
    <row r="1032" spans="1:5" ht="26.25" thickBot="1" x14ac:dyDescent="0.3">
      <c r="A1032" s="15">
        <v>55102</v>
      </c>
      <c r="B1032" s="14" t="s">
        <v>21</v>
      </c>
      <c r="C1032" s="14" t="s">
        <v>19</v>
      </c>
      <c r="D1032" s="58"/>
      <c r="E1032" s="88" t="s">
        <v>2091</v>
      </c>
    </row>
    <row r="1033" spans="1:5" ht="15.75" thickBot="1" x14ac:dyDescent="0.3">
      <c r="A1033" s="15">
        <v>55103</v>
      </c>
      <c r="B1033" s="14" t="s">
        <v>22</v>
      </c>
      <c r="C1033" s="14" t="s">
        <v>19</v>
      </c>
      <c r="D1033" s="58"/>
      <c r="E1033" s="58"/>
    </row>
    <row r="1034" spans="1:5" ht="15.75" thickBot="1" x14ac:dyDescent="0.3">
      <c r="A1034" s="15">
        <v>55104</v>
      </c>
      <c r="B1034" s="16" t="s">
        <v>23</v>
      </c>
      <c r="C1034" s="14" t="s">
        <v>19</v>
      </c>
      <c r="D1034" s="58"/>
      <c r="E1034" s="58"/>
    </row>
    <row r="1035" spans="1:5" ht="15.75" thickBot="1" x14ac:dyDescent="0.3">
      <c r="A1035" s="15">
        <v>55105</v>
      </c>
      <c r="B1035" s="16" t="s">
        <v>24</v>
      </c>
      <c r="C1035" s="14" t="s">
        <v>19</v>
      </c>
      <c r="D1035" s="58"/>
      <c r="E1035" s="58"/>
    </row>
    <row r="1036" spans="1:5" ht="15.75" thickBot="1" x14ac:dyDescent="0.3">
      <c r="A1036" s="15">
        <v>55106</v>
      </c>
      <c r="B1036" s="16" t="s">
        <v>25</v>
      </c>
      <c r="C1036" s="14" t="s">
        <v>19</v>
      </c>
      <c r="D1036" s="58"/>
      <c r="E1036" s="58"/>
    </row>
    <row r="1037" spans="1:5" ht="15.75" thickBot="1" x14ac:dyDescent="0.3">
      <c r="A1037" s="15">
        <v>55201</v>
      </c>
      <c r="B1037" s="14" t="s">
        <v>26</v>
      </c>
      <c r="C1037" s="14" t="s">
        <v>19</v>
      </c>
      <c r="D1037" s="58"/>
      <c r="E1037" s="58"/>
    </row>
    <row r="1038" spans="1:5" ht="15.75" thickBot="1" x14ac:dyDescent="0.3">
      <c r="A1038" s="15">
        <v>55202</v>
      </c>
      <c r="B1038" s="14" t="s">
        <v>1289</v>
      </c>
      <c r="C1038" s="14" t="s">
        <v>19</v>
      </c>
      <c r="D1038" s="58"/>
      <c r="E1038" s="58"/>
    </row>
    <row r="1039" spans="1:5" ht="15.75" thickBot="1" x14ac:dyDescent="0.3">
      <c r="A1039" s="15">
        <v>55203</v>
      </c>
      <c r="B1039" s="14" t="s">
        <v>1290</v>
      </c>
      <c r="C1039" s="14" t="s">
        <v>19</v>
      </c>
      <c r="D1039" s="58"/>
      <c r="E1039" s="58"/>
    </row>
    <row r="1040" spans="1:5" ht="15.75" thickBot="1" x14ac:dyDescent="0.3">
      <c r="A1040" s="15">
        <v>55204</v>
      </c>
      <c r="B1040" s="14" t="s">
        <v>1291</v>
      </c>
      <c r="C1040" s="14" t="s">
        <v>19</v>
      </c>
      <c r="D1040" s="58"/>
      <c r="E1040" s="58"/>
    </row>
    <row r="1041" spans="1:5" ht="30.75" thickBot="1" x14ac:dyDescent="0.3">
      <c r="A1041" s="15">
        <v>55209</v>
      </c>
      <c r="B1041" s="14" t="s">
        <v>1292</v>
      </c>
      <c r="C1041" s="14" t="s">
        <v>19</v>
      </c>
      <c r="D1041" s="58"/>
      <c r="E1041" s="58"/>
    </row>
    <row r="1042" spans="1:5" ht="30.75" thickBot="1" x14ac:dyDescent="0.3">
      <c r="A1042" s="15">
        <v>55300</v>
      </c>
      <c r="B1042" s="14" t="s">
        <v>1293</v>
      </c>
      <c r="C1042" s="14" t="s">
        <v>19</v>
      </c>
      <c r="D1042" s="58"/>
      <c r="E1042" s="58"/>
    </row>
    <row r="1043" spans="1:5" ht="26.25" thickBot="1" x14ac:dyDescent="0.3">
      <c r="A1043" s="15">
        <v>55400</v>
      </c>
      <c r="B1043" s="14" t="s">
        <v>1294</v>
      </c>
      <c r="C1043" s="14" t="s">
        <v>19</v>
      </c>
      <c r="D1043" s="88" t="s">
        <v>2090</v>
      </c>
      <c r="E1043" s="58"/>
    </row>
    <row r="1044" spans="1:5" ht="15.75" thickBot="1" x14ac:dyDescent="0.3">
      <c r="A1044" s="15">
        <v>55901</v>
      </c>
      <c r="B1044" s="14" t="s">
        <v>1295</v>
      </c>
      <c r="C1044" s="14" t="s">
        <v>19</v>
      </c>
      <c r="D1044" s="58"/>
      <c r="E1044" s="58"/>
    </row>
    <row r="1045" spans="1:5" ht="15.75" thickBot="1" x14ac:dyDescent="0.3">
      <c r="A1045" s="15">
        <v>55909</v>
      </c>
      <c r="B1045" s="14" t="s">
        <v>1296</v>
      </c>
      <c r="C1045" s="14" t="s">
        <v>19</v>
      </c>
      <c r="D1045" s="58"/>
      <c r="E1045" s="58"/>
    </row>
    <row r="1046" spans="1:5" ht="30.75" thickBot="1" x14ac:dyDescent="0.3">
      <c r="A1046" s="15">
        <v>56101</v>
      </c>
      <c r="B1046" s="14" t="s">
        <v>1297</v>
      </c>
      <c r="C1046" s="14" t="s">
        <v>19</v>
      </c>
      <c r="D1046" s="58"/>
      <c r="E1046" s="58"/>
    </row>
    <row r="1047" spans="1:5" ht="30.75" thickBot="1" x14ac:dyDescent="0.3">
      <c r="A1047" s="15">
        <v>56102</v>
      </c>
      <c r="B1047" s="14" t="s">
        <v>1298</v>
      </c>
      <c r="C1047" s="14" t="s">
        <v>19</v>
      </c>
      <c r="D1047" s="58"/>
      <c r="E1047" s="58"/>
    </row>
    <row r="1048" spans="1:5" ht="30.75" thickBot="1" x14ac:dyDescent="0.3">
      <c r="A1048" s="15">
        <v>56210</v>
      </c>
      <c r="B1048" s="14" t="s">
        <v>1299</v>
      </c>
      <c r="C1048" s="14" t="s">
        <v>19</v>
      </c>
      <c r="D1048" s="58"/>
      <c r="E1048" s="58"/>
    </row>
    <row r="1049" spans="1:5" ht="15.75" thickBot="1" x14ac:dyDescent="0.3">
      <c r="A1049" s="15">
        <v>56290</v>
      </c>
      <c r="B1049" s="14" t="s">
        <v>1300</v>
      </c>
      <c r="C1049" s="14" t="s">
        <v>19</v>
      </c>
      <c r="D1049" s="58"/>
      <c r="E1049" s="58"/>
    </row>
    <row r="1050" spans="1:5" ht="15.75" thickBot="1" x14ac:dyDescent="0.3">
      <c r="A1050" s="15">
        <v>56301</v>
      </c>
      <c r="B1050" s="14" t="s">
        <v>1301</v>
      </c>
      <c r="C1050" s="14" t="s">
        <v>19</v>
      </c>
      <c r="D1050" s="58"/>
      <c r="E1050" s="58"/>
    </row>
    <row r="1051" spans="1:5" ht="30.75" thickBot="1" x14ac:dyDescent="0.3">
      <c r="A1051" s="15">
        <v>56302</v>
      </c>
      <c r="B1051" s="14" t="s">
        <v>1302</v>
      </c>
      <c r="C1051" s="14" t="s">
        <v>19</v>
      </c>
      <c r="D1051" s="58"/>
      <c r="E1051" s="58"/>
    </row>
    <row r="1052" spans="1:5" ht="15.75" thickBot="1" x14ac:dyDescent="0.3">
      <c r="A1052" s="15">
        <v>56303</v>
      </c>
      <c r="B1052" s="14" t="s">
        <v>1303</v>
      </c>
      <c r="C1052" s="14" t="s">
        <v>19</v>
      </c>
      <c r="D1052" s="58"/>
      <c r="E1052" s="58"/>
    </row>
    <row r="1053" spans="1:5" ht="15.75" thickBot="1" x14ac:dyDescent="0.3">
      <c r="A1053" s="15">
        <v>56304</v>
      </c>
      <c r="B1053" s="14" t="s">
        <v>1304</v>
      </c>
      <c r="C1053" s="14" t="s">
        <v>19</v>
      </c>
      <c r="D1053" s="58"/>
      <c r="E1053" s="58"/>
    </row>
    <row r="1054" spans="1:5" ht="15.75" thickBot="1" x14ac:dyDescent="0.3">
      <c r="A1054" s="15">
        <v>56305</v>
      </c>
      <c r="B1054" s="14" t="s">
        <v>1305</v>
      </c>
      <c r="C1054" s="14" t="s">
        <v>19</v>
      </c>
      <c r="D1054" s="58"/>
      <c r="E1054" s="58"/>
    </row>
    <row r="1055" spans="1:5" ht="30.75" thickBot="1" x14ac:dyDescent="0.3">
      <c r="A1055" s="15">
        <v>56306</v>
      </c>
      <c r="B1055" s="14" t="s">
        <v>1306</v>
      </c>
      <c r="C1055" s="14" t="s">
        <v>19</v>
      </c>
      <c r="D1055" s="58"/>
      <c r="E1055" s="58"/>
    </row>
    <row r="1056" spans="1:5" ht="30.75" thickBot="1" x14ac:dyDescent="0.3">
      <c r="A1056" s="15">
        <v>56400</v>
      </c>
      <c r="B1056" s="14" t="s">
        <v>1307</v>
      </c>
      <c r="C1056" s="14" t="s">
        <v>19</v>
      </c>
      <c r="D1056" s="88" t="s">
        <v>2090</v>
      </c>
      <c r="E1056" s="58"/>
    </row>
    <row r="1057" spans="1:5" ht="26.25" thickBot="1" x14ac:dyDescent="0.3">
      <c r="A1057" s="15">
        <v>58110</v>
      </c>
      <c r="B1057" s="16" t="s">
        <v>1308</v>
      </c>
      <c r="C1057" s="14" t="s">
        <v>27</v>
      </c>
      <c r="D1057" s="88" t="s">
        <v>2090</v>
      </c>
      <c r="E1057" s="58"/>
    </row>
    <row r="1058" spans="1:5" ht="26.25" thickBot="1" x14ac:dyDescent="0.3">
      <c r="A1058" s="15">
        <v>58120</v>
      </c>
      <c r="B1058" s="16" t="s">
        <v>28</v>
      </c>
      <c r="C1058" s="14" t="s">
        <v>27</v>
      </c>
      <c r="D1058" s="88" t="s">
        <v>2090</v>
      </c>
      <c r="E1058" s="58"/>
    </row>
    <row r="1059" spans="1:5" ht="26.25" thickBot="1" x14ac:dyDescent="0.3">
      <c r="A1059" s="15">
        <v>58130</v>
      </c>
      <c r="B1059" s="16" t="s">
        <v>1309</v>
      </c>
      <c r="C1059" s="14" t="s">
        <v>27</v>
      </c>
      <c r="D1059" s="88" t="s">
        <v>2090</v>
      </c>
      <c r="E1059" s="58"/>
    </row>
    <row r="1060" spans="1:5" ht="26.25" thickBot="1" x14ac:dyDescent="0.3">
      <c r="A1060" s="15">
        <v>58190</v>
      </c>
      <c r="B1060" s="16" t="s">
        <v>1310</v>
      </c>
      <c r="C1060" s="14" t="s">
        <v>27</v>
      </c>
      <c r="D1060" s="88" t="s">
        <v>2090</v>
      </c>
      <c r="E1060" s="58"/>
    </row>
    <row r="1061" spans="1:5" ht="30.75" thickBot="1" x14ac:dyDescent="0.3">
      <c r="A1061" s="15">
        <v>58211</v>
      </c>
      <c r="B1061" s="16" t="s">
        <v>1311</v>
      </c>
      <c r="C1061" s="14" t="s">
        <v>27</v>
      </c>
      <c r="D1061" s="88" t="s">
        <v>2090</v>
      </c>
      <c r="E1061" s="58"/>
    </row>
    <row r="1062" spans="1:5" ht="26.25" thickBot="1" x14ac:dyDescent="0.3">
      <c r="A1062" s="15">
        <v>58219</v>
      </c>
      <c r="B1062" s="16" t="s">
        <v>1312</v>
      </c>
      <c r="C1062" s="14" t="s">
        <v>27</v>
      </c>
      <c r="D1062" s="88" t="s">
        <v>2090</v>
      </c>
      <c r="E1062" s="58"/>
    </row>
    <row r="1063" spans="1:5" ht="30.75" thickBot="1" x14ac:dyDescent="0.3">
      <c r="A1063" s="15">
        <v>58290</v>
      </c>
      <c r="B1063" s="16" t="s">
        <v>1313</v>
      </c>
      <c r="C1063" s="14" t="s">
        <v>27</v>
      </c>
      <c r="D1063" s="88" t="s">
        <v>2090</v>
      </c>
      <c r="E1063" s="58"/>
    </row>
    <row r="1064" spans="1:5" ht="30.75" thickBot="1" x14ac:dyDescent="0.3">
      <c r="A1064" s="15">
        <v>59111</v>
      </c>
      <c r="B1064" s="16" t="s">
        <v>1314</v>
      </c>
      <c r="C1064" s="14" t="s">
        <v>27</v>
      </c>
      <c r="D1064" s="88" t="s">
        <v>2090</v>
      </c>
      <c r="E1064" s="58"/>
    </row>
    <row r="1065" spans="1:5" ht="30.75" thickBot="1" x14ac:dyDescent="0.3">
      <c r="A1065" s="15">
        <v>59112</v>
      </c>
      <c r="B1065" s="16" t="s">
        <v>29</v>
      </c>
      <c r="C1065" s="14" t="s">
        <v>27</v>
      </c>
      <c r="D1065" s="88" t="s">
        <v>2090</v>
      </c>
      <c r="E1065" s="58"/>
    </row>
    <row r="1066" spans="1:5" ht="30.75" thickBot="1" x14ac:dyDescent="0.3">
      <c r="A1066" s="15">
        <v>59121</v>
      </c>
      <c r="B1066" s="16" t="s">
        <v>1315</v>
      </c>
      <c r="C1066" s="14" t="s">
        <v>27</v>
      </c>
      <c r="D1066" s="88" t="s">
        <v>2090</v>
      </c>
      <c r="E1066" s="58"/>
    </row>
    <row r="1067" spans="1:5" ht="30.75" thickBot="1" x14ac:dyDescent="0.3">
      <c r="A1067" s="15">
        <v>59122</v>
      </c>
      <c r="B1067" s="16" t="s">
        <v>1316</v>
      </c>
      <c r="C1067" s="14" t="s">
        <v>27</v>
      </c>
      <c r="D1067" s="88" t="s">
        <v>2090</v>
      </c>
      <c r="E1067" s="58"/>
    </row>
    <row r="1068" spans="1:5" ht="30.75" thickBot="1" x14ac:dyDescent="0.3">
      <c r="A1068" s="15">
        <v>59131</v>
      </c>
      <c r="B1068" s="16" t="s">
        <v>1317</v>
      </c>
      <c r="C1068" s="14" t="s">
        <v>27</v>
      </c>
      <c r="D1068" s="88" t="s">
        <v>2090</v>
      </c>
      <c r="E1068" s="58"/>
    </row>
    <row r="1069" spans="1:5" ht="30.75" thickBot="1" x14ac:dyDescent="0.3">
      <c r="A1069" s="15">
        <v>59132</v>
      </c>
      <c r="B1069" s="16" t="s">
        <v>1318</v>
      </c>
      <c r="C1069" s="14" t="s">
        <v>27</v>
      </c>
      <c r="D1069" s="88" t="s">
        <v>2090</v>
      </c>
      <c r="E1069" s="58"/>
    </row>
    <row r="1070" spans="1:5" ht="26.25" thickBot="1" x14ac:dyDescent="0.3">
      <c r="A1070" s="15">
        <v>59140</v>
      </c>
      <c r="B1070" s="16" t="s">
        <v>30</v>
      </c>
      <c r="C1070" s="14" t="s">
        <v>27</v>
      </c>
      <c r="D1070" s="88" t="s">
        <v>2090</v>
      </c>
      <c r="E1070" s="58"/>
    </row>
    <row r="1071" spans="1:5" ht="26.25" thickBot="1" x14ac:dyDescent="0.3">
      <c r="A1071" s="15">
        <v>59201</v>
      </c>
      <c r="B1071" s="16" t="s">
        <v>31</v>
      </c>
      <c r="C1071" s="14" t="s">
        <v>27</v>
      </c>
      <c r="D1071" s="88" t="s">
        <v>2090</v>
      </c>
      <c r="E1071" s="58"/>
    </row>
    <row r="1072" spans="1:5" ht="26.25" thickBot="1" x14ac:dyDescent="0.3">
      <c r="A1072" s="15">
        <v>59202</v>
      </c>
      <c r="B1072" s="16" t="s">
        <v>1319</v>
      </c>
      <c r="C1072" s="14" t="s">
        <v>27</v>
      </c>
      <c r="D1072" s="88" t="s">
        <v>2090</v>
      </c>
      <c r="E1072" s="58"/>
    </row>
    <row r="1073" spans="1:5" ht="26.25" thickBot="1" x14ac:dyDescent="0.3">
      <c r="A1073" s="15">
        <v>60101</v>
      </c>
      <c r="B1073" s="16" t="s">
        <v>32</v>
      </c>
      <c r="C1073" s="14" t="s">
        <v>27</v>
      </c>
      <c r="D1073" s="88" t="s">
        <v>2090</v>
      </c>
      <c r="E1073" s="58"/>
    </row>
    <row r="1074" spans="1:5" ht="26.25" thickBot="1" x14ac:dyDescent="0.3">
      <c r="A1074" s="15">
        <v>60102</v>
      </c>
      <c r="B1074" s="16" t="s">
        <v>1320</v>
      </c>
      <c r="C1074" s="14" t="s">
        <v>27</v>
      </c>
      <c r="D1074" s="88" t="s">
        <v>2090</v>
      </c>
      <c r="E1074" s="58"/>
    </row>
    <row r="1075" spans="1:5" ht="30.75" thickBot="1" x14ac:dyDescent="0.3">
      <c r="A1075" s="15">
        <v>60103</v>
      </c>
      <c r="B1075" s="16" t="s">
        <v>1321</v>
      </c>
      <c r="C1075" s="14" t="s">
        <v>27</v>
      </c>
      <c r="D1075" s="88" t="s">
        <v>2090</v>
      </c>
      <c r="E1075" s="58"/>
    </row>
    <row r="1076" spans="1:5" ht="30.75" thickBot="1" x14ac:dyDescent="0.3">
      <c r="A1076" s="15">
        <v>60201</v>
      </c>
      <c r="B1076" s="16" t="s">
        <v>33</v>
      </c>
      <c r="C1076" s="14" t="s">
        <v>27</v>
      </c>
      <c r="D1076" s="88" t="s">
        <v>2090</v>
      </c>
      <c r="E1076" s="58"/>
    </row>
    <row r="1077" spans="1:5" ht="30.75" thickBot="1" x14ac:dyDescent="0.3">
      <c r="A1077" s="15">
        <v>60202</v>
      </c>
      <c r="B1077" s="16" t="s">
        <v>1322</v>
      </c>
      <c r="C1077" s="14" t="s">
        <v>27</v>
      </c>
      <c r="D1077" s="88" t="s">
        <v>2090</v>
      </c>
      <c r="E1077" s="58"/>
    </row>
    <row r="1078" spans="1:5" ht="30.75" thickBot="1" x14ac:dyDescent="0.3">
      <c r="A1078" s="15">
        <v>60203</v>
      </c>
      <c r="B1078" s="16" t="s">
        <v>1323</v>
      </c>
      <c r="C1078" s="14" t="s">
        <v>27</v>
      </c>
      <c r="D1078" s="88" t="s">
        <v>2090</v>
      </c>
      <c r="E1078" s="58"/>
    </row>
    <row r="1079" spans="1:5" ht="26.25" thickBot="1" x14ac:dyDescent="0.3">
      <c r="A1079" s="15">
        <v>60311</v>
      </c>
      <c r="B1079" s="16" t="s">
        <v>34</v>
      </c>
      <c r="C1079" s="14" t="s">
        <v>27</v>
      </c>
      <c r="D1079" s="88" t="s">
        <v>2090</v>
      </c>
      <c r="E1079" s="58"/>
    </row>
    <row r="1080" spans="1:5" ht="26.25" thickBot="1" x14ac:dyDescent="0.3">
      <c r="A1080" s="15">
        <v>60312</v>
      </c>
      <c r="B1080" s="16" t="s">
        <v>1324</v>
      </c>
      <c r="C1080" s="14" t="s">
        <v>27</v>
      </c>
      <c r="D1080" s="88" t="s">
        <v>2090</v>
      </c>
      <c r="E1080" s="58"/>
    </row>
    <row r="1081" spans="1:5" ht="30.75" thickBot="1" x14ac:dyDescent="0.3">
      <c r="A1081" s="15">
        <v>60390</v>
      </c>
      <c r="B1081" s="16" t="s">
        <v>1325</v>
      </c>
      <c r="C1081" s="14" t="s">
        <v>27</v>
      </c>
      <c r="D1081" s="88" t="s">
        <v>2090</v>
      </c>
      <c r="E1081" s="58"/>
    </row>
    <row r="1082" spans="1:5" ht="26.25" thickBot="1" x14ac:dyDescent="0.3">
      <c r="A1082" s="15">
        <v>61101</v>
      </c>
      <c r="B1082" s="16" t="s">
        <v>36</v>
      </c>
      <c r="C1082" s="14" t="s">
        <v>35</v>
      </c>
      <c r="D1082" s="88" t="s">
        <v>2090</v>
      </c>
      <c r="E1082" s="58"/>
    </row>
    <row r="1083" spans="1:5" ht="26.25" thickBot="1" x14ac:dyDescent="0.3">
      <c r="A1083" s="15">
        <v>61102</v>
      </c>
      <c r="B1083" s="16" t="s">
        <v>37</v>
      </c>
      <c r="C1083" s="14" t="s">
        <v>35</v>
      </c>
      <c r="D1083" s="88" t="s">
        <v>2090</v>
      </c>
      <c r="E1083" s="58"/>
    </row>
    <row r="1084" spans="1:5" ht="26.25" thickBot="1" x14ac:dyDescent="0.3">
      <c r="A1084" s="15">
        <v>61103</v>
      </c>
      <c r="B1084" s="16" t="s">
        <v>1326</v>
      </c>
      <c r="C1084" s="14" t="s">
        <v>35</v>
      </c>
      <c r="D1084" s="88" t="s">
        <v>2090</v>
      </c>
      <c r="E1084" s="58"/>
    </row>
    <row r="1085" spans="1:5" ht="30.75" thickBot="1" x14ac:dyDescent="0.3">
      <c r="A1085" s="15">
        <v>61104</v>
      </c>
      <c r="B1085" s="16" t="s">
        <v>38</v>
      </c>
      <c r="C1085" s="14" t="s">
        <v>35</v>
      </c>
      <c r="D1085" s="88" t="s">
        <v>2090</v>
      </c>
      <c r="E1085" s="58"/>
    </row>
    <row r="1086" spans="1:5" ht="26.25" thickBot="1" x14ac:dyDescent="0.3">
      <c r="A1086" s="15">
        <v>61105</v>
      </c>
      <c r="B1086" s="16" t="s">
        <v>1327</v>
      </c>
      <c r="C1086" s="14" t="s">
        <v>35</v>
      </c>
      <c r="D1086" s="88" t="s">
        <v>2090</v>
      </c>
      <c r="E1086" s="58"/>
    </row>
    <row r="1087" spans="1:5" ht="26.25" thickBot="1" x14ac:dyDescent="0.3">
      <c r="A1087" s="15">
        <v>61106</v>
      </c>
      <c r="B1087" s="16" t="s">
        <v>39</v>
      </c>
      <c r="C1087" s="14" t="s">
        <v>35</v>
      </c>
      <c r="D1087" s="88" t="s">
        <v>2090</v>
      </c>
      <c r="E1087" s="58"/>
    </row>
    <row r="1088" spans="1:5" ht="30.75" thickBot="1" x14ac:dyDescent="0.3">
      <c r="A1088" s="15">
        <v>61107</v>
      </c>
      <c r="B1088" s="16" t="s">
        <v>1328</v>
      </c>
      <c r="C1088" s="14" t="s">
        <v>35</v>
      </c>
      <c r="D1088" s="88" t="s">
        <v>2090</v>
      </c>
      <c r="E1088" s="58"/>
    </row>
    <row r="1089" spans="1:5" ht="26.25" thickBot="1" x14ac:dyDescent="0.3">
      <c r="A1089" s="15">
        <v>61108</v>
      </c>
      <c r="B1089" s="16" t="s">
        <v>40</v>
      </c>
      <c r="C1089" s="14" t="s">
        <v>35</v>
      </c>
      <c r="D1089" s="88" t="s">
        <v>2090</v>
      </c>
      <c r="E1089" s="58"/>
    </row>
    <row r="1090" spans="1:5" ht="30.75" thickBot="1" x14ac:dyDescent="0.3">
      <c r="A1090" s="15">
        <v>61201</v>
      </c>
      <c r="B1090" s="16" t="s">
        <v>1329</v>
      </c>
      <c r="C1090" s="14" t="s">
        <v>35</v>
      </c>
      <c r="D1090" s="88" t="s">
        <v>2090</v>
      </c>
      <c r="E1090" s="58"/>
    </row>
    <row r="1091" spans="1:5" ht="30.75" thickBot="1" x14ac:dyDescent="0.3">
      <c r="A1091" s="15">
        <v>61209</v>
      </c>
      <c r="B1091" s="16" t="s">
        <v>41</v>
      </c>
      <c r="C1091" s="14" t="s">
        <v>35</v>
      </c>
      <c r="D1091" s="88" t="s">
        <v>2090</v>
      </c>
      <c r="E1091" s="58"/>
    </row>
    <row r="1092" spans="1:5" ht="30.75" thickBot="1" x14ac:dyDescent="0.3">
      <c r="A1092" s="15">
        <v>61901</v>
      </c>
      <c r="B1092" s="16" t="s">
        <v>1330</v>
      </c>
      <c r="C1092" s="14" t="s">
        <v>35</v>
      </c>
      <c r="D1092" s="88" t="s">
        <v>2090</v>
      </c>
      <c r="E1092" s="58"/>
    </row>
    <row r="1093" spans="1:5" ht="26.25" thickBot="1" x14ac:dyDescent="0.3">
      <c r="A1093" s="15">
        <v>61902</v>
      </c>
      <c r="B1093" s="16" t="s">
        <v>1331</v>
      </c>
      <c r="C1093" s="14" t="s">
        <v>35</v>
      </c>
      <c r="D1093" s="88" t="s">
        <v>2090</v>
      </c>
      <c r="E1093" s="58"/>
    </row>
    <row r="1094" spans="1:5" ht="30.75" thickBot="1" x14ac:dyDescent="0.3">
      <c r="A1094" s="15">
        <v>61903</v>
      </c>
      <c r="B1094" s="16" t="s">
        <v>1332</v>
      </c>
      <c r="C1094" s="14" t="s">
        <v>35</v>
      </c>
      <c r="D1094" s="88" t="s">
        <v>2090</v>
      </c>
      <c r="E1094" s="58"/>
    </row>
    <row r="1095" spans="1:5" ht="30.75" thickBot="1" x14ac:dyDescent="0.3">
      <c r="A1095" s="15">
        <v>61904</v>
      </c>
      <c r="B1095" s="16" t="s">
        <v>1333</v>
      </c>
      <c r="C1095" s="14" t="s">
        <v>35</v>
      </c>
      <c r="D1095" s="88" t="s">
        <v>2090</v>
      </c>
      <c r="E1095" s="58"/>
    </row>
    <row r="1096" spans="1:5" ht="30.75" thickBot="1" x14ac:dyDescent="0.3">
      <c r="A1096" s="15">
        <v>61905</v>
      </c>
      <c r="B1096" s="16" t="s">
        <v>42</v>
      </c>
      <c r="C1096" s="14" t="s">
        <v>35</v>
      </c>
      <c r="D1096" s="88" t="s">
        <v>2090</v>
      </c>
      <c r="E1096" s="58"/>
    </row>
    <row r="1097" spans="1:5" ht="26.25" thickBot="1" x14ac:dyDescent="0.3">
      <c r="A1097" s="15">
        <v>61909</v>
      </c>
      <c r="B1097" s="16" t="s">
        <v>1334</v>
      </c>
      <c r="C1097" s="14" t="s">
        <v>35</v>
      </c>
      <c r="D1097" s="88" t="s">
        <v>2090</v>
      </c>
      <c r="E1097" s="58"/>
    </row>
    <row r="1098" spans="1:5" ht="30.75" thickBot="1" x14ac:dyDescent="0.3">
      <c r="A1098" s="15">
        <v>62110</v>
      </c>
      <c r="B1098" s="16" t="s">
        <v>1335</v>
      </c>
      <c r="C1098" s="14" t="s">
        <v>35</v>
      </c>
      <c r="D1098" s="88" t="s">
        <v>2090</v>
      </c>
      <c r="E1098" s="58"/>
    </row>
    <row r="1099" spans="1:5" ht="30.75" thickBot="1" x14ac:dyDescent="0.3">
      <c r="A1099" s="15">
        <v>62191</v>
      </c>
      <c r="B1099" s="16" t="s">
        <v>1336</v>
      </c>
      <c r="C1099" s="14" t="s">
        <v>35</v>
      </c>
      <c r="D1099" s="88" t="s">
        <v>2090</v>
      </c>
      <c r="E1099" s="58"/>
    </row>
    <row r="1100" spans="1:5" ht="30.75" thickBot="1" x14ac:dyDescent="0.3">
      <c r="A1100" s="15">
        <v>62192</v>
      </c>
      <c r="B1100" s="16" t="s">
        <v>1337</v>
      </c>
      <c r="C1100" s="14" t="s">
        <v>35</v>
      </c>
      <c r="D1100" s="88" t="s">
        <v>2090</v>
      </c>
      <c r="E1100" s="58"/>
    </row>
    <row r="1101" spans="1:5" ht="30.75" thickBot="1" x14ac:dyDescent="0.3">
      <c r="A1101" s="15">
        <v>62193</v>
      </c>
      <c r="B1101" s="16" t="s">
        <v>1338</v>
      </c>
      <c r="C1101" s="14" t="s">
        <v>35</v>
      </c>
      <c r="D1101" s="88" t="s">
        <v>2090</v>
      </c>
      <c r="E1101" s="58"/>
    </row>
    <row r="1102" spans="1:5" ht="30.75" thickBot="1" x14ac:dyDescent="0.3">
      <c r="A1102" s="15">
        <v>62194</v>
      </c>
      <c r="B1102" s="16" t="s">
        <v>1339</v>
      </c>
      <c r="C1102" s="14" t="s">
        <v>35</v>
      </c>
      <c r="D1102" s="88" t="s">
        <v>2090</v>
      </c>
      <c r="E1102" s="58"/>
    </row>
    <row r="1103" spans="1:5" ht="26.25" thickBot="1" x14ac:dyDescent="0.3">
      <c r="A1103" s="15">
        <v>62199</v>
      </c>
      <c r="B1103" s="16" t="s">
        <v>43</v>
      </c>
      <c r="C1103" s="14" t="s">
        <v>35</v>
      </c>
      <c r="D1103" s="88" t="s">
        <v>2090</v>
      </c>
      <c r="E1103" s="58"/>
    </row>
    <row r="1104" spans="1:5" ht="30.75" thickBot="1" x14ac:dyDescent="0.3">
      <c r="A1104" s="15">
        <v>62201</v>
      </c>
      <c r="B1104" s="16" t="s">
        <v>1340</v>
      </c>
      <c r="C1104" s="14" t="s">
        <v>35</v>
      </c>
      <c r="D1104" s="88" t="s">
        <v>2090</v>
      </c>
      <c r="E1104" s="58"/>
    </row>
    <row r="1105" spans="1:5" ht="30.75" thickBot="1" x14ac:dyDescent="0.3">
      <c r="A1105" s="15">
        <v>62202</v>
      </c>
      <c r="B1105" s="16" t="s">
        <v>1341</v>
      </c>
      <c r="C1105" s="14" t="s">
        <v>35</v>
      </c>
      <c r="D1105" s="88" t="s">
        <v>2090</v>
      </c>
      <c r="E1105" s="58"/>
    </row>
    <row r="1106" spans="1:5" ht="30.75" thickBot="1" x14ac:dyDescent="0.3">
      <c r="A1106" s="15">
        <v>62203</v>
      </c>
      <c r="B1106" s="16" t="s">
        <v>1342</v>
      </c>
      <c r="C1106" s="14" t="s">
        <v>35</v>
      </c>
      <c r="D1106" s="88" t="s">
        <v>2090</v>
      </c>
      <c r="E1106" s="58"/>
    </row>
    <row r="1107" spans="1:5" ht="30.75" thickBot="1" x14ac:dyDescent="0.3">
      <c r="A1107" s="15">
        <v>62204</v>
      </c>
      <c r="B1107" s="16" t="s">
        <v>1343</v>
      </c>
      <c r="C1107" s="14" t="s">
        <v>35</v>
      </c>
      <c r="D1107" s="88" t="s">
        <v>2090</v>
      </c>
      <c r="E1107" s="58"/>
    </row>
    <row r="1108" spans="1:5" ht="30.75" thickBot="1" x14ac:dyDescent="0.3">
      <c r="A1108" s="15">
        <v>62209</v>
      </c>
      <c r="B1108" s="16" t="s">
        <v>1344</v>
      </c>
      <c r="C1108" s="14" t="s">
        <v>35</v>
      </c>
      <c r="D1108" s="88" t="s">
        <v>2090</v>
      </c>
      <c r="E1108" s="58"/>
    </row>
    <row r="1109" spans="1:5" ht="30.75" thickBot="1" x14ac:dyDescent="0.3">
      <c r="A1109" s="15">
        <v>62900</v>
      </c>
      <c r="B1109" s="16" t="s">
        <v>44</v>
      </c>
      <c r="C1109" s="14" t="s">
        <v>35</v>
      </c>
      <c r="D1109" s="88" t="s">
        <v>2090</v>
      </c>
      <c r="E1109" s="58"/>
    </row>
    <row r="1110" spans="1:5" ht="26.25" thickBot="1" x14ac:dyDescent="0.3">
      <c r="A1110" s="15">
        <v>63101</v>
      </c>
      <c r="B1110" s="16" t="s">
        <v>45</v>
      </c>
      <c r="C1110" s="14" t="s">
        <v>35</v>
      </c>
      <c r="D1110" s="88" t="s">
        <v>2090</v>
      </c>
      <c r="E1110" s="58"/>
    </row>
    <row r="1111" spans="1:5" ht="30.75" thickBot="1" x14ac:dyDescent="0.3">
      <c r="A1111" s="15">
        <v>63102</v>
      </c>
      <c r="B1111" s="16" t="s">
        <v>1345</v>
      </c>
      <c r="C1111" s="14" t="s">
        <v>35</v>
      </c>
      <c r="D1111" s="88" t="s">
        <v>2090</v>
      </c>
      <c r="E1111" s="58"/>
    </row>
    <row r="1112" spans="1:5" ht="30.75" thickBot="1" x14ac:dyDescent="0.3">
      <c r="A1112" s="15">
        <v>63900</v>
      </c>
      <c r="B1112" s="16" t="s">
        <v>1346</v>
      </c>
      <c r="C1112" s="14" t="s">
        <v>35</v>
      </c>
      <c r="D1112" s="88" t="s">
        <v>2090</v>
      </c>
      <c r="E1112" s="58"/>
    </row>
    <row r="1113" spans="1:5" ht="15.75" thickBot="1" x14ac:dyDescent="0.3">
      <c r="A1113" s="15">
        <v>64110</v>
      </c>
      <c r="B1113" s="16" t="s">
        <v>1348</v>
      </c>
      <c r="C1113" s="14" t="s">
        <v>1347</v>
      </c>
      <c r="D1113" s="58"/>
      <c r="E1113" s="58"/>
    </row>
    <row r="1114" spans="1:5" ht="15.75" thickBot="1" x14ac:dyDescent="0.3">
      <c r="A1114" s="15">
        <v>64121</v>
      </c>
      <c r="B1114" s="16" t="s">
        <v>1349</v>
      </c>
      <c r="C1114" s="14" t="s">
        <v>1347</v>
      </c>
      <c r="D1114" s="58"/>
      <c r="E1114" s="58"/>
    </row>
    <row r="1115" spans="1:5" ht="15.75" thickBot="1" x14ac:dyDescent="0.3">
      <c r="A1115" s="15">
        <v>64122</v>
      </c>
      <c r="B1115" s="16" t="s">
        <v>1350</v>
      </c>
      <c r="C1115" s="14" t="s">
        <v>1347</v>
      </c>
      <c r="D1115" s="58"/>
      <c r="E1115" s="58"/>
    </row>
    <row r="1116" spans="1:5" ht="15.75" thickBot="1" x14ac:dyDescent="0.3">
      <c r="A1116" s="15">
        <v>64123</v>
      </c>
      <c r="B1116" s="16" t="s">
        <v>1351</v>
      </c>
      <c r="C1116" s="14" t="s">
        <v>1347</v>
      </c>
      <c r="D1116" s="58"/>
      <c r="E1116" s="58"/>
    </row>
    <row r="1117" spans="1:5" ht="15.75" thickBot="1" x14ac:dyDescent="0.3">
      <c r="A1117" s="15">
        <v>64124</v>
      </c>
      <c r="B1117" s="16" t="s">
        <v>1352</v>
      </c>
      <c r="C1117" s="14" t="s">
        <v>1347</v>
      </c>
      <c r="D1117" s="58"/>
      <c r="E1117" s="58"/>
    </row>
    <row r="1118" spans="1:5" ht="30.75" thickBot="1" x14ac:dyDescent="0.3">
      <c r="A1118" s="15">
        <v>64191</v>
      </c>
      <c r="B1118" s="16" t="s">
        <v>1353</v>
      </c>
      <c r="C1118" s="14" t="s">
        <v>1347</v>
      </c>
      <c r="D1118" s="58"/>
      <c r="E1118" s="58"/>
    </row>
    <row r="1119" spans="1:5" ht="30.75" thickBot="1" x14ac:dyDescent="0.3">
      <c r="A1119" s="15">
        <v>64192</v>
      </c>
      <c r="B1119" s="16" t="s">
        <v>1354</v>
      </c>
      <c r="C1119" s="14" t="s">
        <v>1347</v>
      </c>
      <c r="D1119" s="58"/>
      <c r="E1119" s="58"/>
    </row>
    <row r="1120" spans="1:5" ht="30.75" thickBot="1" x14ac:dyDescent="0.3">
      <c r="A1120" s="15">
        <v>64193</v>
      </c>
      <c r="B1120" s="16" t="s">
        <v>1355</v>
      </c>
      <c r="C1120" s="14" t="s">
        <v>1347</v>
      </c>
      <c r="D1120" s="58"/>
      <c r="E1120" s="58"/>
    </row>
    <row r="1121" spans="1:5" ht="15.75" thickBot="1" x14ac:dyDescent="0.3">
      <c r="A1121" s="15">
        <v>64194</v>
      </c>
      <c r="B1121" s="16" t="s">
        <v>1356</v>
      </c>
      <c r="C1121" s="14" t="s">
        <v>1347</v>
      </c>
      <c r="D1121" s="58"/>
      <c r="E1121" s="58"/>
    </row>
    <row r="1122" spans="1:5" ht="15.75" thickBot="1" x14ac:dyDescent="0.3">
      <c r="A1122" s="15">
        <v>64199</v>
      </c>
      <c r="B1122" s="16" t="s">
        <v>1357</v>
      </c>
      <c r="C1122" s="14" t="s">
        <v>1347</v>
      </c>
      <c r="D1122" s="58"/>
      <c r="E1122" s="58"/>
    </row>
    <row r="1123" spans="1:5" ht="15.75" thickBot="1" x14ac:dyDescent="0.3">
      <c r="A1123" s="15">
        <v>64210</v>
      </c>
      <c r="B1123" s="16" t="s">
        <v>1358</v>
      </c>
      <c r="C1123" s="14" t="s">
        <v>1347</v>
      </c>
      <c r="D1123" s="58"/>
      <c r="E1123" s="58"/>
    </row>
    <row r="1124" spans="1:5" ht="15.75" thickBot="1" x14ac:dyDescent="0.3">
      <c r="A1124" s="15">
        <v>64220</v>
      </c>
      <c r="B1124" s="16" t="s">
        <v>1359</v>
      </c>
      <c r="C1124" s="14" t="s">
        <v>1347</v>
      </c>
      <c r="D1124" s="58"/>
      <c r="E1124" s="58"/>
    </row>
    <row r="1125" spans="1:5" ht="15.75" thickBot="1" x14ac:dyDescent="0.3">
      <c r="A1125" s="15">
        <v>64310</v>
      </c>
      <c r="B1125" s="16" t="s">
        <v>1360</v>
      </c>
      <c r="C1125" s="14" t="s">
        <v>1347</v>
      </c>
      <c r="D1125" s="58"/>
      <c r="E1125" s="58"/>
    </row>
    <row r="1126" spans="1:5" ht="15.75" thickBot="1" x14ac:dyDescent="0.3">
      <c r="A1126" s="15">
        <v>64320</v>
      </c>
      <c r="B1126" s="16" t="s">
        <v>1361</v>
      </c>
      <c r="C1126" s="14" t="s">
        <v>1347</v>
      </c>
      <c r="D1126" s="58"/>
      <c r="E1126" s="58"/>
    </row>
    <row r="1127" spans="1:5" ht="15.75" thickBot="1" x14ac:dyDescent="0.3">
      <c r="A1127" s="15">
        <v>64330</v>
      </c>
      <c r="B1127" s="16" t="s">
        <v>1362</v>
      </c>
      <c r="C1127" s="14" t="s">
        <v>1347</v>
      </c>
      <c r="D1127" s="58"/>
      <c r="E1127" s="58"/>
    </row>
    <row r="1128" spans="1:5" ht="15.75" thickBot="1" x14ac:dyDescent="0.3">
      <c r="A1128" s="15">
        <v>64910</v>
      </c>
      <c r="B1128" s="16" t="s">
        <v>1363</v>
      </c>
      <c r="C1128" s="14" t="s">
        <v>1347</v>
      </c>
      <c r="D1128" s="58"/>
      <c r="E1128" s="58"/>
    </row>
    <row r="1129" spans="1:5" ht="30.75" thickBot="1" x14ac:dyDescent="0.3">
      <c r="A1129" s="15">
        <v>64920</v>
      </c>
      <c r="B1129" s="16" t="s">
        <v>1364</v>
      </c>
      <c r="C1129" s="14" t="s">
        <v>1347</v>
      </c>
      <c r="D1129" s="58"/>
      <c r="E1129" s="58"/>
    </row>
    <row r="1130" spans="1:5" ht="15.75" thickBot="1" x14ac:dyDescent="0.3">
      <c r="A1130" s="15">
        <v>64930</v>
      </c>
      <c r="B1130" s="16" t="s">
        <v>1365</v>
      </c>
      <c r="C1130" s="14" t="s">
        <v>1347</v>
      </c>
      <c r="D1130" s="58"/>
      <c r="E1130" s="58"/>
    </row>
    <row r="1131" spans="1:5" ht="15.75" thickBot="1" x14ac:dyDescent="0.3">
      <c r="A1131" s="15">
        <v>64940</v>
      </c>
      <c r="B1131" s="16" t="s">
        <v>1366</v>
      </c>
      <c r="C1131" s="14" t="s">
        <v>1347</v>
      </c>
      <c r="D1131" s="58"/>
      <c r="E1131" s="58"/>
    </row>
    <row r="1132" spans="1:5" ht="15.75" thickBot="1" x14ac:dyDescent="0.3">
      <c r="A1132" s="15">
        <v>64951</v>
      </c>
      <c r="B1132" s="16" t="s">
        <v>1367</v>
      </c>
      <c r="C1132" s="14" t="s">
        <v>1347</v>
      </c>
      <c r="D1132" s="58"/>
      <c r="E1132" s="58"/>
    </row>
    <row r="1133" spans="1:5" ht="15.75" thickBot="1" x14ac:dyDescent="0.3">
      <c r="A1133" s="15">
        <v>64952</v>
      </c>
      <c r="B1133" s="16" t="s">
        <v>1368</v>
      </c>
      <c r="C1133" s="14" t="s">
        <v>1347</v>
      </c>
      <c r="D1133" s="58"/>
      <c r="E1133" s="58"/>
    </row>
    <row r="1134" spans="1:5" ht="15.75" thickBot="1" x14ac:dyDescent="0.3">
      <c r="A1134" s="15">
        <v>64953</v>
      </c>
      <c r="B1134" s="16" t="s">
        <v>1369</v>
      </c>
      <c r="C1134" s="14" t="s">
        <v>1347</v>
      </c>
      <c r="D1134" s="58"/>
      <c r="E1134" s="58"/>
    </row>
    <row r="1135" spans="1:5" ht="15.75" thickBot="1" x14ac:dyDescent="0.3">
      <c r="A1135" s="15">
        <v>64954</v>
      </c>
      <c r="B1135" s="16" t="s">
        <v>1370</v>
      </c>
      <c r="C1135" s="14" t="s">
        <v>1347</v>
      </c>
      <c r="D1135" s="58"/>
      <c r="E1135" s="58"/>
    </row>
    <row r="1136" spans="1:5" ht="15.75" thickBot="1" x14ac:dyDescent="0.3">
      <c r="A1136" s="15">
        <v>64955</v>
      </c>
      <c r="B1136" s="16" t="s">
        <v>1371</v>
      </c>
      <c r="C1136" s="14" t="s">
        <v>1347</v>
      </c>
      <c r="D1136" s="58"/>
      <c r="E1136" s="58"/>
    </row>
    <row r="1137" spans="1:5" ht="15.75" thickBot="1" x14ac:dyDescent="0.3">
      <c r="A1137" s="15">
        <v>64959</v>
      </c>
      <c r="B1137" s="16" t="s">
        <v>1372</v>
      </c>
      <c r="C1137" s="14" t="s">
        <v>1347</v>
      </c>
      <c r="D1137" s="58"/>
      <c r="E1137" s="58"/>
    </row>
    <row r="1138" spans="1:5" ht="15.75" thickBot="1" x14ac:dyDescent="0.3">
      <c r="A1138" s="15">
        <v>64991</v>
      </c>
      <c r="B1138" s="16" t="s">
        <v>1373</v>
      </c>
      <c r="C1138" s="14" t="s">
        <v>1347</v>
      </c>
      <c r="D1138" s="58"/>
      <c r="E1138" s="58"/>
    </row>
    <row r="1139" spans="1:5" ht="15.75" thickBot="1" x14ac:dyDescent="0.3">
      <c r="A1139" s="15">
        <v>64992</v>
      </c>
      <c r="B1139" s="16" t="s">
        <v>1374</v>
      </c>
      <c r="C1139" s="14" t="s">
        <v>1347</v>
      </c>
      <c r="D1139" s="58"/>
      <c r="E1139" s="58"/>
    </row>
    <row r="1140" spans="1:5" ht="30.75" thickBot="1" x14ac:dyDescent="0.3">
      <c r="A1140" s="15">
        <v>64993</v>
      </c>
      <c r="B1140" s="16" t="s">
        <v>1375</v>
      </c>
      <c r="C1140" s="14" t="s">
        <v>1347</v>
      </c>
      <c r="D1140" s="58"/>
      <c r="E1140" s="58"/>
    </row>
    <row r="1141" spans="1:5" ht="30.75" thickBot="1" x14ac:dyDescent="0.3">
      <c r="A1141" s="15">
        <v>64994</v>
      </c>
      <c r="B1141" s="16" t="s">
        <v>1376</v>
      </c>
      <c r="C1141" s="14" t="s">
        <v>1347</v>
      </c>
      <c r="D1141" s="58"/>
      <c r="E1141" s="58"/>
    </row>
    <row r="1142" spans="1:5" ht="15.75" thickBot="1" x14ac:dyDescent="0.3">
      <c r="A1142" s="15">
        <v>64995</v>
      </c>
      <c r="B1142" s="16" t="s">
        <v>1377</v>
      </c>
      <c r="C1142" s="14" t="s">
        <v>1347</v>
      </c>
      <c r="D1142" s="58"/>
      <c r="E1142" s="58"/>
    </row>
    <row r="1143" spans="1:5" ht="15.75" thickBot="1" x14ac:dyDescent="0.3">
      <c r="A1143" s="15">
        <v>64996</v>
      </c>
      <c r="B1143" s="16" t="s">
        <v>1378</v>
      </c>
      <c r="C1143" s="14" t="s">
        <v>1347</v>
      </c>
      <c r="D1143" s="58"/>
      <c r="E1143" s="58"/>
    </row>
    <row r="1144" spans="1:5" ht="15.75" thickBot="1" x14ac:dyDescent="0.3">
      <c r="A1144" s="15">
        <v>64997</v>
      </c>
      <c r="B1144" s="16" t="s">
        <v>1379</v>
      </c>
      <c r="C1144" s="14" t="s">
        <v>1347</v>
      </c>
      <c r="D1144" s="58"/>
      <c r="E1144" s="58"/>
    </row>
    <row r="1145" spans="1:5" ht="30.75" thickBot="1" x14ac:dyDescent="0.3">
      <c r="A1145" s="15">
        <v>64999</v>
      </c>
      <c r="B1145" s="16" t="s">
        <v>1380</v>
      </c>
      <c r="C1145" s="14" t="s">
        <v>1347</v>
      </c>
      <c r="D1145" s="58"/>
      <c r="E1145" s="58"/>
    </row>
    <row r="1146" spans="1:5" ht="15.75" thickBot="1" x14ac:dyDescent="0.3">
      <c r="A1146" s="15">
        <v>65111</v>
      </c>
      <c r="B1146" s="16" t="s">
        <v>1381</v>
      </c>
      <c r="C1146" s="14" t="s">
        <v>1347</v>
      </c>
      <c r="D1146" s="58"/>
      <c r="E1146" s="58"/>
    </row>
    <row r="1147" spans="1:5" ht="15.75" thickBot="1" x14ac:dyDescent="0.3">
      <c r="A1147" s="15">
        <v>65112</v>
      </c>
      <c r="B1147" s="16" t="s">
        <v>1382</v>
      </c>
      <c r="C1147" s="14" t="s">
        <v>1347</v>
      </c>
      <c r="D1147" s="58"/>
      <c r="E1147" s="58"/>
    </row>
    <row r="1148" spans="1:5" ht="15.75" thickBot="1" x14ac:dyDescent="0.3">
      <c r="A1148" s="15">
        <v>65121</v>
      </c>
      <c r="B1148" s="14" t="s">
        <v>1383</v>
      </c>
      <c r="C1148" s="14" t="s">
        <v>1347</v>
      </c>
      <c r="D1148" s="58"/>
      <c r="E1148" s="58"/>
    </row>
    <row r="1149" spans="1:5" ht="15.75" thickBot="1" x14ac:dyDescent="0.3">
      <c r="A1149" s="15">
        <v>65122</v>
      </c>
      <c r="B1149" s="14" t="s">
        <v>1384</v>
      </c>
      <c r="C1149" s="14" t="s">
        <v>1347</v>
      </c>
      <c r="D1149" s="58"/>
      <c r="E1149" s="58"/>
    </row>
    <row r="1150" spans="1:5" ht="15.75" thickBot="1" x14ac:dyDescent="0.3">
      <c r="A1150" s="15">
        <v>65123</v>
      </c>
      <c r="B1150" s="14" t="s">
        <v>1385</v>
      </c>
      <c r="C1150" s="14" t="s">
        <v>1347</v>
      </c>
      <c r="D1150" s="58"/>
      <c r="E1150" s="58"/>
    </row>
    <row r="1151" spans="1:5" ht="15.75" thickBot="1" x14ac:dyDescent="0.3">
      <c r="A1151" s="15">
        <v>65131</v>
      </c>
      <c r="B1151" s="14" t="s">
        <v>1386</v>
      </c>
      <c r="C1151" s="14" t="s">
        <v>1347</v>
      </c>
      <c r="D1151" s="58"/>
      <c r="E1151" s="58"/>
    </row>
    <row r="1152" spans="1:5" ht="15.75" thickBot="1" x14ac:dyDescent="0.3">
      <c r="A1152" s="15">
        <v>65132</v>
      </c>
      <c r="B1152" s="14" t="s">
        <v>1387</v>
      </c>
      <c r="C1152" s="14" t="s">
        <v>1347</v>
      </c>
      <c r="D1152" s="58"/>
      <c r="E1152" s="58"/>
    </row>
    <row r="1153" spans="1:5" ht="15.75" thickBot="1" x14ac:dyDescent="0.3">
      <c r="A1153" s="15">
        <v>65201</v>
      </c>
      <c r="B1153" s="14" t="s">
        <v>1388</v>
      </c>
      <c r="C1153" s="14" t="s">
        <v>1347</v>
      </c>
      <c r="D1153" s="58"/>
      <c r="E1153" s="58"/>
    </row>
    <row r="1154" spans="1:5" ht="15.75" thickBot="1" x14ac:dyDescent="0.3">
      <c r="A1154" s="15">
        <v>65202</v>
      </c>
      <c r="B1154" s="14" t="s">
        <v>1389</v>
      </c>
      <c r="C1154" s="14" t="s">
        <v>1347</v>
      </c>
      <c r="D1154" s="58"/>
      <c r="E1154" s="58"/>
    </row>
    <row r="1155" spans="1:5" ht="15.75" thickBot="1" x14ac:dyDescent="0.3">
      <c r="A1155" s="15">
        <v>65203</v>
      </c>
      <c r="B1155" s="14" t="s">
        <v>1390</v>
      </c>
      <c r="C1155" s="14" t="s">
        <v>1347</v>
      </c>
      <c r="D1155" s="58"/>
      <c r="E1155" s="58"/>
    </row>
    <row r="1156" spans="1:5" ht="15.75" thickBot="1" x14ac:dyDescent="0.3">
      <c r="A1156" s="15">
        <v>65204</v>
      </c>
      <c r="B1156" s="14" t="s">
        <v>1391</v>
      </c>
      <c r="C1156" s="14" t="s">
        <v>1347</v>
      </c>
      <c r="D1156" s="58"/>
      <c r="E1156" s="58"/>
    </row>
    <row r="1157" spans="1:5" ht="30.75" thickBot="1" x14ac:dyDescent="0.3">
      <c r="A1157" s="15">
        <v>65301</v>
      </c>
      <c r="B1157" s="14" t="s">
        <v>1392</v>
      </c>
      <c r="C1157" s="14" t="s">
        <v>1347</v>
      </c>
      <c r="D1157" s="58"/>
      <c r="E1157" s="58"/>
    </row>
    <row r="1158" spans="1:5" ht="15.75" thickBot="1" x14ac:dyDescent="0.3">
      <c r="A1158" s="15">
        <v>65302</v>
      </c>
      <c r="B1158" s="14" t="s">
        <v>1393</v>
      </c>
      <c r="C1158" s="14" t="s">
        <v>1347</v>
      </c>
      <c r="D1158" s="58"/>
      <c r="E1158" s="58"/>
    </row>
    <row r="1159" spans="1:5" ht="30.75" thickBot="1" x14ac:dyDescent="0.3">
      <c r="A1159" s="15">
        <v>65303</v>
      </c>
      <c r="B1159" s="14" t="s">
        <v>1394</v>
      </c>
      <c r="C1159" s="14" t="s">
        <v>1347</v>
      </c>
      <c r="D1159" s="58"/>
      <c r="E1159" s="58"/>
    </row>
    <row r="1160" spans="1:5" ht="30.75" thickBot="1" x14ac:dyDescent="0.3">
      <c r="A1160" s="15">
        <v>65304</v>
      </c>
      <c r="B1160" s="14" t="s">
        <v>1395</v>
      </c>
      <c r="C1160" s="14" t="s">
        <v>1347</v>
      </c>
      <c r="D1160" s="58"/>
      <c r="E1160" s="58"/>
    </row>
    <row r="1161" spans="1:5" ht="15.75" thickBot="1" x14ac:dyDescent="0.3">
      <c r="A1161" s="15">
        <v>66111</v>
      </c>
      <c r="B1161" s="14" t="s">
        <v>1396</v>
      </c>
      <c r="C1161" s="14" t="s">
        <v>1347</v>
      </c>
      <c r="D1161" s="58"/>
      <c r="E1161" s="58"/>
    </row>
    <row r="1162" spans="1:5" ht="15.75" thickBot="1" x14ac:dyDescent="0.3">
      <c r="A1162" s="15">
        <v>66112</v>
      </c>
      <c r="B1162" s="14" t="s">
        <v>1397</v>
      </c>
      <c r="C1162" s="14" t="s">
        <v>1347</v>
      </c>
      <c r="D1162" s="58"/>
      <c r="E1162" s="58"/>
    </row>
    <row r="1163" spans="1:5" ht="15.75" thickBot="1" x14ac:dyDescent="0.3">
      <c r="A1163" s="15">
        <v>66113</v>
      </c>
      <c r="B1163" s="14" t="s">
        <v>1398</v>
      </c>
      <c r="C1163" s="14" t="s">
        <v>1347</v>
      </c>
      <c r="D1163" s="58"/>
      <c r="E1163" s="58"/>
    </row>
    <row r="1164" spans="1:5" ht="30.75" thickBot="1" x14ac:dyDescent="0.3">
      <c r="A1164" s="15">
        <v>66114</v>
      </c>
      <c r="B1164" s="14" t="s">
        <v>1399</v>
      </c>
      <c r="C1164" s="14" t="s">
        <v>1347</v>
      </c>
      <c r="D1164" s="58"/>
      <c r="E1164" s="58"/>
    </row>
    <row r="1165" spans="1:5" ht="30.75" thickBot="1" x14ac:dyDescent="0.3">
      <c r="A1165" s="15">
        <v>66115</v>
      </c>
      <c r="B1165" s="14" t="s">
        <v>1400</v>
      </c>
      <c r="C1165" s="14" t="s">
        <v>1347</v>
      </c>
      <c r="D1165" s="58"/>
      <c r="E1165" s="58"/>
    </row>
    <row r="1166" spans="1:5" ht="30.75" thickBot="1" x14ac:dyDescent="0.3">
      <c r="A1166" s="15">
        <v>66116</v>
      </c>
      <c r="B1166" s="14" t="s">
        <v>1401</v>
      </c>
      <c r="C1166" s="14" t="s">
        <v>1347</v>
      </c>
      <c r="D1166" s="58"/>
      <c r="E1166" s="58"/>
    </row>
    <row r="1167" spans="1:5" ht="15.75" thickBot="1" x14ac:dyDescent="0.3">
      <c r="A1167" s="15">
        <v>66117</v>
      </c>
      <c r="B1167" s="14" t="s">
        <v>1402</v>
      </c>
      <c r="C1167" s="14" t="s">
        <v>1347</v>
      </c>
      <c r="D1167" s="58"/>
      <c r="E1167" s="58"/>
    </row>
    <row r="1168" spans="1:5" ht="30.75" thickBot="1" x14ac:dyDescent="0.3">
      <c r="A1168" s="15">
        <v>66119</v>
      </c>
      <c r="B1168" s="14" t="s">
        <v>1403</v>
      </c>
      <c r="C1168" s="14" t="s">
        <v>1347</v>
      </c>
      <c r="D1168" s="58"/>
      <c r="E1168" s="58"/>
    </row>
    <row r="1169" spans="1:5" ht="15.75" thickBot="1" x14ac:dyDescent="0.3">
      <c r="A1169" s="15">
        <v>66121</v>
      </c>
      <c r="B1169" s="14" t="s">
        <v>1404</v>
      </c>
      <c r="C1169" s="14" t="s">
        <v>1347</v>
      </c>
      <c r="D1169" s="58"/>
      <c r="E1169" s="58"/>
    </row>
    <row r="1170" spans="1:5" ht="30.75" thickBot="1" x14ac:dyDescent="0.3">
      <c r="A1170" s="15">
        <v>66122</v>
      </c>
      <c r="B1170" s="14" t="s">
        <v>1405</v>
      </c>
      <c r="C1170" s="14" t="s">
        <v>1347</v>
      </c>
      <c r="D1170" s="58"/>
      <c r="E1170" s="58"/>
    </row>
    <row r="1171" spans="1:5" ht="15.75" thickBot="1" x14ac:dyDescent="0.3">
      <c r="A1171" s="15">
        <v>66123</v>
      </c>
      <c r="B1171" s="14" t="s">
        <v>1406</v>
      </c>
      <c r="C1171" s="14" t="s">
        <v>1347</v>
      </c>
      <c r="D1171" s="58"/>
      <c r="E1171" s="58"/>
    </row>
    <row r="1172" spans="1:5" ht="30.75" thickBot="1" x14ac:dyDescent="0.3">
      <c r="A1172" s="15">
        <v>66124</v>
      </c>
      <c r="B1172" s="14" t="s">
        <v>1407</v>
      </c>
      <c r="C1172" s="14" t="s">
        <v>1347</v>
      </c>
      <c r="D1172" s="58"/>
      <c r="E1172" s="58"/>
    </row>
    <row r="1173" spans="1:5" ht="30.75" thickBot="1" x14ac:dyDescent="0.3">
      <c r="A1173" s="15">
        <v>66125</v>
      </c>
      <c r="B1173" s="14" t="s">
        <v>1408</v>
      </c>
      <c r="C1173" s="14" t="s">
        <v>1347</v>
      </c>
      <c r="D1173" s="58"/>
      <c r="E1173" s="58"/>
    </row>
    <row r="1174" spans="1:5" ht="30.75" thickBot="1" x14ac:dyDescent="0.3">
      <c r="A1174" s="15">
        <v>66126</v>
      </c>
      <c r="B1174" s="14" t="s">
        <v>1409</v>
      </c>
      <c r="C1174" s="14" t="s">
        <v>1347</v>
      </c>
      <c r="D1174" s="58"/>
      <c r="E1174" s="58"/>
    </row>
    <row r="1175" spans="1:5" ht="15.75" thickBot="1" x14ac:dyDescent="0.3">
      <c r="A1175" s="15">
        <v>66127</v>
      </c>
      <c r="B1175" s="14" t="s">
        <v>1410</v>
      </c>
      <c r="C1175" s="14" t="s">
        <v>1347</v>
      </c>
      <c r="D1175" s="58"/>
      <c r="E1175" s="58"/>
    </row>
    <row r="1176" spans="1:5" ht="30.75" thickBot="1" x14ac:dyDescent="0.3">
      <c r="A1176" s="15">
        <v>66129</v>
      </c>
      <c r="B1176" s="14" t="s">
        <v>1411</v>
      </c>
      <c r="C1176" s="14" t="s">
        <v>1347</v>
      </c>
      <c r="D1176" s="58"/>
      <c r="E1176" s="58"/>
    </row>
    <row r="1177" spans="1:5" ht="30.75" thickBot="1" x14ac:dyDescent="0.3">
      <c r="A1177" s="15">
        <v>66131</v>
      </c>
      <c r="B1177" s="14" t="s">
        <v>1412</v>
      </c>
      <c r="C1177" s="14" t="s">
        <v>1347</v>
      </c>
      <c r="D1177" s="58"/>
      <c r="E1177" s="58"/>
    </row>
    <row r="1178" spans="1:5" ht="30.75" thickBot="1" x14ac:dyDescent="0.3">
      <c r="A1178" s="15">
        <v>66132</v>
      </c>
      <c r="B1178" s="14" t="s">
        <v>1413</v>
      </c>
      <c r="C1178" s="14" t="s">
        <v>1347</v>
      </c>
      <c r="D1178" s="58"/>
      <c r="E1178" s="58"/>
    </row>
    <row r="1179" spans="1:5" ht="15.75" thickBot="1" x14ac:dyDescent="0.3">
      <c r="A1179" s="15">
        <v>66133</v>
      </c>
      <c r="B1179" s="14" t="s">
        <v>1414</v>
      </c>
      <c r="C1179" s="14" t="s">
        <v>1347</v>
      </c>
      <c r="D1179" s="58"/>
      <c r="E1179" s="58"/>
    </row>
    <row r="1180" spans="1:5" ht="15.75" thickBot="1" x14ac:dyDescent="0.3">
      <c r="A1180" s="15">
        <v>66141</v>
      </c>
      <c r="B1180" s="14" t="s">
        <v>1415</v>
      </c>
      <c r="C1180" s="14" t="s">
        <v>1347</v>
      </c>
      <c r="D1180" s="58"/>
      <c r="E1180" s="58"/>
    </row>
    <row r="1181" spans="1:5" ht="30.75" thickBot="1" x14ac:dyDescent="0.3">
      <c r="A1181" s="15">
        <v>66142</v>
      </c>
      <c r="B1181" s="14" t="s">
        <v>1416</v>
      </c>
      <c r="C1181" s="14" t="s">
        <v>1347</v>
      </c>
      <c r="D1181" s="58"/>
      <c r="E1181" s="58"/>
    </row>
    <row r="1182" spans="1:5" ht="30.75" thickBot="1" x14ac:dyDescent="0.3">
      <c r="A1182" s="15">
        <v>66143</v>
      </c>
      <c r="B1182" s="14" t="s">
        <v>1417</v>
      </c>
      <c r="C1182" s="14" t="s">
        <v>1347</v>
      </c>
      <c r="D1182" s="58"/>
      <c r="E1182" s="58"/>
    </row>
    <row r="1183" spans="1:5" ht="15.75" thickBot="1" x14ac:dyDescent="0.3">
      <c r="A1183" s="15">
        <v>66144</v>
      </c>
      <c r="B1183" s="14" t="s">
        <v>1418</v>
      </c>
      <c r="C1183" s="14" t="s">
        <v>1347</v>
      </c>
      <c r="D1183" s="58"/>
      <c r="E1183" s="58"/>
    </row>
    <row r="1184" spans="1:5" ht="30.75" thickBot="1" x14ac:dyDescent="0.3">
      <c r="A1184" s="15">
        <v>66149</v>
      </c>
      <c r="B1184" s="14" t="s">
        <v>1419</v>
      </c>
      <c r="C1184" s="14" t="s">
        <v>1347</v>
      </c>
      <c r="D1184" s="58"/>
      <c r="E1184" s="58"/>
    </row>
    <row r="1185" spans="1:5" ht="15.75" thickBot="1" x14ac:dyDescent="0.3">
      <c r="A1185" s="15">
        <v>66151</v>
      </c>
      <c r="B1185" s="14" t="s">
        <v>1420</v>
      </c>
      <c r="C1185" s="14" t="s">
        <v>1347</v>
      </c>
      <c r="D1185" s="58"/>
      <c r="E1185" s="58"/>
    </row>
    <row r="1186" spans="1:5" ht="30.75" thickBot="1" x14ac:dyDescent="0.3">
      <c r="A1186" s="15">
        <v>66152</v>
      </c>
      <c r="B1186" s="14" t="s">
        <v>1421</v>
      </c>
      <c r="C1186" s="14" t="s">
        <v>1347</v>
      </c>
      <c r="D1186" s="58"/>
      <c r="E1186" s="58"/>
    </row>
    <row r="1187" spans="1:5" ht="15.75" thickBot="1" x14ac:dyDescent="0.3">
      <c r="A1187" s="15">
        <v>66153</v>
      </c>
      <c r="B1187" s="14" t="s">
        <v>1422</v>
      </c>
      <c r="C1187" s="14" t="s">
        <v>1347</v>
      </c>
      <c r="D1187" s="58"/>
      <c r="E1187" s="58"/>
    </row>
    <row r="1188" spans="1:5" ht="15.75" thickBot="1" x14ac:dyDescent="0.3">
      <c r="A1188" s="15">
        <v>66159</v>
      </c>
      <c r="B1188" s="14" t="s">
        <v>1423</v>
      </c>
      <c r="C1188" s="14" t="s">
        <v>1347</v>
      </c>
      <c r="D1188" s="58"/>
      <c r="E1188" s="58"/>
    </row>
    <row r="1189" spans="1:5" ht="30.75" thickBot="1" x14ac:dyDescent="0.3">
      <c r="A1189" s="15">
        <v>66161</v>
      </c>
      <c r="B1189" s="14" t="s">
        <v>1424</v>
      </c>
      <c r="C1189" s="14" t="s">
        <v>1347</v>
      </c>
      <c r="D1189" s="58"/>
      <c r="E1189" s="58"/>
    </row>
    <row r="1190" spans="1:5" ht="30.75" thickBot="1" x14ac:dyDescent="0.3">
      <c r="A1190" s="15">
        <v>66162</v>
      </c>
      <c r="B1190" s="14" t="s">
        <v>1424</v>
      </c>
      <c r="C1190" s="14" t="s">
        <v>1347</v>
      </c>
      <c r="D1190" s="58"/>
      <c r="E1190" s="58"/>
    </row>
    <row r="1191" spans="1:5" ht="15.75" thickBot="1" x14ac:dyDescent="0.3">
      <c r="A1191" s="15">
        <v>66191</v>
      </c>
      <c r="B1191" s="14" t="s">
        <v>1425</v>
      </c>
      <c r="C1191" s="14" t="s">
        <v>1347</v>
      </c>
      <c r="D1191" s="58"/>
      <c r="E1191" s="58"/>
    </row>
    <row r="1192" spans="1:5" ht="30.75" thickBot="1" x14ac:dyDescent="0.3">
      <c r="A1192" s="15">
        <v>66192</v>
      </c>
      <c r="B1192" s="14" t="s">
        <v>1426</v>
      </c>
      <c r="C1192" s="14" t="s">
        <v>1347</v>
      </c>
      <c r="D1192" s="58"/>
      <c r="E1192" s="58"/>
    </row>
    <row r="1193" spans="1:5" ht="15.75" thickBot="1" x14ac:dyDescent="0.3">
      <c r="A1193" s="15">
        <v>66193</v>
      </c>
      <c r="B1193" s="14" t="s">
        <v>1427</v>
      </c>
      <c r="C1193" s="14" t="s">
        <v>1347</v>
      </c>
      <c r="D1193" s="58"/>
      <c r="E1193" s="58"/>
    </row>
    <row r="1194" spans="1:5" ht="15.75" thickBot="1" x14ac:dyDescent="0.3">
      <c r="A1194" s="15">
        <v>66194</v>
      </c>
      <c r="B1194" s="14" t="s">
        <v>1428</v>
      </c>
      <c r="C1194" s="14" t="s">
        <v>1347</v>
      </c>
      <c r="D1194" s="58"/>
      <c r="E1194" s="58"/>
    </row>
    <row r="1195" spans="1:5" ht="15.75" thickBot="1" x14ac:dyDescent="0.3">
      <c r="A1195" s="15">
        <v>66195</v>
      </c>
      <c r="B1195" s="14" t="s">
        <v>1429</v>
      </c>
      <c r="C1195" s="14" t="s">
        <v>1347</v>
      </c>
      <c r="D1195" s="58"/>
      <c r="E1195" s="58"/>
    </row>
    <row r="1196" spans="1:5" ht="15.75" thickBot="1" x14ac:dyDescent="0.3">
      <c r="A1196" s="15">
        <v>66196</v>
      </c>
      <c r="B1196" s="14" t="s">
        <v>1430</v>
      </c>
      <c r="C1196" s="14" t="s">
        <v>1347</v>
      </c>
      <c r="D1196" s="58"/>
      <c r="E1196" s="58"/>
    </row>
    <row r="1197" spans="1:5" ht="30.75" thickBot="1" x14ac:dyDescent="0.3">
      <c r="A1197" s="15">
        <v>66197</v>
      </c>
      <c r="B1197" s="14" t="s">
        <v>1431</v>
      </c>
      <c r="C1197" s="14" t="s">
        <v>1347</v>
      </c>
      <c r="D1197" s="58"/>
      <c r="E1197" s="58"/>
    </row>
    <row r="1198" spans="1:5" ht="30.75" thickBot="1" x14ac:dyDescent="0.3">
      <c r="A1198" s="15">
        <v>66198</v>
      </c>
      <c r="B1198" s="14" t="s">
        <v>1432</v>
      </c>
      <c r="C1198" s="14" t="s">
        <v>1347</v>
      </c>
      <c r="D1198" s="58"/>
      <c r="E1198" s="58"/>
    </row>
    <row r="1199" spans="1:5" ht="30.75" thickBot="1" x14ac:dyDescent="0.3">
      <c r="A1199" s="15">
        <v>66199</v>
      </c>
      <c r="B1199" s="14" t="s">
        <v>1433</v>
      </c>
      <c r="C1199" s="14" t="s">
        <v>1347</v>
      </c>
      <c r="D1199" s="58"/>
      <c r="E1199" s="58"/>
    </row>
    <row r="1200" spans="1:5" ht="15.75" thickBot="1" x14ac:dyDescent="0.3">
      <c r="A1200" s="15">
        <v>66211</v>
      </c>
      <c r="B1200" s="14" t="s">
        <v>1434</v>
      </c>
      <c r="C1200" s="14" t="s">
        <v>1347</v>
      </c>
      <c r="D1200" s="58"/>
      <c r="E1200" s="58"/>
    </row>
    <row r="1201" spans="1:5" ht="15.75" thickBot="1" x14ac:dyDescent="0.3">
      <c r="A1201" s="15">
        <v>66212</v>
      </c>
      <c r="B1201" s="14" t="s">
        <v>1435</v>
      </c>
      <c r="C1201" s="14" t="s">
        <v>1347</v>
      </c>
      <c r="D1201" s="58"/>
      <c r="E1201" s="58"/>
    </row>
    <row r="1202" spans="1:5" ht="15.75" thickBot="1" x14ac:dyDescent="0.3">
      <c r="A1202" s="15">
        <v>66221</v>
      </c>
      <c r="B1202" s="14" t="s">
        <v>1436</v>
      </c>
      <c r="C1202" s="14" t="s">
        <v>1347</v>
      </c>
      <c r="D1202" s="58"/>
      <c r="E1202" s="58"/>
    </row>
    <row r="1203" spans="1:5" ht="15.75" thickBot="1" x14ac:dyDescent="0.3">
      <c r="A1203" s="15">
        <v>66222</v>
      </c>
      <c r="B1203" s="14" t="s">
        <v>1437</v>
      </c>
      <c r="C1203" s="14" t="s">
        <v>1347</v>
      </c>
      <c r="D1203" s="58"/>
      <c r="E1203" s="58"/>
    </row>
    <row r="1204" spans="1:5" ht="15.75" thickBot="1" x14ac:dyDescent="0.3">
      <c r="A1204" s="15">
        <v>66223</v>
      </c>
      <c r="B1204" s="14" t="s">
        <v>1438</v>
      </c>
      <c r="C1204" s="14" t="s">
        <v>1347</v>
      </c>
      <c r="D1204" s="58"/>
      <c r="E1204" s="58"/>
    </row>
    <row r="1205" spans="1:5" ht="15.75" thickBot="1" x14ac:dyDescent="0.3">
      <c r="A1205" s="15">
        <v>66224</v>
      </c>
      <c r="B1205" s="14" t="s">
        <v>1439</v>
      </c>
      <c r="C1205" s="14" t="s">
        <v>1347</v>
      </c>
      <c r="D1205" s="58"/>
      <c r="E1205" s="58"/>
    </row>
    <row r="1206" spans="1:5" ht="15.75" thickBot="1" x14ac:dyDescent="0.3">
      <c r="A1206" s="15">
        <v>66225</v>
      </c>
      <c r="B1206" s="14" t="s">
        <v>1440</v>
      </c>
      <c r="C1206" s="14" t="s">
        <v>1347</v>
      </c>
      <c r="D1206" s="58"/>
      <c r="E1206" s="58"/>
    </row>
    <row r="1207" spans="1:5" ht="15.75" thickBot="1" x14ac:dyDescent="0.3">
      <c r="A1207" s="15">
        <v>66226</v>
      </c>
      <c r="B1207" s="14" t="s">
        <v>1441</v>
      </c>
      <c r="C1207" s="14" t="s">
        <v>1347</v>
      </c>
      <c r="D1207" s="58"/>
      <c r="E1207" s="58"/>
    </row>
    <row r="1208" spans="1:5" ht="15.75" thickBot="1" x14ac:dyDescent="0.3">
      <c r="A1208" s="15">
        <v>66291</v>
      </c>
      <c r="B1208" s="14" t="s">
        <v>1442</v>
      </c>
      <c r="C1208" s="14" t="s">
        <v>1347</v>
      </c>
      <c r="D1208" s="58"/>
      <c r="E1208" s="58"/>
    </row>
    <row r="1209" spans="1:5" ht="30.75" thickBot="1" x14ac:dyDescent="0.3">
      <c r="A1209" s="15">
        <v>66292</v>
      </c>
      <c r="B1209" s="14" t="s">
        <v>1443</v>
      </c>
      <c r="C1209" s="14" t="s">
        <v>1347</v>
      </c>
      <c r="D1209" s="58"/>
      <c r="E1209" s="58"/>
    </row>
    <row r="1210" spans="1:5" ht="30.75" thickBot="1" x14ac:dyDescent="0.3">
      <c r="A1210" s="15">
        <v>66299</v>
      </c>
      <c r="B1210" s="14" t="s">
        <v>1444</v>
      </c>
      <c r="C1210" s="14" t="s">
        <v>1347</v>
      </c>
      <c r="D1210" s="58"/>
      <c r="E1210" s="58"/>
    </row>
    <row r="1211" spans="1:5" ht="30.75" thickBot="1" x14ac:dyDescent="0.3">
      <c r="A1211" s="15">
        <v>66301</v>
      </c>
      <c r="B1211" s="14" t="s">
        <v>1445</v>
      </c>
      <c r="C1211" s="14" t="s">
        <v>1347</v>
      </c>
      <c r="D1211" s="58"/>
      <c r="E1211" s="58"/>
    </row>
    <row r="1212" spans="1:5" ht="30.75" thickBot="1" x14ac:dyDescent="0.3">
      <c r="A1212" s="15">
        <v>66302</v>
      </c>
      <c r="B1212" s="14" t="s">
        <v>1446</v>
      </c>
      <c r="C1212" s="14" t="s">
        <v>1347</v>
      </c>
      <c r="D1212" s="58"/>
      <c r="E1212" s="58"/>
    </row>
    <row r="1213" spans="1:5" ht="30.75" thickBot="1" x14ac:dyDescent="0.3">
      <c r="A1213" s="15">
        <v>66303</v>
      </c>
      <c r="B1213" s="14" t="s">
        <v>1447</v>
      </c>
      <c r="C1213" s="14" t="s">
        <v>1347</v>
      </c>
      <c r="D1213" s="58"/>
      <c r="E1213" s="58"/>
    </row>
    <row r="1214" spans="1:5" ht="15.75" thickBot="1" x14ac:dyDescent="0.3">
      <c r="A1214" s="15">
        <v>66309</v>
      </c>
      <c r="B1214" s="14" t="s">
        <v>1448</v>
      </c>
      <c r="C1214" s="14" t="s">
        <v>1347</v>
      </c>
      <c r="D1214" s="58"/>
      <c r="E1214" s="58"/>
    </row>
    <row r="1215" spans="1:5" ht="30.75" thickBot="1" x14ac:dyDescent="0.3">
      <c r="A1215" s="15">
        <v>68111</v>
      </c>
      <c r="B1215" s="14" t="s">
        <v>1450</v>
      </c>
      <c r="C1215" s="14" t="s">
        <v>1449</v>
      </c>
      <c r="D1215" s="58"/>
      <c r="E1215" s="58"/>
    </row>
    <row r="1216" spans="1:5" ht="30.75" thickBot="1" x14ac:dyDescent="0.3">
      <c r="A1216" s="15">
        <v>68112</v>
      </c>
      <c r="B1216" s="14" t="s">
        <v>1451</v>
      </c>
      <c r="C1216" s="14" t="s">
        <v>1449</v>
      </c>
      <c r="D1216" s="58"/>
      <c r="E1216" s="58"/>
    </row>
    <row r="1217" spans="1:5" ht="15.75" thickBot="1" x14ac:dyDescent="0.3">
      <c r="A1217" s="15">
        <v>68121</v>
      </c>
      <c r="B1217" s="14" t="s">
        <v>1452</v>
      </c>
      <c r="C1217" s="14" t="s">
        <v>1449</v>
      </c>
      <c r="D1217" s="58"/>
      <c r="E1217" s="58"/>
    </row>
    <row r="1218" spans="1:5" ht="15.75" thickBot="1" x14ac:dyDescent="0.3">
      <c r="A1218" s="15">
        <v>68122</v>
      </c>
      <c r="B1218" s="14" t="s">
        <v>1453</v>
      </c>
      <c r="C1218" s="14" t="s">
        <v>1449</v>
      </c>
      <c r="D1218" s="58"/>
      <c r="E1218" s="58"/>
    </row>
    <row r="1219" spans="1:5" ht="15.75" thickBot="1" x14ac:dyDescent="0.3">
      <c r="A1219" s="15">
        <v>68123</v>
      </c>
      <c r="B1219" s="14" t="s">
        <v>1454</v>
      </c>
      <c r="C1219" s="14" t="s">
        <v>1449</v>
      </c>
      <c r="D1219" s="58"/>
      <c r="E1219" s="58"/>
    </row>
    <row r="1220" spans="1:5" ht="30.75" thickBot="1" x14ac:dyDescent="0.3">
      <c r="A1220" s="15">
        <v>68124</v>
      </c>
      <c r="B1220" s="14" t="s">
        <v>1455</v>
      </c>
      <c r="C1220" s="14" t="s">
        <v>1449</v>
      </c>
      <c r="D1220" s="58"/>
      <c r="E1220" s="58"/>
    </row>
    <row r="1221" spans="1:5" ht="15.75" thickBot="1" x14ac:dyDescent="0.3">
      <c r="A1221" s="15">
        <v>68125</v>
      </c>
      <c r="B1221" s="14" t="s">
        <v>1456</v>
      </c>
      <c r="C1221" s="14" t="s">
        <v>1449</v>
      </c>
      <c r="D1221" s="58"/>
      <c r="E1221" s="58"/>
    </row>
    <row r="1222" spans="1:5" ht="30.75" thickBot="1" x14ac:dyDescent="0.3">
      <c r="A1222" s="15">
        <v>68126</v>
      </c>
      <c r="B1222" s="14" t="s">
        <v>1457</v>
      </c>
      <c r="C1222" s="14" t="s">
        <v>1449</v>
      </c>
      <c r="D1222" s="58"/>
      <c r="E1222" s="58"/>
    </row>
    <row r="1223" spans="1:5" ht="15.75" thickBot="1" x14ac:dyDescent="0.3">
      <c r="A1223" s="15">
        <v>68127</v>
      </c>
      <c r="B1223" s="14" t="s">
        <v>1458</v>
      </c>
      <c r="C1223" s="14" t="s">
        <v>1449</v>
      </c>
      <c r="D1223" s="58"/>
      <c r="E1223" s="58"/>
    </row>
    <row r="1224" spans="1:5" ht="30.75" thickBot="1" x14ac:dyDescent="0.3">
      <c r="A1224" s="15">
        <v>68129</v>
      </c>
      <c r="B1224" s="14" t="s">
        <v>1459</v>
      </c>
      <c r="C1224" s="14" t="s">
        <v>1449</v>
      </c>
      <c r="D1224" s="58"/>
      <c r="E1224" s="58"/>
    </row>
    <row r="1225" spans="1:5" ht="26.25" thickBot="1" x14ac:dyDescent="0.3">
      <c r="A1225" s="15">
        <v>68210</v>
      </c>
      <c r="B1225" s="14" t="s">
        <v>1460</v>
      </c>
      <c r="C1225" s="14" t="s">
        <v>1449</v>
      </c>
      <c r="D1225" s="88" t="s">
        <v>2090</v>
      </c>
      <c r="E1225" s="58"/>
    </row>
    <row r="1226" spans="1:5" ht="15.75" thickBot="1" x14ac:dyDescent="0.3">
      <c r="A1226" s="15">
        <v>68291</v>
      </c>
      <c r="B1226" s="14" t="s">
        <v>1461</v>
      </c>
      <c r="C1226" s="14" t="s">
        <v>1449</v>
      </c>
      <c r="D1226" s="58"/>
      <c r="E1226" s="58"/>
    </row>
    <row r="1227" spans="1:5" ht="30.75" thickBot="1" x14ac:dyDescent="0.3">
      <c r="A1227" s="15">
        <v>68292</v>
      </c>
      <c r="B1227" s="14" t="s">
        <v>1462</v>
      </c>
      <c r="C1227" s="14" t="s">
        <v>1449</v>
      </c>
      <c r="D1227" s="58"/>
      <c r="E1227" s="58"/>
    </row>
    <row r="1228" spans="1:5" ht="30.75" thickBot="1" x14ac:dyDescent="0.3">
      <c r="A1228" s="15">
        <v>68299</v>
      </c>
      <c r="B1228" s="14" t="s">
        <v>1463</v>
      </c>
      <c r="C1228" s="14" t="s">
        <v>1449</v>
      </c>
      <c r="D1228" s="58"/>
      <c r="E1228" s="58"/>
    </row>
    <row r="1229" spans="1:5" ht="15.75" thickBot="1" x14ac:dyDescent="0.3">
      <c r="A1229" s="15">
        <v>69101</v>
      </c>
      <c r="B1229" s="14" t="s">
        <v>1465</v>
      </c>
      <c r="C1229" s="14" t="s">
        <v>1464</v>
      </c>
      <c r="D1229" s="58"/>
      <c r="E1229" s="58"/>
    </row>
    <row r="1230" spans="1:5" ht="15.75" thickBot="1" x14ac:dyDescent="0.3">
      <c r="A1230" s="15">
        <v>69102</v>
      </c>
      <c r="B1230" s="14" t="s">
        <v>1466</v>
      </c>
      <c r="C1230" s="14" t="s">
        <v>1464</v>
      </c>
      <c r="D1230" s="58"/>
      <c r="E1230" s="58"/>
    </row>
    <row r="1231" spans="1:5" ht="15.75" thickBot="1" x14ac:dyDescent="0.3">
      <c r="A1231" s="15">
        <v>69103</v>
      </c>
      <c r="B1231" s="14" t="s">
        <v>1467</v>
      </c>
      <c r="C1231" s="14" t="s">
        <v>1464</v>
      </c>
      <c r="D1231" s="58"/>
      <c r="E1231" s="58"/>
    </row>
    <row r="1232" spans="1:5" ht="30.75" thickBot="1" x14ac:dyDescent="0.3">
      <c r="A1232" s="15">
        <v>69104</v>
      </c>
      <c r="B1232" s="14" t="s">
        <v>1468</v>
      </c>
      <c r="C1232" s="14" t="s">
        <v>1464</v>
      </c>
      <c r="D1232" s="58"/>
      <c r="E1232" s="58"/>
    </row>
    <row r="1233" spans="1:5" ht="15.75" thickBot="1" x14ac:dyDescent="0.3">
      <c r="A1233" s="15">
        <v>69201</v>
      </c>
      <c r="B1233" s="14" t="s">
        <v>1469</v>
      </c>
      <c r="C1233" s="14" t="s">
        <v>1464</v>
      </c>
      <c r="D1233" s="58"/>
      <c r="E1233" s="58"/>
    </row>
    <row r="1234" spans="1:5" ht="15.75" thickBot="1" x14ac:dyDescent="0.3">
      <c r="A1234" s="15">
        <v>69202</v>
      </c>
      <c r="B1234" s="14" t="s">
        <v>1470</v>
      </c>
      <c r="C1234" s="14" t="s">
        <v>1464</v>
      </c>
      <c r="D1234" s="58"/>
      <c r="E1234" s="58"/>
    </row>
    <row r="1235" spans="1:5" ht="15.75" thickBot="1" x14ac:dyDescent="0.3">
      <c r="A1235" s="15">
        <v>70100</v>
      </c>
      <c r="B1235" s="14" t="s">
        <v>1471</v>
      </c>
      <c r="C1235" s="14" t="s">
        <v>1464</v>
      </c>
      <c r="D1235" s="58"/>
      <c r="E1235" s="58"/>
    </row>
    <row r="1236" spans="1:5" ht="30.75" thickBot="1" x14ac:dyDescent="0.3">
      <c r="A1236" s="15">
        <v>70201</v>
      </c>
      <c r="B1236" s="14" t="s">
        <v>1472</v>
      </c>
      <c r="C1236" s="14" t="s">
        <v>1464</v>
      </c>
      <c r="D1236" s="58"/>
      <c r="E1236" s="58"/>
    </row>
    <row r="1237" spans="1:5" ht="30.75" thickBot="1" x14ac:dyDescent="0.3">
      <c r="A1237" s="15">
        <v>70202</v>
      </c>
      <c r="B1237" s="14" t="s">
        <v>1473</v>
      </c>
      <c r="C1237" s="14" t="s">
        <v>1464</v>
      </c>
      <c r="D1237" s="58"/>
      <c r="E1237" s="58"/>
    </row>
    <row r="1238" spans="1:5" ht="30.75" thickBot="1" x14ac:dyDescent="0.3">
      <c r="A1238" s="15">
        <v>70203</v>
      </c>
      <c r="B1238" s="14" t="s">
        <v>1474</v>
      </c>
      <c r="C1238" s="14" t="s">
        <v>1464</v>
      </c>
      <c r="D1238" s="58"/>
      <c r="E1238" s="58"/>
    </row>
    <row r="1239" spans="1:5" ht="30.75" thickBot="1" x14ac:dyDescent="0.3">
      <c r="A1239" s="15">
        <v>70209</v>
      </c>
      <c r="B1239" s="14" t="s">
        <v>1475</v>
      </c>
      <c r="C1239" s="14" t="s">
        <v>1464</v>
      </c>
      <c r="D1239" s="58"/>
      <c r="E1239" s="58"/>
    </row>
    <row r="1240" spans="1:5" ht="15.75" thickBot="1" x14ac:dyDescent="0.3">
      <c r="A1240" s="15">
        <v>71101</v>
      </c>
      <c r="B1240" s="14" t="s">
        <v>1476</v>
      </c>
      <c r="C1240" s="14" t="s">
        <v>1464</v>
      </c>
      <c r="D1240" s="58"/>
      <c r="E1240" s="58"/>
    </row>
    <row r="1241" spans="1:5" ht="30.75" thickBot="1" x14ac:dyDescent="0.3">
      <c r="A1241" s="15">
        <v>71102</v>
      </c>
      <c r="B1241" s="14" t="s">
        <v>1477</v>
      </c>
      <c r="C1241" s="14" t="s">
        <v>1464</v>
      </c>
      <c r="D1241" s="58"/>
      <c r="E1241" s="58"/>
    </row>
    <row r="1242" spans="1:5" ht="30.75" thickBot="1" x14ac:dyDescent="0.3">
      <c r="A1242" s="15">
        <v>71109</v>
      </c>
      <c r="B1242" s="14" t="s">
        <v>1478</v>
      </c>
      <c r="C1242" s="14" t="s">
        <v>1464</v>
      </c>
      <c r="D1242" s="58"/>
      <c r="E1242" s="58"/>
    </row>
    <row r="1243" spans="1:5" ht="15.75" thickBot="1" x14ac:dyDescent="0.3">
      <c r="A1243" s="15">
        <v>71201</v>
      </c>
      <c r="B1243" s="14" t="s">
        <v>1479</v>
      </c>
      <c r="C1243" s="14" t="s">
        <v>1464</v>
      </c>
      <c r="D1243" s="58"/>
      <c r="E1243" s="58"/>
    </row>
    <row r="1244" spans="1:5" ht="15.75" thickBot="1" x14ac:dyDescent="0.3">
      <c r="A1244" s="15">
        <v>71202</v>
      </c>
      <c r="B1244" s="14" t="s">
        <v>1480</v>
      </c>
      <c r="C1244" s="14" t="s">
        <v>1464</v>
      </c>
      <c r="D1244" s="58"/>
      <c r="E1244" s="58"/>
    </row>
    <row r="1245" spans="1:5" ht="15.75" thickBot="1" x14ac:dyDescent="0.3">
      <c r="A1245" s="15">
        <v>71203</v>
      </c>
      <c r="B1245" s="14" t="s">
        <v>1481</v>
      </c>
      <c r="C1245" s="14" t="s">
        <v>1464</v>
      </c>
      <c r="D1245" s="58"/>
      <c r="E1245" s="58"/>
    </row>
    <row r="1246" spans="1:5" ht="15.75" thickBot="1" x14ac:dyDescent="0.3">
      <c r="A1246" s="15">
        <v>71204</v>
      </c>
      <c r="B1246" s="14" t="s">
        <v>1482</v>
      </c>
      <c r="C1246" s="14" t="s">
        <v>1464</v>
      </c>
      <c r="D1246" s="58"/>
      <c r="E1246" s="58"/>
    </row>
    <row r="1247" spans="1:5" ht="15.75" thickBot="1" x14ac:dyDescent="0.3">
      <c r="A1247" s="15">
        <v>71209</v>
      </c>
      <c r="B1247" s="14" t="s">
        <v>1483</v>
      </c>
      <c r="C1247" s="14" t="s">
        <v>1464</v>
      </c>
      <c r="D1247" s="58"/>
      <c r="E1247" s="58"/>
    </row>
    <row r="1248" spans="1:5" ht="15.75" thickBot="1" x14ac:dyDescent="0.3">
      <c r="A1248" s="15">
        <v>72101</v>
      </c>
      <c r="B1248" s="14" t="s">
        <v>1484</v>
      </c>
      <c r="C1248" s="14" t="s">
        <v>1464</v>
      </c>
      <c r="D1248" s="58"/>
      <c r="E1248" s="58"/>
    </row>
    <row r="1249" spans="1:5" ht="30.75" thickBot="1" x14ac:dyDescent="0.3">
      <c r="A1249" s="15">
        <v>72102</v>
      </c>
      <c r="B1249" s="14" t="s">
        <v>1485</v>
      </c>
      <c r="C1249" s="14" t="s">
        <v>1464</v>
      </c>
      <c r="D1249" s="58"/>
      <c r="E1249" s="58"/>
    </row>
    <row r="1250" spans="1:5" ht="30.75" thickBot="1" x14ac:dyDescent="0.3">
      <c r="A1250" s="15">
        <v>72103</v>
      </c>
      <c r="B1250" s="14" t="s">
        <v>1486</v>
      </c>
      <c r="C1250" s="14" t="s">
        <v>1464</v>
      </c>
      <c r="D1250" s="58"/>
      <c r="E1250" s="58"/>
    </row>
    <row r="1251" spans="1:5" ht="15.75" thickBot="1" x14ac:dyDescent="0.3">
      <c r="A1251" s="15">
        <v>72104</v>
      </c>
      <c r="B1251" s="14" t="s">
        <v>1487</v>
      </c>
      <c r="C1251" s="14" t="s">
        <v>1464</v>
      </c>
      <c r="D1251" s="58"/>
      <c r="E1251" s="58"/>
    </row>
    <row r="1252" spans="1:5" ht="30.75" thickBot="1" x14ac:dyDescent="0.3">
      <c r="A1252" s="15">
        <v>72105</v>
      </c>
      <c r="B1252" s="14" t="s">
        <v>1488</v>
      </c>
      <c r="C1252" s="14" t="s">
        <v>1464</v>
      </c>
      <c r="D1252" s="58"/>
      <c r="E1252" s="58"/>
    </row>
    <row r="1253" spans="1:5" ht="30.75" thickBot="1" x14ac:dyDescent="0.3">
      <c r="A1253" s="15">
        <v>72106</v>
      </c>
      <c r="B1253" s="14" t="s">
        <v>1489</v>
      </c>
      <c r="C1253" s="14" t="s">
        <v>1464</v>
      </c>
      <c r="D1253" s="58"/>
      <c r="E1253" s="58"/>
    </row>
    <row r="1254" spans="1:5" ht="30.75" thickBot="1" x14ac:dyDescent="0.3">
      <c r="A1254" s="15">
        <v>72109</v>
      </c>
      <c r="B1254" s="14" t="s">
        <v>1490</v>
      </c>
      <c r="C1254" s="14" t="s">
        <v>1464</v>
      </c>
      <c r="D1254" s="58"/>
      <c r="E1254" s="58"/>
    </row>
    <row r="1255" spans="1:5" ht="30.75" thickBot="1" x14ac:dyDescent="0.3">
      <c r="A1255" s="15">
        <v>72201</v>
      </c>
      <c r="B1255" s="14" t="s">
        <v>1491</v>
      </c>
      <c r="C1255" s="14" t="s">
        <v>1464</v>
      </c>
      <c r="D1255" s="58"/>
      <c r="E1255" s="58"/>
    </row>
    <row r="1256" spans="1:5" ht="15.75" thickBot="1" x14ac:dyDescent="0.3">
      <c r="A1256" s="15">
        <v>72202</v>
      </c>
      <c r="B1256" s="14" t="s">
        <v>1492</v>
      </c>
      <c r="C1256" s="14" t="s">
        <v>1464</v>
      </c>
      <c r="D1256" s="58"/>
      <c r="E1256" s="58"/>
    </row>
    <row r="1257" spans="1:5" ht="26.25" thickBot="1" x14ac:dyDescent="0.3">
      <c r="A1257" s="15">
        <v>73100</v>
      </c>
      <c r="B1257" s="14" t="s">
        <v>1493</v>
      </c>
      <c r="C1257" s="14" t="s">
        <v>1464</v>
      </c>
      <c r="D1257" s="88" t="s">
        <v>2090</v>
      </c>
      <c r="E1257" s="58"/>
    </row>
    <row r="1258" spans="1:5" ht="15.75" thickBot="1" x14ac:dyDescent="0.3">
      <c r="A1258" s="15">
        <v>73201</v>
      </c>
      <c r="B1258" s="14" t="s">
        <v>1494</v>
      </c>
      <c r="C1258" s="14" t="s">
        <v>1464</v>
      </c>
      <c r="D1258" s="58"/>
      <c r="E1258" s="58"/>
    </row>
    <row r="1259" spans="1:5" ht="15.75" thickBot="1" x14ac:dyDescent="0.3">
      <c r="A1259" s="15">
        <v>73202</v>
      </c>
      <c r="B1259" s="14" t="s">
        <v>1495</v>
      </c>
      <c r="C1259" s="14" t="s">
        <v>1464</v>
      </c>
      <c r="D1259" s="58"/>
      <c r="E1259" s="58"/>
    </row>
    <row r="1260" spans="1:5" ht="15.75" thickBot="1" x14ac:dyDescent="0.3">
      <c r="A1260" s="15">
        <v>73300</v>
      </c>
      <c r="B1260" s="14" t="s">
        <v>1496</v>
      </c>
      <c r="C1260" s="14" t="s">
        <v>1464</v>
      </c>
      <c r="D1260" s="58"/>
      <c r="E1260" s="58"/>
    </row>
    <row r="1261" spans="1:5" ht="30.75" thickBot="1" x14ac:dyDescent="0.3">
      <c r="A1261" s="15">
        <v>74111</v>
      </c>
      <c r="B1261" s="14" t="s">
        <v>1497</v>
      </c>
      <c r="C1261" s="14" t="s">
        <v>1464</v>
      </c>
      <c r="D1261" s="58"/>
      <c r="E1261" s="58"/>
    </row>
    <row r="1262" spans="1:5" ht="30.75" thickBot="1" x14ac:dyDescent="0.3">
      <c r="A1262" s="15">
        <v>74112</v>
      </c>
      <c r="B1262" s="14" t="s">
        <v>1498</v>
      </c>
      <c r="C1262" s="14" t="s">
        <v>1464</v>
      </c>
      <c r="D1262" s="58"/>
      <c r="E1262" s="58"/>
    </row>
    <row r="1263" spans="1:5" ht="30.75" thickBot="1" x14ac:dyDescent="0.3">
      <c r="A1263" s="15">
        <v>74113</v>
      </c>
      <c r="B1263" s="14" t="s">
        <v>1499</v>
      </c>
      <c r="C1263" s="14" t="s">
        <v>1464</v>
      </c>
      <c r="D1263" s="58"/>
      <c r="E1263" s="58"/>
    </row>
    <row r="1264" spans="1:5" ht="30.75" thickBot="1" x14ac:dyDescent="0.3">
      <c r="A1264" s="15">
        <v>74114</v>
      </c>
      <c r="B1264" s="14" t="s">
        <v>1500</v>
      </c>
      <c r="C1264" s="14" t="s">
        <v>1464</v>
      </c>
      <c r="D1264" s="58"/>
      <c r="E1264" s="58"/>
    </row>
    <row r="1265" spans="1:5" ht="30.75" thickBot="1" x14ac:dyDescent="0.3">
      <c r="A1265" s="15">
        <v>74115</v>
      </c>
      <c r="B1265" s="14" t="s">
        <v>1501</v>
      </c>
      <c r="C1265" s="14" t="s">
        <v>1464</v>
      </c>
      <c r="D1265" s="58"/>
      <c r="E1265" s="58"/>
    </row>
    <row r="1266" spans="1:5" ht="30.75" thickBot="1" x14ac:dyDescent="0.3">
      <c r="A1266" s="15">
        <v>74116</v>
      </c>
      <c r="B1266" s="14" t="s">
        <v>1502</v>
      </c>
      <c r="C1266" s="14" t="s">
        <v>1464</v>
      </c>
      <c r="D1266" s="58"/>
      <c r="E1266" s="58"/>
    </row>
    <row r="1267" spans="1:5" ht="30.75" thickBot="1" x14ac:dyDescent="0.3">
      <c r="A1267" s="15">
        <v>74117</v>
      </c>
      <c r="B1267" s="14" t="s">
        <v>1503</v>
      </c>
      <c r="C1267" s="14" t="s">
        <v>1464</v>
      </c>
      <c r="D1267" s="58"/>
      <c r="E1267" s="58"/>
    </row>
    <row r="1268" spans="1:5" ht="15.75" thickBot="1" x14ac:dyDescent="0.3">
      <c r="A1268" s="15">
        <v>74118</v>
      </c>
      <c r="B1268" s="14" t="s">
        <v>1504</v>
      </c>
      <c r="C1268" s="14" t="s">
        <v>1464</v>
      </c>
      <c r="D1268" s="58"/>
      <c r="E1268" s="58"/>
    </row>
    <row r="1269" spans="1:5" ht="15.75" thickBot="1" x14ac:dyDescent="0.3">
      <c r="A1269" s="15">
        <v>74119</v>
      </c>
      <c r="B1269" s="14" t="s">
        <v>1505</v>
      </c>
      <c r="C1269" s="14" t="s">
        <v>1464</v>
      </c>
      <c r="D1269" s="58"/>
      <c r="E1269" s="58"/>
    </row>
    <row r="1270" spans="1:5" ht="15.75" thickBot="1" x14ac:dyDescent="0.3">
      <c r="A1270" s="15">
        <v>74191</v>
      </c>
      <c r="B1270" s="14" t="s">
        <v>1506</v>
      </c>
      <c r="C1270" s="14" t="s">
        <v>1464</v>
      </c>
      <c r="D1270" s="58"/>
      <c r="E1270" s="58"/>
    </row>
    <row r="1271" spans="1:5" ht="26.25" thickBot="1" x14ac:dyDescent="0.3">
      <c r="A1271" s="15">
        <v>74192</v>
      </c>
      <c r="B1271" s="14" t="s">
        <v>1507</v>
      </c>
      <c r="C1271" s="14" t="s">
        <v>1464</v>
      </c>
      <c r="D1271" s="88" t="s">
        <v>2090</v>
      </c>
      <c r="E1271" s="58"/>
    </row>
    <row r="1272" spans="1:5" ht="30.75" thickBot="1" x14ac:dyDescent="0.3">
      <c r="A1272" s="15">
        <v>74193</v>
      </c>
      <c r="B1272" s="14" t="s">
        <v>1508</v>
      </c>
      <c r="C1272" s="14" t="s">
        <v>1464</v>
      </c>
      <c r="D1272" s="58"/>
      <c r="E1272" s="58"/>
    </row>
    <row r="1273" spans="1:5" ht="15.75" thickBot="1" x14ac:dyDescent="0.3">
      <c r="A1273" s="15">
        <v>74194</v>
      </c>
      <c r="B1273" s="14" t="s">
        <v>1509</v>
      </c>
      <c r="C1273" s="14" t="s">
        <v>1464</v>
      </c>
      <c r="D1273" s="58"/>
      <c r="E1273" s="58"/>
    </row>
    <row r="1274" spans="1:5" ht="15.75" thickBot="1" x14ac:dyDescent="0.3">
      <c r="A1274" s="15">
        <v>74199</v>
      </c>
      <c r="B1274" s="14" t="s">
        <v>1510</v>
      </c>
      <c r="C1274" s="14" t="s">
        <v>1464</v>
      </c>
      <c r="D1274" s="58"/>
      <c r="E1274" s="58"/>
    </row>
    <row r="1275" spans="1:5" ht="15.75" thickBot="1" x14ac:dyDescent="0.3">
      <c r="A1275" s="15">
        <v>74201</v>
      </c>
      <c r="B1275" s="14" t="s">
        <v>1511</v>
      </c>
      <c r="C1275" s="14" t="s">
        <v>1464</v>
      </c>
      <c r="D1275" s="58"/>
      <c r="E1275" s="58"/>
    </row>
    <row r="1276" spans="1:5" ht="26.25" thickBot="1" x14ac:dyDescent="0.3">
      <c r="A1276" s="15">
        <v>74209</v>
      </c>
      <c r="B1276" s="14" t="s">
        <v>1512</v>
      </c>
      <c r="C1276" s="14" t="s">
        <v>1464</v>
      </c>
      <c r="D1276" s="88" t="s">
        <v>2090</v>
      </c>
      <c r="E1276" s="58"/>
    </row>
    <row r="1277" spans="1:5" ht="15.75" thickBot="1" x14ac:dyDescent="0.3">
      <c r="A1277" s="15">
        <v>74300</v>
      </c>
      <c r="B1277" s="14" t="s">
        <v>1513</v>
      </c>
      <c r="C1277" s="14" t="s">
        <v>1464</v>
      </c>
      <c r="D1277" s="58"/>
      <c r="E1277" s="58"/>
    </row>
    <row r="1278" spans="1:5" ht="15.75" thickBot="1" x14ac:dyDescent="0.3">
      <c r="A1278" s="15">
        <v>74910</v>
      </c>
      <c r="B1278" s="14" t="s">
        <v>1514</v>
      </c>
      <c r="C1278" s="14" t="s">
        <v>1464</v>
      </c>
      <c r="D1278" s="58"/>
      <c r="E1278" s="58"/>
    </row>
    <row r="1279" spans="1:5" ht="15.75" thickBot="1" x14ac:dyDescent="0.3">
      <c r="A1279" s="15">
        <v>74991</v>
      </c>
      <c r="B1279" s="14" t="s">
        <v>1515</v>
      </c>
      <c r="C1279" s="14" t="s">
        <v>1464</v>
      </c>
      <c r="D1279" s="58"/>
      <c r="E1279" s="58"/>
    </row>
    <row r="1280" spans="1:5" ht="30.75" thickBot="1" x14ac:dyDescent="0.3">
      <c r="A1280" s="15">
        <v>74999</v>
      </c>
      <c r="B1280" s="14" t="s">
        <v>1516</v>
      </c>
      <c r="C1280" s="14" t="s">
        <v>1464</v>
      </c>
      <c r="D1280" s="58"/>
      <c r="E1280" s="58"/>
    </row>
    <row r="1281" spans="1:5" ht="15.75" thickBot="1" x14ac:dyDescent="0.3">
      <c r="A1281" s="15">
        <v>75001</v>
      </c>
      <c r="B1281" s="14" t="s">
        <v>1517</v>
      </c>
      <c r="C1281" s="14" t="s">
        <v>1464</v>
      </c>
      <c r="D1281" s="58"/>
      <c r="E1281" s="58"/>
    </row>
    <row r="1282" spans="1:5" ht="30.75" thickBot="1" x14ac:dyDescent="0.3">
      <c r="A1282" s="15">
        <v>75002</v>
      </c>
      <c r="B1282" s="14" t="s">
        <v>1518</v>
      </c>
      <c r="C1282" s="14" t="s">
        <v>1464</v>
      </c>
      <c r="D1282" s="58"/>
      <c r="E1282" s="58"/>
    </row>
    <row r="1283" spans="1:5" ht="30.75" thickBot="1" x14ac:dyDescent="0.3">
      <c r="A1283" s="15">
        <v>75009</v>
      </c>
      <c r="B1283" s="14" t="s">
        <v>1519</v>
      </c>
      <c r="C1283" s="14" t="s">
        <v>1464</v>
      </c>
      <c r="D1283" s="58"/>
      <c r="E1283" s="58"/>
    </row>
    <row r="1284" spans="1:5" ht="30.75" thickBot="1" x14ac:dyDescent="0.3">
      <c r="A1284" s="15">
        <v>77100</v>
      </c>
      <c r="B1284" s="14" t="s">
        <v>1521</v>
      </c>
      <c r="C1284" s="14" t="s">
        <v>1520</v>
      </c>
      <c r="D1284" s="58"/>
      <c r="E1284" s="58"/>
    </row>
    <row r="1285" spans="1:5" ht="30.75" thickBot="1" x14ac:dyDescent="0.3">
      <c r="A1285" s="15">
        <v>77210</v>
      </c>
      <c r="B1285" s="14" t="s">
        <v>1522</v>
      </c>
      <c r="C1285" s="14" t="s">
        <v>1520</v>
      </c>
      <c r="D1285" s="58"/>
      <c r="E1285" s="58"/>
    </row>
    <row r="1286" spans="1:5" ht="15.75" thickBot="1" x14ac:dyDescent="0.3">
      <c r="A1286" s="15">
        <v>77291</v>
      </c>
      <c r="B1286" s="14" t="s">
        <v>1523</v>
      </c>
      <c r="C1286" s="14" t="s">
        <v>1520</v>
      </c>
      <c r="D1286" s="58"/>
      <c r="E1286" s="58"/>
    </row>
    <row r="1287" spans="1:5" ht="15.75" thickBot="1" x14ac:dyDescent="0.3">
      <c r="A1287" s="15">
        <v>77292</v>
      </c>
      <c r="B1287" s="14" t="s">
        <v>1524</v>
      </c>
      <c r="C1287" s="14" t="s">
        <v>1520</v>
      </c>
      <c r="D1287" s="58"/>
      <c r="E1287" s="58"/>
    </row>
    <row r="1288" spans="1:5" ht="30.75" thickBot="1" x14ac:dyDescent="0.3">
      <c r="A1288" s="15">
        <v>77293</v>
      </c>
      <c r="B1288" s="14" t="s">
        <v>1525</v>
      </c>
      <c r="C1288" s="14" t="s">
        <v>1520</v>
      </c>
      <c r="D1288" s="58"/>
      <c r="E1288" s="58"/>
    </row>
    <row r="1289" spans="1:5" ht="15.75" thickBot="1" x14ac:dyDescent="0.3">
      <c r="A1289" s="15">
        <v>77294</v>
      </c>
      <c r="B1289" s="14" t="s">
        <v>1526</v>
      </c>
      <c r="C1289" s="14" t="s">
        <v>1520</v>
      </c>
      <c r="D1289" s="58"/>
      <c r="E1289" s="58"/>
    </row>
    <row r="1290" spans="1:5" ht="30.75" thickBot="1" x14ac:dyDescent="0.3">
      <c r="A1290" s="15">
        <v>77299</v>
      </c>
      <c r="B1290" s="14" t="s">
        <v>1527</v>
      </c>
      <c r="C1290" s="14" t="s">
        <v>1520</v>
      </c>
      <c r="D1290" s="58"/>
      <c r="E1290" s="58"/>
    </row>
    <row r="1291" spans="1:5" ht="30.75" thickBot="1" x14ac:dyDescent="0.3">
      <c r="A1291" s="15">
        <v>77311</v>
      </c>
      <c r="B1291" s="14" t="s">
        <v>1528</v>
      </c>
      <c r="C1291" s="14" t="s">
        <v>1520</v>
      </c>
      <c r="D1291" s="58"/>
      <c r="E1291" s="58"/>
    </row>
    <row r="1292" spans="1:5" ht="30.75" thickBot="1" x14ac:dyDescent="0.3">
      <c r="A1292" s="15">
        <v>77312</v>
      </c>
      <c r="B1292" s="14" t="s">
        <v>1529</v>
      </c>
      <c r="C1292" s="14" t="s">
        <v>1520</v>
      </c>
      <c r="D1292" s="58"/>
      <c r="E1292" s="58"/>
    </row>
    <row r="1293" spans="1:5" ht="30.75" thickBot="1" x14ac:dyDescent="0.3">
      <c r="A1293" s="15">
        <v>77313</v>
      </c>
      <c r="B1293" s="14" t="s">
        <v>1530</v>
      </c>
      <c r="C1293" s="14" t="s">
        <v>1520</v>
      </c>
      <c r="D1293" s="58"/>
      <c r="E1293" s="58"/>
    </row>
    <row r="1294" spans="1:5" ht="30.75" thickBot="1" x14ac:dyDescent="0.3">
      <c r="A1294" s="15">
        <v>77391</v>
      </c>
      <c r="B1294" s="14" t="s">
        <v>1531</v>
      </c>
      <c r="C1294" s="14" t="s">
        <v>1520</v>
      </c>
      <c r="D1294" s="58"/>
      <c r="E1294" s="58"/>
    </row>
    <row r="1295" spans="1:5" ht="30.75" thickBot="1" x14ac:dyDescent="0.3">
      <c r="A1295" s="15">
        <v>77392</v>
      </c>
      <c r="B1295" s="14" t="s">
        <v>1532</v>
      </c>
      <c r="C1295" s="14" t="s">
        <v>1520</v>
      </c>
      <c r="D1295" s="58"/>
      <c r="E1295" s="58"/>
    </row>
    <row r="1296" spans="1:5" ht="30.75" thickBot="1" x14ac:dyDescent="0.3">
      <c r="A1296" s="15">
        <v>77393</v>
      </c>
      <c r="B1296" s="14" t="s">
        <v>1533</v>
      </c>
      <c r="C1296" s="14" t="s">
        <v>1520</v>
      </c>
      <c r="D1296" s="58"/>
      <c r="E1296" s="58"/>
    </row>
    <row r="1297" spans="1:5" ht="30.75" thickBot="1" x14ac:dyDescent="0.3">
      <c r="A1297" s="15">
        <v>77394</v>
      </c>
      <c r="B1297" s="14" t="s">
        <v>1534</v>
      </c>
      <c r="C1297" s="14" t="s">
        <v>1520</v>
      </c>
      <c r="D1297" s="58"/>
      <c r="E1297" s="58"/>
    </row>
    <row r="1298" spans="1:5" ht="30.75" thickBot="1" x14ac:dyDescent="0.3">
      <c r="A1298" s="15">
        <v>77395</v>
      </c>
      <c r="B1298" s="14" t="s">
        <v>1535</v>
      </c>
      <c r="C1298" s="14" t="s">
        <v>1520</v>
      </c>
      <c r="D1298" s="58"/>
      <c r="E1298" s="58"/>
    </row>
    <row r="1299" spans="1:5" ht="30.75" thickBot="1" x14ac:dyDescent="0.3">
      <c r="A1299" s="15">
        <v>77396</v>
      </c>
      <c r="B1299" s="14" t="s">
        <v>1533</v>
      </c>
      <c r="C1299" s="14" t="s">
        <v>1520</v>
      </c>
      <c r="D1299" s="88" t="s">
        <v>2090</v>
      </c>
      <c r="E1299" s="58"/>
    </row>
    <row r="1300" spans="1:5" ht="30.75" thickBot="1" x14ac:dyDescent="0.3">
      <c r="A1300" s="15">
        <v>77397</v>
      </c>
      <c r="B1300" s="14" t="s">
        <v>1536</v>
      </c>
      <c r="C1300" s="14" t="s">
        <v>1520</v>
      </c>
      <c r="D1300" s="58"/>
      <c r="E1300" s="58"/>
    </row>
    <row r="1301" spans="1:5" ht="30.75" thickBot="1" x14ac:dyDescent="0.3">
      <c r="A1301" s="15">
        <v>77399</v>
      </c>
      <c r="B1301" s="14" t="s">
        <v>1537</v>
      </c>
      <c r="C1301" s="14" t="s">
        <v>1520</v>
      </c>
      <c r="D1301" s="58"/>
      <c r="E1301" s="58"/>
    </row>
    <row r="1302" spans="1:5" ht="30.75" thickBot="1" x14ac:dyDescent="0.3">
      <c r="A1302" s="15">
        <v>77400</v>
      </c>
      <c r="B1302" s="14" t="s">
        <v>1538</v>
      </c>
      <c r="C1302" s="14" t="s">
        <v>1520</v>
      </c>
      <c r="D1302" s="58"/>
      <c r="E1302" s="58"/>
    </row>
    <row r="1303" spans="1:5" ht="30.75" thickBot="1" x14ac:dyDescent="0.3">
      <c r="A1303" s="15">
        <v>77510</v>
      </c>
      <c r="B1303" s="14" t="s">
        <v>1539</v>
      </c>
      <c r="C1303" s="14" t="s">
        <v>1520</v>
      </c>
      <c r="D1303" s="88" t="s">
        <v>2090</v>
      </c>
      <c r="E1303" s="58"/>
    </row>
    <row r="1304" spans="1:5" ht="30.75" thickBot="1" x14ac:dyDescent="0.3">
      <c r="A1304" s="15">
        <v>77520</v>
      </c>
      <c r="B1304" s="14" t="s">
        <v>1539</v>
      </c>
      <c r="C1304" s="14" t="s">
        <v>1520</v>
      </c>
      <c r="D1304" s="88" t="s">
        <v>2090</v>
      </c>
      <c r="E1304" s="58"/>
    </row>
    <row r="1305" spans="1:5" ht="30.75" thickBot="1" x14ac:dyDescent="0.3">
      <c r="A1305" s="15">
        <v>78101</v>
      </c>
      <c r="B1305" s="14" t="s">
        <v>1540</v>
      </c>
      <c r="C1305" s="14" t="s">
        <v>1520</v>
      </c>
      <c r="D1305" s="58"/>
      <c r="E1305" s="58"/>
    </row>
    <row r="1306" spans="1:5" ht="15.75" thickBot="1" x14ac:dyDescent="0.3">
      <c r="A1306" s="15">
        <v>78102</v>
      </c>
      <c r="B1306" s="14" t="s">
        <v>1541</v>
      </c>
      <c r="C1306" s="14" t="s">
        <v>1520</v>
      </c>
      <c r="D1306" s="58"/>
      <c r="E1306" s="58"/>
    </row>
    <row r="1307" spans="1:5" ht="30.75" thickBot="1" x14ac:dyDescent="0.3">
      <c r="A1307" s="15">
        <v>78103</v>
      </c>
      <c r="B1307" s="14" t="s">
        <v>1542</v>
      </c>
      <c r="C1307" s="14" t="s">
        <v>1520</v>
      </c>
      <c r="D1307" s="58"/>
      <c r="E1307" s="58"/>
    </row>
    <row r="1308" spans="1:5" ht="15.75" thickBot="1" x14ac:dyDescent="0.3">
      <c r="A1308" s="15">
        <v>78104</v>
      </c>
      <c r="B1308" s="14" t="s">
        <v>1543</v>
      </c>
      <c r="C1308" s="14" t="s">
        <v>1520</v>
      </c>
      <c r="D1308" s="58"/>
      <c r="E1308" s="58"/>
    </row>
    <row r="1309" spans="1:5" ht="30.75" thickBot="1" x14ac:dyDescent="0.3">
      <c r="A1309" s="15">
        <v>78105</v>
      </c>
      <c r="B1309" s="14" t="s">
        <v>1544</v>
      </c>
      <c r="C1309" s="14" t="s">
        <v>1520</v>
      </c>
      <c r="D1309" s="58"/>
      <c r="E1309" s="58"/>
    </row>
    <row r="1310" spans="1:5" ht="15.75" thickBot="1" x14ac:dyDescent="0.3">
      <c r="A1310" s="15">
        <v>78109</v>
      </c>
      <c r="B1310" s="14" t="s">
        <v>1545</v>
      </c>
      <c r="C1310" s="14" t="s">
        <v>1520</v>
      </c>
      <c r="D1310" s="58"/>
      <c r="E1310" s="58"/>
    </row>
    <row r="1311" spans="1:5" ht="30.75" thickBot="1" x14ac:dyDescent="0.3">
      <c r="A1311" s="15">
        <v>78200</v>
      </c>
      <c r="B1311" s="14" t="s">
        <v>1546</v>
      </c>
      <c r="C1311" s="14" t="s">
        <v>1520</v>
      </c>
      <c r="D1311" s="58"/>
      <c r="E1311" s="58"/>
    </row>
    <row r="1312" spans="1:5" ht="15.75" thickBot="1" x14ac:dyDescent="0.3">
      <c r="A1312" s="15">
        <v>79110</v>
      </c>
      <c r="B1312" s="14" t="s">
        <v>1547</v>
      </c>
      <c r="C1312" s="14" t="s">
        <v>1520</v>
      </c>
      <c r="D1312" s="58"/>
      <c r="E1312" s="58"/>
    </row>
    <row r="1313" spans="1:5" ht="15.75" thickBot="1" x14ac:dyDescent="0.3">
      <c r="A1313" s="15">
        <v>79121</v>
      </c>
      <c r="B1313" s="14" t="s">
        <v>1548</v>
      </c>
      <c r="C1313" s="14" t="s">
        <v>1520</v>
      </c>
      <c r="D1313" s="58"/>
      <c r="E1313" s="58"/>
    </row>
    <row r="1314" spans="1:5" ht="30.75" thickBot="1" x14ac:dyDescent="0.3">
      <c r="A1314" s="15">
        <v>79122</v>
      </c>
      <c r="B1314" s="14" t="s">
        <v>1549</v>
      </c>
      <c r="C1314" s="14" t="s">
        <v>1520</v>
      </c>
      <c r="D1314" s="58"/>
      <c r="E1314" s="58"/>
    </row>
    <row r="1315" spans="1:5" ht="15.75" thickBot="1" x14ac:dyDescent="0.3">
      <c r="A1315" s="15">
        <v>79129</v>
      </c>
      <c r="B1315" s="14" t="s">
        <v>1550</v>
      </c>
      <c r="C1315" s="14" t="s">
        <v>1520</v>
      </c>
      <c r="D1315" s="58"/>
      <c r="E1315" s="58"/>
    </row>
    <row r="1316" spans="1:5" ht="15.75" thickBot="1" x14ac:dyDescent="0.3">
      <c r="A1316" s="15">
        <v>79901</v>
      </c>
      <c r="B1316" s="14" t="s">
        <v>1551</v>
      </c>
      <c r="C1316" s="14" t="s">
        <v>1520</v>
      </c>
      <c r="D1316" s="58"/>
      <c r="E1316" s="58"/>
    </row>
    <row r="1317" spans="1:5" ht="15.75" thickBot="1" x14ac:dyDescent="0.3">
      <c r="A1317" s="15">
        <v>79902</v>
      </c>
      <c r="B1317" s="14" t="s">
        <v>1552</v>
      </c>
      <c r="C1317" s="14" t="s">
        <v>1520</v>
      </c>
      <c r="D1317" s="58"/>
      <c r="E1317" s="58"/>
    </row>
    <row r="1318" spans="1:5" ht="15.75" thickBot="1" x14ac:dyDescent="0.3">
      <c r="A1318" s="15">
        <v>79903</v>
      </c>
      <c r="B1318" s="14" t="s">
        <v>1553</v>
      </c>
      <c r="C1318" s="14" t="s">
        <v>1520</v>
      </c>
      <c r="D1318" s="58"/>
      <c r="E1318" s="58"/>
    </row>
    <row r="1319" spans="1:5" ht="15.75" thickBot="1" x14ac:dyDescent="0.3">
      <c r="A1319" s="15">
        <v>79909</v>
      </c>
      <c r="B1319" s="14" t="s">
        <v>1554</v>
      </c>
      <c r="C1319" s="14" t="s">
        <v>1520</v>
      </c>
      <c r="D1319" s="58"/>
      <c r="E1319" s="58"/>
    </row>
    <row r="1320" spans="1:5" ht="15.75" thickBot="1" x14ac:dyDescent="0.3">
      <c r="A1320" s="15">
        <v>80110</v>
      </c>
      <c r="B1320" s="14" t="s">
        <v>1555</v>
      </c>
      <c r="C1320" s="14" t="s">
        <v>1520</v>
      </c>
      <c r="D1320" s="58"/>
      <c r="E1320" s="58"/>
    </row>
    <row r="1321" spans="1:5" ht="15.75" thickBot="1" x14ac:dyDescent="0.3">
      <c r="A1321" s="15">
        <v>80190</v>
      </c>
      <c r="B1321" s="14" t="s">
        <v>1556</v>
      </c>
      <c r="C1321" s="14" t="s">
        <v>1520</v>
      </c>
      <c r="D1321" s="58"/>
      <c r="E1321" s="58"/>
    </row>
    <row r="1322" spans="1:5" ht="30.75" thickBot="1" x14ac:dyDescent="0.3">
      <c r="A1322" s="15">
        <v>81100</v>
      </c>
      <c r="B1322" s="14" t="s">
        <v>1557</v>
      </c>
      <c r="C1322" s="14" t="s">
        <v>1520</v>
      </c>
      <c r="D1322" s="58"/>
      <c r="E1322" s="58"/>
    </row>
    <row r="1323" spans="1:5" ht="15.75" thickBot="1" x14ac:dyDescent="0.3">
      <c r="A1323" s="15">
        <v>81210</v>
      </c>
      <c r="B1323" s="14" t="s">
        <v>1558</v>
      </c>
      <c r="C1323" s="14" t="s">
        <v>1520</v>
      </c>
      <c r="D1323" s="58"/>
      <c r="E1323" s="58"/>
    </row>
    <row r="1324" spans="1:5" ht="15.75" thickBot="1" x14ac:dyDescent="0.3">
      <c r="A1324" s="15">
        <v>81290</v>
      </c>
      <c r="B1324" s="14" t="s">
        <v>1559</v>
      </c>
      <c r="C1324" s="14" t="s">
        <v>1520</v>
      </c>
      <c r="D1324" s="58"/>
      <c r="E1324" s="58"/>
    </row>
    <row r="1325" spans="1:5" ht="15.75" thickBot="1" x14ac:dyDescent="0.3">
      <c r="A1325" s="15">
        <v>81300</v>
      </c>
      <c r="B1325" s="14" t="s">
        <v>1560</v>
      </c>
      <c r="C1325" s="14" t="s">
        <v>1520</v>
      </c>
      <c r="D1325" s="58"/>
      <c r="E1325" s="58"/>
    </row>
    <row r="1326" spans="1:5" ht="30.75" thickBot="1" x14ac:dyDescent="0.3">
      <c r="A1326" s="15">
        <v>82100</v>
      </c>
      <c r="B1326" s="14" t="s">
        <v>1561</v>
      </c>
      <c r="C1326" s="14" t="s">
        <v>1520</v>
      </c>
      <c r="D1326" s="58"/>
      <c r="E1326" s="58"/>
    </row>
    <row r="1327" spans="1:5" ht="15.75" thickBot="1" x14ac:dyDescent="0.3">
      <c r="A1327" s="15">
        <v>82200</v>
      </c>
      <c r="B1327" s="14" t="s">
        <v>1562</v>
      </c>
      <c r="C1327" s="14" t="s">
        <v>1520</v>
      </c>
      <c r="D1327" s="58"/>
      <c r="E1327" s="58"/>
    </row>
    <row r="1328" spans="1:5" ht="15.75" thickBot="1" x14ac:dyDescent="0.3">
      <c r="A1328" s="15">
        <v>82300</v>
      </c>
      <c r="B1328" s="14" t="s">
        <v>1563</v>
      </c>
      <c r="C1328" s="14" t="s">
        <v>1520</v>
      </c>
      <c r="D1328" s="58"/>
      <c r="E1328" s="58"/>
    </row>
    <row r="1329" spans="1:5" ht="30.75" thickBot="1" x14ac:dyDescent="0.3">
      <c r="A1329" s="15">
        <v>82400</v>
      </c>
      <c r="B1329" s="14" t="s">
        <v>1564</v>
      </c>
      <c r="C1329" s="14" t="s">
        <v>1520</v>
      </c>
      <c r="D1329" s="88" t="s">
        <v>2090</v>
      </c>
      <c r="E1329" s="58"/>
    </row>
    <row r="1330" spans="1:5" ht="15.75" thickBot="1" x14ac:dyDescent="0.3">
      <c r="A1330" s="15">
        <v>82911</v>
      </c>
      <c r="B1330" s="14" t="s">
        <v>1565</v>
      </c>
      <c r="C1330" s="14" t="s">
        <v>1520</v>
      </c>
      <c r="D1330" s="58"/>
      <c r="E1330" s="58"/>
    </row>
    <row r="1331" spans="1:5" ht="15.75" thickBot="1" x14ac:dyDescent="0.3">
      <c r="A1331" s="15">
        <v>82912</v>
      </c>
      <c r="B1331" s="14" t="s">
        <v>1566</v>
      </c>
      <c r="C1331" s="14" t="s">
        <v>1520</v>
      </c>
      <c r="D1331" s="58"/>
      <c r="E1331" s="58"/>
    </row>
    <row r="1332" spans="1:5" ht="30.75" thickBot="1" x14ac:dyDescent="0.3">
      <c r="A1332" s="15">
        <v>82921</v>
      </c>
      <c r="B1332" s="14" t="s">
        <v>1567</v>
      </c>
      <c r="C1332" s="14" t="s">
        <v>1520</v>
      </c>
      <c r="D1332" s="58"/>
      <c r="E1332" s="58"/>
    </row>
    <row r="1333" spans="1:5" ht="30.75" thickBot="1" x14ac:dyDescent="0.3">
      <c r="A1333" s="15">
        <v>82922</v>
      </c>
      <c r="B1333" s="14" t="s">
        <v>1568</v>
      </c>
      <c r="C1333" s="14" t="s">
        <v>1520</v>
      </c>
      <c r="D1333" s="58"/>
      <c r="E1333" s="58"/>
    </row>
    <row r="1334" spans="1:5" ht="15.75" thickBot="1" x14ac:dyDescent="0.3">
      <c r="A1334" s="15">
        <v>82923</v>
      </c>
      <c r="B1334" s="14" t="s">
        <v>1569</v>
      </c>
      <c r="C1334" s="14" t="s">
        <v>1520</v>
      </c>
      <c r="D1334" s="58"/>
      <c r="E1334" s="58"/>
    </row>
    <row r="1335" spans="1:5" ht="15.75" thickBot="1" x14ac:dyDescent="0.3">
      <c r="A1335" s="15">
        <v>82924</v>
      </c>
      <c r="B1335" s="14" t="s">
        <v>1570</v>
      </c>
      <c r="C1335" s="14" t="s">
        <v>1520</v>
      </c>
      <c r="D1335" s="58"/>
      <c r="E1335" s="58"/>
    </row>
    <row r="1336" spans="1:5" ht="30.75" thickBot="1" x14ac:dyDescent="0.3">
      <c r="A1336" s="15">
        <v>82925</v>
      </c>
      <c r="B1336" s="14" t="s">
        <v>1571</v>
      </c>
      <c r="C1336" s="14" t="s">
        <v>1520</v>
      </c>
      <c r="D1336" s="58"/>
      <c r="E1336" s="58"/>
    </row>
    <row r="1337" spans="1:5" ht="15.75" thickBot="1" x14ac:dyDescent="0.3">
      <c r="A1337" s="15">
        <v>82929</v>
      </c>
      <c r="B1337" s="14" t="s">
        <v>1572</v>
      </c>
      <c r="C1337" s="14" t="s">
        <v>1520</v>
      </c>
      <c r="D1337" s="58"/>
      <c r="E1337" s="58"/>
    </row>
    <row r="1338" spans="1:5" ht="15.75" thickBot="1" x14ac:dyDescent="0.3">
      <c r="A1338" s="15">
        <v>82990</v>
      </c>
      <c r="B1338" s="14" t="s">
        <v>1573</v>
      </c>
      <c r="C1338" s="14" t="s">
        <v>1520</v>
      </c>
      <c r="D1338" s="58"/>
      <c r="E1338" s="58"/>
    </row>
    <row r="1339" spans="1:5" ht="15.75" thickBot="1" x14ac:dyDescent="0.3">
      <c r="A1339" s="15">
        <v>84111</v>
      </c>
      <c r="B1339" s="14" t="s">
        <v>1575</v>
      </c>
      <c r="C1339" s="14" t="s">
        <v>1574</v>
      </c>
      <c r="D1339" s="58"/>
      <c r="E1339" s="58"/>
    </row>
    <row r="1340" spans="1:5" ht="30.75" thickBot="1" x14ac:dyDescent="0.3">
      <c r="A1340" s="15">
        <v>84112</v>
      </c>
      <c r="B1340" s="14" t="s">
        <v>1576</v>
      </c>
      <c r="C1340" s="14" t="s">
        <v>1574</v>
      </c>
      <c r="D1340" s="58"/>
      <c r="E1340" s="58"/>
    </row>
    <row r="1341" spans="1:5" ht="30.75" thickBot="1" x14ac:dyDescent="0.3">
      <c r="A1341" s="15">
        <v>84113</v>
      </c>
      <c r="B1341" s="14" t="s">
        <v>1577</v>
      </c>
      <c r="C1341" s="14" t="s">
        <v>1574</v>
      </c>
      <c r="D1341" s="58"/>
      <c r="E1341" s="58"/>
    </row>
    <row r="1342" spans="1:5" ht="15.75" thickBot="1" x14ac:dyDescent="0.3">
      <c r="A1342" s="15">
        <v>84114</v>
      </c>
      <c r="B1342" s="14" t="s">
        <v>1578</v>
      </c>
      <c r="C1342" s="14" t="s">
        <v>1574</v>
      </c>
      <c r="D1342" s="58"/>
      <c r="E1342" s="58"/>
    </row>
    <row r="1343" spans="1:5" ht="30.75" thickBot="1" x14ac:dyDescent="0.3">
      <c r="A1343" s="15">
        <v>84115</v>
      </c>
      <c r="B1343" s="14" t="s">
        <v>1579</v>
      </c>
      <c r="C1343" s="14" t="s">
        <v>1574</v>
      </c>
      <c r="D1343" s="58"/>
      <c r="E1343" s="58"/>
    </row>
    <row r="1344" spans="1:5" ht="15.75" thickBot="1" x14ac:dyDescent="0.3">
      <c r="A1344" s="15">
        <v>84119</v>
      </c>
      <c r="B1344" s="14" t="s">
        <v>1580</v>
      </c>
      <c r="C1344" s="14" t="s">
        <v>1574</v>
      </c>
      <c r="D1344" s="58"/>
      <c r="E1344" s="58"/>
    </row>
    <row r="1345" spans="1:5" ht="30.75" thickBot="1" x14ac:dyDescent="0.3">
      <c r="A1345" s="15">
        <v>84121</v>
      </c>
      <c r="B1345" s="14" t="s">
        <v>1581</v>
      </c>
      <c r="C1345" s="14" t="s">
        <v>1574</v>
      </c>
      <c r="D1345" s="58"/>
      <c r="E1345" s="58"/>
    </row>
    <row r="1346" spans="1:5" ht="30.75" thickBot="1" x14ac:dyDescent="0.3">
      <c r="A1346" s="15">
        <v>84122</v>
      </c>
      <c r="B1346" s="14" t="s">
        <v>1582</v>
      </c>
      <c r="C1346" s="14" t="s">
        <v>1574</v>
      </c>
      <c r="D1346" s="58"/>
      <c r="E1346" s="58"/>
    </row>
    <row r="1347" spans="1:5" ht="30.75" thickBot="1" x14ac:dyDescent="0.3">
      <c r="A1347" s="15">
        <v>84123</v>
      </c>
      <c r="B1347" s="14" t="s">
        <v>1583</v>
      </c>
      <c r="C1347" s="14" t="s">
        <v>1574</v>
      </c>
      <c r="D1347" s="58"/>
      <c r="E1347" s="58"/>
    </row>
    <row r="1348" spans="1:5" ht="30.75" thickBot="1" x14ac:dyDescent="0.3">
      <c r="A1348" s="15">
        <v>84124</v>
      </c>
      <c r="B1348" s="14" t="s">
        <v>1584</v>
      </c>
      <c r="C1348" s="14" t="s">
        <v>1574</v>
      </c>
      <c r="D1348" s="58"/>
      <c r="E1348" s="58"/>
    </row>
    <row r="1349" spans="1:5" ht="30.75" thickBot="1" x14ac:dyDescent="0.3">
      <c r="A1349" s="15">
        <v>84125</v>
      </c>
      <c r="B1349" s="14" t="s">
        <v>1585</v>
      </c>
      <c r="C1349" s="14" t="s">
        <v>1574</v>
      </c>
      <c r="D1349" s="58"/>
      <c r="E1349" s="58"/>
    </row>
    <row r="1350" spans="1:5" ht="15.75" thickBot="1" x14ac:dyDescent="0.3">
      <c r="A1350" s="15">
        <v>84126</v>
      </c>
      <c r="B1350" s="14" t="s">
        <v>1586</v>
      </c>
      <c r="C1350" s="14" t="s">
        <v>1574</v>
      </c>
      <c r="D1350" s="58"/>
      <c r="E1350" s="58"/>
    </row>
    <row r="1351" spans="1:5" ht="30.75" thickBot="1" x14ac:dyDescent="0.3">
      <c r="A1351" s="15">
        <v>84129</v>
      </c>
      <c r="B1351" s="14" t="s">
        <v>1587</v>
      </c>
      <c r="C1351" s="14" t="s">
        <v>1574</v>
      </c>
      <c r="D1351" s="58"/>
      <c r="E1351" s="58"/>
    </row>
    <row r="1352" spans="1:5" ht="30.75" thickBot="1" x14ac:dyDescent="0.3">
      <c r="A1352" s="15">
        <v>84130</v>
      </c>
      <c r="B1352" s="14" t="s">
        <v>1588</v>
      </c>
      <c r="C1352" s="14" t="s">
        <v>1574</v>
      </c>
      <c r="D1352" s="58"/>
      <c r="E1352" s="58"/>
    </row>
    <row r="1353" spans="1:5" ht="30.75" thickBot="1" x14ac:dyDescent="0.3">
      <c r="A1353" s="15">
        <v>84141</v>
      </c>
      <c r="B1353" s="14" t="s">
        <v>1589</v>
      </c>
      <c r="C1353" s="14" t="s">
        <v>1574</v>
      </c>
      <c r="D1353" s="58"/>
      <c r="E1353" s="58"/>
    </row>
    <row r="1354" spans="1:5" ht="30.75" thickBot="1" x14ac:dyDescent="0.3">
      <c r="A1354" s="15">
        <v>84142</v>
      </c>
      <c r="B1354" s="14" t="s">
        <v>1590</v>
      </c>
      <c r="C1354" s="14" t="s">
        <v>1574</v>
      </c>
      <c r="D1354" s="58"/>
      <c r="E1354" s="58"/>
    </row>
    <row r="1355" spans="1:5" ht="30.75" thickBot="1" x14ac:dyDescent="0.3">
      <c r="A1355" s="15">
        <v>84143</v>
      </c>
      <c r="B1355" s="14" t="s">
        <v>1591</v>
      </c>
      <c r="C1355" s="14" t="s">
        <v>1574</v>
      </c>
      <c r="D1355" s="58"/>
      <c r="E1355" s="58"/>
    </row>
    <row r="1356" spans="1:5" ht="30.75" thickBot="1" x14ac:dyDescent="0.3">
      <c r="A1356" s="15">
        <v>84144</v>
      </c>
      <c r="B1356" s="14" t="s">
        <v>1592</v>
      </c>
      <c r="C1356" s="14" t="s">
        <v>1574</v>
      </c>
      <c r="D1356" s="58"/>
      <c r="E1356" s="58"/>
    </row>
    <row r="1357" spans="1:5" ht="30.75" thickBot="1" x14ac:dyDescent="0.3">
      <c r="A1357" s="15">
        <v>84145</v>
      </c>
      <c r="B1357" s="14" t="s">
        <v>1593</v>
      </c>
      <c r="C1357" s="14" t="s">
        <v>1574</v>
      </c>
      <c r="D1357" s="58"/>
      <c r="E1357" s="58"/>
    </row>
    <row r="1358" spans="1:5" ht="30.75" thickBot="1" x14ac:dyDescent="0.3">
      <c r="A1358" s="15">
        <v>84146</v>
      </c>
      <c r="B1358" s="14" t="s">
        <v>1594</v>
      </c>
      <c r="C1358" s="14" t="s">
        <v>1574</v>
      </c>
      <c r="D1358" s="58"/>
      <c r="E1358" s="58"/>
    </row>
    <row r="1359" spans="1:5" ht="30.75" thickBot="1" x14ac:dyDescent="0.3">
      <c r="A1359" s="15">
        <v>84147</v>
      </c>
      <c r="B1359" s="14" t="s">
        <v>1595</v>
      </c>
      <c r="C1359" s="14" t="s">
        <v>1574</v>
      </c>
      <c r="D1359" s="58"/>
      <c r="E1359" s="58"/>
    </row>
    <row r="1360" spans="1:5" ht="30.75" thickBot="1" x14ac:dyDescent="0.3">
      <c r="A1360" s="15">
        <v>84148</v>
      </c>
      <c r="B1360" s="14" t="s">
        <v>1596</v>
      </c>
      <c r="C1360" s="14" t="s">
        <v>1574</v>
      </c>
      <c r="D1360" s="58"/>
      <c r="E1360" s="58"/>
    </row>
    <row r="1361" spans="1:5" ht="30.75" thickBot="1" x14ac:dyDescent="0.3">
      <c r="A1361" s="15">
        <v>84149</v>
      </c>
      <c r="B1361" s="14" t="s">
        <v>1597</v>
      </c>
      <c r="C1361" s="14" t="s">
        <v>1574</v>
      </c>
      <c r="D1361" s="58"/>
      <c r="E1361" s="58"/>
    </row>
    <row r="1362" spans="1:5" ht="15.75" thickBot="1" x14ac:dyDescent="0.3">
      <c r="A1362" s="15">
        <v>84210</v>
      </c>
      <c r="B1362" s="14" t="s">
        <v>1598</v>
      </c>
      <c r="C1362" s="14" t="s">
        <v>1574</v>
      </c>
      <c r="D1362" s="58"/>
      <c r="E1362" s="58"/>
    </row>
    <row r="1363" spans="1:5" ht="15.75" thickBot="1" x14ac:dyDescent="0.3">
      <c r="A1363" s="15">
        <v>84221</v>
      </c>
      <c r="B1363" s="14" t="s">
        <v>1599</v>
      </c>
      <c r="C1363" s="14" t="s">
        <v>1574</v>
      </c>
      <c r="D1363" s="58"/>
      <c r="E1363" s="58"/>
    </row>
    <row r="1364" spans="1:5" ht="15.75" thickBot="1" x14ac:dyDescent="0.3">
      <c r="A1364" s="15">
        <v>84222</v>
      </c>
      <c r="B1364" s="14" t="s">
        <v>1600</v>
      </c>
      <c r="C1364" s="14" t="s">
        <v>1574</v>
      </c>
      <c r="D1364" s="58"/>
      <c r="E1364" s="58"/>
    </row>
    <row r="1365" spans="1:5" ht="15.75" thickBot="1" x14ac:dyDescent="0.3">
      <c r="A1365" s="15">
        <v>84223</v>
      </c>
      <c r="B1365" s="14" t="s">
        <v>1601</v>
      </c>
      <c r="C1365" s="14" t="s">
        <v>1574</v>
      </c>
      <c r="D1365" s="58"/>
      <c r="E1365" s="58"/>
    </row>
    <row r="1366" spans="1:5" ht="15.75" thickBot="1" x14ac:dyDescent="0.3">
      <c r="A1366" s="15">
        <v>84224</v>
      </c>
      <c r="B1366" s="14" t="s">
        <v>1602</v>
      </c>
      <c r="C1366" s="14" t="s">
        <v>1574</v>
      </c>
      <c r="D1366" s="58"/>
      <c r="E1366" s="58"/>
    </row>
    <row r="1367" spans="1:5" ht="15.75" thickBot="1" x14ac:dyDescent="0.3">
      <c r="A1367" s="15">
        <v>84231</v>
      </c>
      <c r="B1367" s="14" t="s">
        <v>1603</v>
      </c>
      <c r="C1367" s="14" t="s">
        <v>1574</v>
      </c>
      <c r="D1367" s="58"/>
      <c r="E1367" s="58"/>
    </row>
    <row r="1368" spans="1:5" ht="15.75" thickBot="1" x14ac:dyDescent="0.3">
      <c r="A1368" s="15">
        <v>84232</v>
      </c>
      <c r="B1368" s="14" t="s">
        <v>1604</v>
      </c>
      <c r="C1368" s="14" t="s">
        <v>1574</v>
      </c>
      <c r="D1368" s="58"/>
      <c r="E1368" s="58"/>
    </row>
    <row r="1369" spans="1:5" ht="15.75" thickBot="1" x14ac:dyDescent="0.3">
      <c r="A1369" s="15">
        <v>84233</v>
      </c>
      <c r="B1369" s="14" t="s">
        <v>1605</v>
      </c>
      <c r="C1369" s="14" t="s">
        <v>1574</v>
      </c>
      <c r="D1369" s="58"/>
      <c r="E1369" s="58"/>
    </row>
    <row r="1370" spans="1:5" ht="30.75" thickBot="1" x14ac:dyDescent="0.3">
      <c r="A1370" s="15">
        <v>84234</v>
      </c>
      <c r="B1370" s="14" t="s">
        <v>1606</v>
      </c>
      <c r="C1370" s="14" t="s">
        <v>1574</v>
      </c>
      <c r="D1370" s="58"/>
      <c r="E1370" s="58"/>
    </row>
    <row r="1371" spans="1:5" ht="15.75" thickBot="1" x14ac:dyDescent="0.3">
      <c r="A1371" s="15">
        <v>84300</v>
      </c>
      <c r="B1371" s="14" t="s">
        <v>1607</v>
      </c>
      <c r="C1371" s="14" t="s">
        <v>1574</v>
      </c>
      <c r="D1371" s="58"/>
      <c r="E1371" s="58"/>
    </row>
    <row r="1372" spans="1:5" ht="30.75" thickBot="1" x14ac:dyDescent="0.3">
      <c r="A1372" s="17">
        <v>85101</v>
      </c>
      <c r="B1372" s="14" t="s">
        <v>47</v>
      </c>
      <c r="C1372" s="14" t="s">
        <v>46</v>
      </c>
      <c r="D1372" s="58"/>
      <c r="E1372" s="58"/>
    </row>
    <row r="1373" spans="1:5" ht="15.75" thickBot="1" x14ac:dyDescent="0.3">
      <c r="A1373" s="17">
        <v>85102</v>
      </c>
      <c r="B1373" s="14" t="s">
        <v>48</v>
      </c>
      <c r="C1373" s="14" t="s">
        <v>46</v>
      </c>
      <c r="D1373" s="58"/>
      <c r="E1373" s="58"/>
    </row>
    <row r="1374" spans="1:5" ht="15.75" thickBot="1" x14ac:dyDescent="0.3">
      <c r="A1374" s="17">
        <v>85103</v>
      </c>
      <c r="B1374" s="14" t="s">
        <v>49</v>
      </c>
      <c r="C1374" s="14" t="s">
        <v>46</v>
      </c>
      <c r="D1374" s="58"/>
      <c r="E1374" s="58"/>
    </row>
    <row r="1375" spans="1:5" ht="30.75" thickBot="1" x14ac:dyDescent="0.3">
      <c r="A1375" s="17">
        <v>85104</v>
      </c>
      <c r="B1375" s="14" t="s">
        <v>50</v>
      </c>
      <c r="C1375" s="14" t="s">
        <v>46</v>
      </c>
      <c r="D1375" s="58"/>
      <c r="E1375" s="58"/>
    </row>
    <row r="1376" spans="1:5" ht="15.75" thickBot="1" x14ac:dyDescent="0.3">
      <c r="A1376" s="15">
        <v>85201</v>
      </c>
      <c r="B1376" s="14" t="s">
        <v>51</v>
      </c>
      <c r="C1376" s="14" t="s">
        <v>46</v>
      </c>
      <c r="D1376" s="58"/>
      <c r="E1376" s="58"/>
    </row>
    <row r="1377" spans="1:5" ht="15.75" thickBot="1" x14ac:dyDescent="0.3">
      <c r="A1377" s="15">
        <v>85202</v>
      </c>
      <c r="B1377" s="14" t="s">
        <v>52</v>
      </c>
      <c r="C1377" s="14" t="s">
        <v>46</v>
      </c>
      <c r="D1377" s="58"/>
      <c r="E1377" s="58"/>
    </row>
    <row r="1378" spans="1:5" ht="15.75" thickBot="1" x14ac:dyDescent="0.3">
      <c r="A1378" s="15">
        <v>85203</v>
      </c>
      <c r="B1378" s="14" t="s">
        <v>53</v>
      </c>
      <c r="C1378" s="14" t="s">
        <v>46</v>
      </c>
      <c r="D1378" s="58"/>
      <c r="E1378" s="58"/>
    </row>
    <row r="1379" spans="1:5" ht="30.75" thickBot="1" x14ac:dyDescent="0.3">
      <c r="A1379" s="15">
        <v>85204</v>
      </c>
      <c r="B1379" s="14" t="s">
        <v>54</v>
      </c>
      <c r="C1379" s="14" t="s">
        <v>46</v>
      </c>
      <c r="D1379" s="58"/>
      <c r="E1379" s="58"/>
    </row>
    <row r="1380" spans="1:5" ht="30.75" thickBot="1" x14ac:dyDescent="0.3">
      <c r="A1380" s="15">
        <v>85311</v>
      </c>
      <c r="B1380" s="14" t="s">
        <v>55</v>
      </c>
      <c r="C1380" s="14" t="s">
        <v>46</v>
      </c>
      <c r="D1380" s="58"/>
      <c r="E1380" s="58"/>
    </row>
    <row r="1381" spans="1:5" ht="15.75" thickBot="1" x14ac:dyDescent="0.3">
      <c r="A1381" s="15">
        <v>85312</v>
      </c>
      <c r="B1381" s="14" t="s">
        <v>56</v>
      </c>
      <c r="C1381" s="14" t="s">
        <v>46</v>
      </c>
      <c r="D1381" s="58"/>
      <c r="E1381" s="58"/>
    </row>
    <row r="1382" spans="1:5" ht="30.75" thickBot="1" x14ac:dyDescent="0.3">
      <c r="A1382" s="15">
        <v>85313</v>
      </c>
      <c r="B1382" s="14" t="s">
        <v>57</v>
      </c>
      <c r="C1382" s="14" t="s">
        <v>46</v>
      </c>
      <c r="D1382" s="58"/>
      <c r="E1382" s="58"/>
    </row>
    <row r="1383" spans="1:5" ht="30.75" thickBot="1" x14ac:dyDescent="0.3">
      <c r="A1383" s="15">
        <v>85314</v>
      </c>
      <c r="B1383" s="14" t="s">
        <v>58</v>
      </c>
      <c r="C1383" s="14" t="s">
        <v>46</v>
      </c>
      <c r="D1383" s="58"/>
      <c r="E1383" s="58"/>
    </row>
    <row r="1384" spans="1:5" ht="15.75" thickBot="1" x14ac:dyDescent="0.3">
      <c r="A1384" s="15">
        <v>85315</v>
      </c>
      <c r="B1384" s="14" t="s">
        <v>59</v>
      </c>
      <c r="C1384" s="14" t="s">
        <v>46</v>
      </c>
      <c r="D1384" s="58"/>
      <c r="E1384" s="58"/>
    </row>
    <row r="1385" spans="1:5" ht="15.75" thickBot="1" x14ac:dyDescent="0.3">
      <c r="A1385" s="15">
        <v>85316</v>
      </c>
      <c r="B1385" s="14" t="s">
        <v>60</v>
      </c>
      <c r="C1385" s="14" t="s">
        <v>46</v>
      </c>
      <c r="D1385" s="58"/>
      <c r="E1385" s="58"/>
    </row>
    <row r="1386" spans="1:5" ht="15.75" thickBot="1" x14ac:dyDescent="0.3">
      <c r="A1386" s="15">
        <v>85317</v>
      </c>
      <c r="B1386" s="14" t="s">
        <v>61</v>
      </c>
      <c r="C1386" s="14" t="s">
        <v>46</v>
      </c>
      <c r="D1386" s="58"/>
      <c r="E1386" s="58"/>
    </row>
    <row r="1387" spans="1:5" ht="30.75" thickBot="1" x14ac:dyDescent="0.3">
      <c r="A1387" s="15">
        <v>85318</v>
      </c>
      <c r="B1387" s="14" t="s">
        <v>62</v>
      </c>
      <c r="C1387" s="14" t="s">
        <v>46</v>
      </c>
      <c r="D1387" s="58"/>
      <c r="E1387" s="58"/>
    </row>
    <row r="1388" spans="1:5" ht="30.75" thickBot="1" x14ac:dyDescent="0.3">
      <c r="A1388" s="15">
        <v>85321</v>
      </c>
      <c r="B1388" s="14" t="s">
        <v>63</v>
      </c>
      <c r="C1388" s="14" t="s">
        <v>46</v>
      </c>
      <c r="D1388" s="58"/>
      <c r="E1388" s="58"/>
    </row>
    <row r="1389" spans="1:5" ht="15.75" thickBot="1" x14ac:dyDescent="0.3">
      <c r="A1389" s="15">
        <v>85322</v>
      </c>
      <c r="B1389" s="14" t="s">
        <v>64</v>
      </c>
      <c r="C1389" s="14" t="s">
        <v>46</v>
      </c>
      <c r="D1389" s="58"/>
      <c r="E1389" s="58"/>
    </row>
    <row r="1390" spans="1:5" ht="30.75" thickBot="1" x14ac:dyDescent="0.3">
      <c r="A1390" s="15">
        <v>85323</v>
      </c>
      <c r="B1390" s="14" t="s">
        <v>1608</v>
      </c>
      <c r="C1390" s="14" t="s">
        <v>46</v>
      </c>
      <c r="D1390" s="58"/>
      <c r="E1390" s="58"/>
    </row>
    <row r="1391" spans="1:5" ht="30.75" thickBot="1" x14ac:dyDescent="0.3">
      <c r="A1391" s="15">
        <v>85324</v>
      </c>
      <c r="B1391" s="14" t="s">
        <v>1609</v>
      </c>
      <c r="C1391" s="14" t="s">
        <v>46</v>
      </c>
      <c r="D1391" s="58"/>
      <c r="E1391" s="58"/>
    </row>
    <row r="1392" spans="1:5" ht="15.75" thickBot="1" x14ac:dyDescent="0.3">
      <c r="A1392" s="15">
        <v>85330</v>
      </c>
      <c r="B1392" s="14" t="s">
        <v>1610</v>
      </c>
      <c r="C1392" s="14" t="s">
        <v>46</v>
      </c>
      <c r="D1392" s="58"/>
      <c r="E1392" s="58"/>
    </row>
    <row r="1393" spans="1:5" ht="15.75" thickBot="1" x14ac:dyDescent="0.3">
      <c r="A1393" s="15">
        <v>85401</v>
      </c>
      <c r="B1393" s="14" t="s">
        <v>65</v>
      </c>
      <c r="C1393" s="14" t="s">
        <v>46</v>
      </c>
      <c r="D1393" s="58"/>
      <c r="E1393" s="58"/>
    </row>
    <row r="1394" spans="1:5" ht="15.75" thickBot="1" x14ac:dyDescent="0.3">
      <c r="A1394" s="15">
        <v>85402</v>
      </c>
      <c r="B1394" s="14" t="s">
        <v>66</v>
      </c>
      <c r="C1394" s="14" t="s">
        <v>46</v>
      </c>
      <c r="D1394" s="58"/>
      <c r="E1394" s="58"/>
    </row>
    <row r="1395" spans="1:5" ht="15.75" thickBot="1" x14ac:dyDescent="0.3">
      <c r="A1395" s="15">
        <v>85403</v>
      </c>
      <c r="B1395" s="14" t="s">
        <v>67</v>
      </c>
      <c r="C1395" s="14" t="s">
        <v>46</v>
      </c>
      <c r="D1395" s="58"/>
      <c r="E1395" s="58"/>
    </row>
    <row r="1396" spans="1:5" ht="15.75" thickBot="1" x14ac:dyDescent="0.3">
      <c r="A1396" s="15">
        <v>85404</v>
      </c>
      <c r="B1396" s="14" t="s">
        <v>68</v>
      </c>
      <c r="C1396" s="14" t="s">
        <v>46</v>
      </c>
      <c r="D1396" s="58"/>
      <c r="E1396" s="58"/>
    </row>
    <row r="1397" spans="1:5" ht="15.75" thickBot="1" x14ac:dyDescent="0.3">
      <c r="A1397" s="15">
        <v>85510</v>
      </c>
      <c r="B1397" s="14" t="s">
        <v>69</v>
      </c>
      <c r="C1397" s="14" t="s">
        <v>46</v>
      </c>
      <c r="D1397" s="58"/>
      <c r="E1397" s="58"/>
    </row>
    <row r="1398" spans="1:5" ht="15.75" thickBot="1" x14ac:dyDescent="0.3">
      <c r="A1398" s="15">
        <v>85520</v>
      </c>
      <c r="B1398" s="14" t="s">
        <v>70</v>
      </c>
      <c r="C1398" s="14" t="s">
        <v>46</v>
      </c>
      <c r="D1398" s="58"/>
      <c r="E1398" s="58"/>
    </row>
    <row r="1399" spans="1:5" ht="15.75" thickBot="1" x14ac:dyDescent="0.3">
      <c r="A1399" s="15">
        <v>85530</v>
      </c>
      <c r="B1399" s="14" t="s">
        <v>71</v>
      </c>
      <c r="C1399" s="14" t="s">
        <v>46</v>
      </c>
      <c r="D1399" s="58"/>
      <c r="E1399" s="58"/>
    </row>
    <row r="1400" spans="1:5" ht="15.75" thickBot="1" x14ac:dyDescent="0.3">
      <c r="A1400" s="15">
        <v>85541</v>
      </c>
      <c r="B1400" s="14" t="s">
        <v>72</v>
      </c>
      <c r="C1400" s="14" t="s">
        <v>46</v>
      </c>
      <c r="D1400" s="58"/>
      <c r="E1400" s="58"/>
    </row>
    <row r="1401" spans="1:5" ht="15.75" thickBot="1" x14ac:dyDescent="0.3">
      <c r="A1401" s="15">
        <v>85542</v>
      </c>
      <c r="B1401" s="14" t="s">
        <v>73</v>
      </c>
      <c r="C1401" s="14" t="s">
        <v>46</v>
      </c>
      <c r="D1401" s="58"/>
      <c r="E1401" s="58"/>
    </row>
    <row r="1402" spans="1:5" ht="15.75" thickBot="1" x14ac:dyDescent="0.3">
      <c r="A1402" s="15">
        <v>85549</v>
      </c>
      <c r="B1402" s="14" t="s">
        <v>74</v>
      </c>
      <c r="C1402" s="14" t="s">
        <v>46</v>
      </c>
      <c r="D1402" s="58"/>
      <c r="E1402" s="58"/>
    </row>
    <row r="1403" spans="1:5" ht="15.75" thickBot="1" x14ac:dyDescent="0.3">
      <c r="A1403" s="15">
        <v>85550</v>
      </c>
      <c r="B1403" s="14" t="s">
        <v>75</v>
      </c>
      <c r="C1403" s="14" t="s">
        <v>46</v>
      </c>
      <c r="D1403" s="58"/>
      <c r="E1403" s="58"/>
    </row>
    <row r="1404" spans="1:5" ht="15.75" thickBot="1" x14ac:dyDescent="0.3">
      <c r="A1404" s="15">
        <v>85560</v>
      </c>
      <c r="B1404" s="14" t="s">
        <v>76</v>
      </c>
      <c r="C1404" s="14" t="s">
        <v>46</v>
      </c>
      <c r="D1404" s="58"/>
      <c r="E1404" s="58"/>
    </row>
    <row r="1405" spans="1:5" ht="15.75" thickBot="1" x14ac:dyDescent="0.3">
      <c r="A1405" s="15">
        <v>85571</v>
      </c>
      <c r="B1405" s="14" t="s">
        <v>1611</v>
      </c>
      <c r="C1405" s="14" t="s">
        <v>46</v>
      </c>
      <c r="D1405" s="58"/>
      <c r="E1405" s="58"/>
    </row>
    <row r="1406" spans="1:5" ht="30.75" thickBot="1" x14ac:dyDescent="0.3">
      <c r="A1406" s="15">
        <v>85572</v>
      </c>
      <c r="B1406" s="14" t="s">
        <v>77</v>
      </c>
      <c r="C1406" s="14" t="s">
        <v>46</v>
      </c>
      <c r="D1406" s="58"/>
      <c r="E1406" s="58"/>
    </row>
    <row r="1407" spans="1:5" ht="15.75" thickBot="1" x14ac:dyDescent="0.3">
      <c r="A1407" s="15">
        <v>85573</v>
      </c>
      <c r="B1407" s="14" t="s">
        <v>78</v>
      </c>
      <c r="C1407" s="14" t="s">
        <v>46</v>
      </c>
      <c r="D1407" s="58"/>
      <c r="E1407" s="58"/>
    </row>
    <row r="1408" spans="1:5" ht="30.75" thickBot="1" x14ac:dyDescent="0.3">
      <c r="A1408" s="15">
        <v>85574</v>
      </c>
      <c r="B1408" s="14" t="s">
        <v>1612</v>
      </c>
      <c r="C1408" s="14" t="s">
        <v>46</v>
      </c>
      <c r="D1408" s="58"/>
      <c r="E1408" s="58"/>
    </row>
    <row r="1409" spans="1:5" ht="15.75" thickBot="1" x14ac:dyDescent="0.3">
      <c r="A1409" s="15">
        <v>85575</v>
      </c>
      <c r="B1409" s="14" t="s">
        <v>1613</v>
      </c>
      <c r="C1409" s="14" t="s">
        <v>46</v>
      </c>
      <c r="D1409" s="58"/>
      <c r="E1409" s="58"/>
    </row>
    <row r="1410" spans="1:5" ht="15.75" thickBot="1" x14ac:dyDescent="0.3">
      <c r="A1410" s="15">
        <v>85576</v>
      </c>
      <c r="B1410" s="14" t="s">
        <v>1614</v>
      </c>
      <c r="C1410" s="14" t="s">
        <v>46</v>
      </c>
      <c r="D1410" s="58"/>
      <c r="E1410" s="58"/>
    </row>
    <row r="1411" spans="1:5" ht="30.75" thickBot="1" x14ac:dyDescent="0.3">
      <c r="A1411" s="15">
        <v>85577</v>
      </c>
      <c r="B1411" s="14" t="s">
        <v>1615</v>
      </c>
      <c r="C1411" s="14" t="s">
        <v>46</v>
      </c>
      <c r="D1411" s="58"/>
      <c r="E1411" s="58"/>
    </row>
    <row r="1412" spans="1:5" ht="30.75" thickBot="1" x14ac:dyDescent="0.3">
      <c r="A1412" s="15">
        <v>85578</v>
      </c>
      <c r="B1412" s="14" t="s">
        <v>79</v>
      </c>
      <c r="C1412" s="14" t="s">
        <v>46</v>
      </c>
      <c r="D1412" s="58"/>
      <c r="E1412" s="58"/>
    </row>
    <row r="1413" spans="1:5" ht="15.75" thickBot="1" x14ac:dyDescent="0.3">
      <c r="A1413" s="15">
        <v>85579</v>
      </c>
      <c r="B1413" s="14" t="s">
        <v>80</v>
      </c>
      <c r="C1413" s="14" t="s">
        <v>46</v>
      </c>
      <c r="D1413" s="58"/>
      <c r="E1413" s="58"/>
    </row>
    <row r="1414" spans="1:5" ht="15.75" thickBot="1" x14ac:dyDescent="0.3">
      <c r="A1414" s="15">
        <v>85581</v>
      </c>
      <c r="B1414" s="14" t="s">
        <v>1616</v>
      </c>
      <c r="C1414" s="14" t="s">
        <v>46</v>
      </c>
      <c r="D1414" s="58"/>
      <c r="E1414" s="58"/>
    </row>
    <row r="1415" spans="1:5" ht="30.75" thickBot="1" x14ac:dyDescent="0.3">
      <c r="A1415" s="15">
        <v>85582</v>
      </c>
      <c r="B1415" s="14" t="s">
        <v>1617</v>
      </c>
      <c r="C1415" s="14" t="s">
        <v>46</v>
      </c>
      <c r="D1415" s="58"/>
      <c r="E1415" s="58"/>
    </row>
    <row r="1416" spans="1:5" ht="15.75" thickBot="1" x14ac:dyDescent="0.3">
      <c r="A1416" s="15">
        <v>85583</v>
      </c>
      <c r="B1416" s="14" t="s">
        <v>1618</v>
      </c>
      <c r="C1416" s="14" t="s">
        <v>46</v>
      </c>
      <c r="D1416" s="58"/>
      <c r="E1416" s="58"/>
    </row>
    <row r="1417" spans="1:5" ht="30.75" thickBot="1" x14ac:dyDescent="0.3">
      <c r="A1417" s="15">
        <v>85584</v>
      </c>
      <c r="B1417" s="14" t="s">
        <v>1619</v>
      </c>
      <c r="C1417" s="14" t="s">
        <v>46</v>
      </c>
      <c r="D1417" s="58"/>
      <c r="E1417" s="58"/>
    </row>
    <row r="1418" spans="1:5" ht="30.75" thickBot="1" x14ac:dyDescent="0.3">
      <c r="A1418" s="15">
        <v>85585</v>
      </c>
      <c r="B1418" s="14" t="s">
        <v>1620</v>
      </c>
      <c r="C1418" s="14" t="s">
        <v>46</v>
      </c>
      <c r="D1418" s="58"/>
      <c r="E1418" s="58"/>
    </row>
    <row r="1419" spans="1:5" ht="30.75" thickBot="1" x14ac:dyDescent="0.3">
      <c r="A1419" s="15">
        <v>85586</v>
      </c>
      <c r="B1419" s="14" t="s">
        <v>1621</v>
      </c>
      <c r="C1419" s="14" t="s">
        <v>46</v>
      </c>
      <c r="D1419" s="58"/>
      <c r="E1419" s="58"/>
    </row>
    <row r="1420" spans="1:5" ht="30.75" thickBot="1" x14ac:dyDescent="0.3">
      <c r="A1420" s="15">
        <v>85587</v>
      </c>
      <c r="B1420" s="14" t="s">
        <v>1622</v>
      </c>
      <c r="C1420" s="14" t="s">
        <v>46</v>
      </c>
      <c r="D1420" s="58"/>
      <c r="E1420" s="58"/>
    </row>
    <row r="1421" spans="1:5" ht="15.75" thickBot="1" x14ac:dyDescent="0.3">
      <c r="A1421" s="15">
        <v>85589</v>
      </c>
      <c r="B1421" s="14" t="s">
        <v>1623</v>
      </c>
      <c r="C1421" s="14" t="s">
        <v>46</v>
      </c>
      <c r="D1421" s="58"/>
      <c r="E1421" s="58"/>
    </row>
    <row r="1422" spans="1:5" ht="15.75" thickBot="1" x14ac:dyDescent="0.3">
      <c r="A1422" s="15">
        <v>85591</v>
      </c>
      <c r="B1422" s="14" t="s">
        <v>1624</v>
      </c>
      <c r="C1422" s="14" t="s">
        <v>46</v>
      </c>
      <c r="D1422" s="58"/>
      <c r="E1422" s="58"/>
    </row>
    <row r="1423" spans="1:5" ht="30.75" thickBot="1" x14ac:dyDescent="0.3">
      <c r="A1423" s="15">
        <v>85592</v>
      </c>
      <c r="B1423" s="14" t="s">
        <v>81</v>
      </c>
      <c r="C1423" s="14" t="s">
        <v>46</v>
      </c>
      <c r="D1423" s="58"/>
      <c r="E1423" s="58"/>
    </row>
    <row r="1424" spans="1:5" ht="15.75" thickBot="1" x14ac:dyDescent="0.3">
      <c r="A1424" s="15">
        <v>85593</v>
      </c>
      <c r="B1424" s="14" t="s">
        <v>82</v>
      </c>
      <c r="C1424" s="14" t="s">
        <v>46</v>
      </c>
      <c r="D1424" s="58"/>
      <c r="E1424" s="58"/>
    </row>
    <row r="1425" spans="1:5" ht="15.75" thickBot="1" x14ac:dyDescent="0.3">
      <c r="A1425" s="15">
        <v>85594</v>
      </c>
      <c r="B1425" s="14" t="s">
        <v>1625</v>
      </c>
      <c r="C1425" s="14" t="s">
        <v>46</v>
      </c>
      <c r="D1425" s="58"/>
      <c r="E1425" s="58"/>
    </row>
    <row r="1426" spans="1:5" ht="30.75" thickBot="1" x14ac:dyDescent="0.3">
      <c r="A1426" s="15">
        <v>85595</v>
      </c>
      <c r="B1426" s="14" t="s">
        <v>83</v>
      </c>
      <c r="C1426" s="14" t="s">
        <v>46</v>
      </c>
      <c r="D1426" s="58"/>
      <c r="E1426" s="58"/>
    </row>
    <row r="1427" spans="1:5" ht="15.75" thickBot="1" x14ac:dyDescent="0.3">
      <c r="A1427" s="15">
        <v>85596</v>
      </c>
      <c r="B1427" s="14" t="s">
        <v>1626</v>
      </c>
      <c r="C1427" s="14" t="s">
        <v>46</v>
      </c>
      <c r="D1427" s="58"/>
      <c r="E1427" s="58"/>
    </row>
    <row r="1428" spans="1:5" ht="15.75" thickBot="1" x14ac:dyDescent="0.3">
      <c r="A1428" s="15">
        <v>85597</v>
      </c>
      <c r="B1428" s="14" t="s">
        <v>84</v>
      </c>
      <c r="C1428" s="14" t="s">
        <v>46</v>
      </c>
      <c r="D1428" s="58"/>
      <c r="E1428" s="58"/>
    </row>
    <row r="1429" spans="1:5" ht="15.75" thickBot="1" x14ac:dyDescent="0.3">
      <c r="A1429" s="15">
        <v>85599</v>
      </c>
      <c r="B1429" s="14" t="s">
        <v>85</v>
      </c>
      <c r="C1429" s="14" t="s">
        <v>46</v>
      </c>
      <c r="D1429" s="58"/>
      <c r="E1429" s="58"/>
    </row>
    <row r="1430" spans="1:5" ht="26.25" thickBot="1" x14ac:dyDescent="0.3">
      <c r="A1430" s="15">
        <v>85610</v>
      </c>
      <c r="B1430" s="14" t="s">
        <v>1627</v>
      </c>
      <c r="C1430" s="14" t="s">
        <v>46</v>
      </c>
      <c r="D1430" s="88" t="s">
        <v>2090</v>
      </c>
      <c r="E1430" s="58"/>
    </row>
    <row r="1431" spans="1:5" ht="30.75" thickBot="1" x14ac:dyDescent="0.3">
      <c r="A1431" s="15">
        <v>85691</v>
      </c>
      <c r="B1431" s="14" t="s">
        <v>1628</v>
      </c>
      <c r="C1431" s="14" t="s">
        <v>46</v>
      </c>
      <c r="D1431" s="58"/>
      <c r="E1431" s="58"/>
    </row>
    <row r="1432" spans="1:5" ht="30.75" thickBot="1" x14ac:dyDescent="0.3">
      <c r="A1432" s="15">
        <v>85692</v>
      </c>
      <c r="B1432" s="14" t="s">
        <v>1628</v>
      </c>
      <c r="C1432" s="14" t="s">
        <v>46</v>
      </c>
      <c r="D1432" s="58"/>
      <c r="E1432" s="58"/>
    </row>
    <row r="1433" spans="1:5" ht="15.75" thickBot="1" x14ac:dyDescent="0.3">
      <c r="A1433" s="15">
        <v>85693</v>
      </c>
      <c r="B1433" s="14" t="s">
        <v>1629</v>
      </c>
      <c r="C1433" s="14" t="s">
        <v>46</v>
      </c>
      <c r="D1433" s="58"/>
      <c r="E1433" s="58"/>
    </row>
    <row r="1434" spans="1:5" ht="15.75" thickBot="1" x14ac:dyDescent="0.3">
      <c r="A1434" s="15">
        <v>85694</v>
      </c>
      <c r="B1434" s="14" t="s">
        <v>1630</v>
      </c>
      <c r="C1434" s="14" t="s">
        <v>46</v>
      </c>
      <c r="D1434" s="58"/>
      <c r="E1434" s="58"/>
    </row>
    <row r="1435" spans="1:5" ht="15.75" thickBot="1" x14ac:dyDescent="0.3">
      <c r="A1435" s="15">
        <v>85699</v>
      </c>
      <c r="B1435" s="14" t="s">
        <v>1631</v>
      </c>
      <c r="C1435" s="14" t="s">
        <v>46</v>
      </c>
      <c r="D1435" s="58"/>
      <c r="E1435" s="58"/>
    </row>
    <row r="1436" spans="1:5" ht="15.75" thickBot="1" x14ac:dyDescent="0.3">
      <c r="A1436" s="15">
        <v>86101</v>
      </c>
      <c r="B1436" s="14" t="s">
        <v>87</v>
      </c>
      <c r="C1436" s="14" t="s">
        <v>86</v>
      </c>
      <c r="D1436" s="58"/>
      <c r="E1436" s="58"/>
    </row>
    <row r="1437" spans="1:5" ht="15.75" thickBot="1" x14ac:dyDescent="0.3">
      <c r="A1437" s="15">
        <v>86102</v>
      </c>
      <c r="B1437" s="14" t="s">
        <v>88</v>
      </c>
      <c r="C1437" s="14" t="s">
        <v>86</v>
      </c>
      <c r="D1437" s="58"/>
      <c r="E1437" s="58"/>
    </row>
    <row r="1438" spans="1:5" ht="15.75" thickBot="1" x14ac:dyDescent="0.3">
      <c r="A1438" s="15">
        <v>86103</v>
      </c>
      <c r="B1438" s="14" t="s">
        <v>89</v>
      </c>
      <c r="C1438" s="14" t="s">
        <v>86</v>
      </c>
      <c r="D1438" s="58"/>
      <c r="E1438" s="58"/>
    </row>
    <row r="1439" spans="1:5" ht="15.75" thickBot="1" x14ac:dyDescent="0.3">
      <c r="A1439" s="15">
        <v>86104</v>
      </c>
      <c r="B1439" s="14" t="s">
        <v>1632</v>
      </c>
      <c r="C1439" s="14" t="s">
        <v>86</v>
      </c>
      <c r="D1439" s="58"/>
      <c r="E1439" s="58"/>
    </row>
    <row r="1440" spans="1:5" ht="15.75" thickBot="1" x14ac:dyDescent="0.3">
      <c r="A1440" s="15">
        <v>86105</v>
      </c>
      <c r="B1440" s="14" t="s">
        <v>90</v>
      </c>
      <c r="C1440" s="14" t="s">
        <v>86</v>
      </c>
      <c r="D1440" s="58"/>
      <c r="E1440" s="58"/>
    </row>
    <row r="1441" spans="1:5" ht="15.75" thickBot="1" x14ac:dyDescent="0.3">
      <c r="A1441" s="15">
        <v>86109</v>
      </c>
      <c r="B1441" s="14" t="s">
        <v>1633</v>
      </c>
      <c r="C1441" s="14" t="s">
        <v>86</v>
      </c>
      <c r="D1441" s="58"/>
      <c r="E1441" s="58"/>
    </row>
    <row r="1442" spans="1:5" ht="15.75" thickBot="1" x14ac:dyDescent="0.3">
      <c r="A1442" s="15">
        <v>86201</v>
      </c>
      <c r="B1442" s="14" t="s">
        <v>91</v>
      </c>
      <c r="C1442" s="14" t="s">
        <v>86</v>
      </c>
      <c r="D1442" s="58"/>
      <c r="E1442" s="58"/>
    </row>
    <row r="1443" spans="1:5" ht="15.75" thickBot="1" x14ac:dyDescent="0.3">
      <c r="A1443" s="15">
        <v>86202</v>
      </c>
      <c r="B1443" s="14" t="s">
        <v>92</v>
      </c>
      <c r="C1443" s="14" t="s">
        <v>86</v>
      </c>
      <c r="D1443" s="58"/>
      <c r="E1443" s="58"/>
    </row>
    <row r="1444" spans="1:5" ht="15.75" thickBot="1" x14ac:dyDescent="0.3">
      <c r="A1444" s="15">
        <v>86203</v>
      </c>
      <c r="B1444" s="14" t="s">
        <v>93</v>
      </c>
      <c r="C1444" s="14" t="s">
        <v>86</v>
      </c>
      <c r="D1444" s="58"/>
      <c r="E1444" s="58"/>
    </row>
    <row r="1445" spans="1:5" ht="30.75" thickBot="1" x14ac:dyDescent="0.3">
      <c r="A1445" s="15">
        <v>86910</v>
      </c>
      <c r="B1445" s="14" t="s">
        <v>1634</v>
      </c>
      <c r="C1445" s="14" t="s">
        <v>86</v>
      </c>
      <c r="D1445" s="88" t="s">
        <v>2090</v>
      </c>
      <c r="E1445" s="58"/>
    </row>
    <row r="1446" spans="1:5" ht="30.75" thickBot="1" x14ac:dyDescent="0.3">
      <c r="A1446" s="15">
        <v>86991</v>
      </c>
      <c r="B1446" s="14" t="s">
        <v>1635</v>
      </c>
      <c r="C1446" s="14" t="s">
        <v>86</v>
      </c>
      <c r="D1446" s="58"/>
      <c r="E1446" s="58"/>
    </row>
    <row r="1447" spans="1:5" ht="15.75" thickBot="1" x14ac:dyDescent="0.3">
      <c r="A1447" s="15">
        <v>86992</v>
      </c>
      <c r="B1447" s="14" t="s">
        <v>1636</v>
      </c>
      <c r="C1447" s="14" t="s">
        <v>86</v>
      </c>
      <c r="D1447" s="58"/>
      <c r="E1447" s="58"/>
    </row>
    <row r="1448" spans="1:5" ht="15.75" thickBot="1" x14ac:dyDescent="0.3">
      <c r="A1448" s="15">
        <v>86993</v>
      </c>
      <c r="B1448" s="14" t="s">
        <v>94</v>
      </c>
      <c r="C1448" s="14" t="s">
        <v>86</v>
      </c>
      <c r="D1448" s="58"/>
      <c r="E1448" s="58"/>
    </row>
    <row r="1449" spans="1:5" ht="30.75" thickBot="1" x14ac:dyDescent="0.3">
      <c r="A1449" s="15">
        <v>86994</v>
      </c>
      <c r="B1449" s="14" t="s">
        <v>1637</v>
      </c>
      <c r="C1449" s="14" t="s">
        <v>86</v>
      </c>
      <c r="D1449" s="58"/>
      <c r="E1449" s="58"/>
    </row>
    <row r="1450" spans="1:5" ht="15.75" thickBot="1" x14ac:dyDescent="0.3">
      <c r="A1450" s="15">
        <v>86995</v>
      </c>
      <c r="B1450" s="14" t="s">
        <v>1638</v>
      </c>
      <c r="C1450" s="14" t="s">
        <v>86</v>
      </c>
      <c r="D1450" s="58"/>
      <c r="E1450" s="58"/>
    </row>
    <row r="1451" spans="1:5" ht="30.75" thickBot="1" x14ac:dyDescent="0.3">
      <c r="A1451" s="15">
        <v>87101</v>
      </c>
      <c r="B1451" s="14" t="s">
        <v>1639</v>
      </c>
      <c r="C1451" s="14" t="s">
        <v>86</v>
      </c>
      <c r="D1451" s="58"/>
      <c r="E1451" s="58"/>
    </row>
    <row r="1452" spans="1:5" ht="30.75" thickBot="1" x14ac:dyDescent="0.3">
      <c r="A1452" s="15">
        <v>87102</v>
      </c>
      <c r="B1452" s="14" t="s">
        <v>1639</v>
      </c>
      <c r="C1452" s="14" t="s">
        <v>86</v>
      </c>
      <c r="D1452" s="58"/>
      <c r="E1452" s="58"/>
    </row>
    <row r="1453" spans="1:5" ht="30.75" thickBot="1" x14ac:dyDescent="0.3">
      <c r="A1453" s="15">
        <v>87201</v>
      </c>
      <c r="B1453" s="14" t="s">
        <v>1640</v>
      </c>
      <c r="C1453" s="14" t="s">
        <v>86</v>
      </c>
      <c r="D1453" s="58"/>
      <c r="E1453" s="58"/>
    </row>
    <row r="1454" spans="1:5" ht="30.75" thickBot="1" x14ac:dyDescent="0.3">
      <c r="A1454" s="15">
        <v>87202</v>
      </c>
      <c r="B1454" s="14" t="s">
        <v>1641</v>
      </c>
      <c r="C1454" s="14" t="s">
        <v>86</v>
      </c>
      <c r="D1454" s="58"/>
      <c r="E1454" s="58"/>
    </row>
    <row r="1455" spans="1:5" ht="30.75" thickBot="1" x14ac:dyDescent="0.3">
      <c r="A1455" s="15">
        <v>87301</v>
      </c>
      <c r="B1455" s="14" t="s">
        <v>1642</v>
      </c>
      <c r="C1455" s="14" t="s">
        <v>86</v>
      </c>
      <c r="D1455" s="58"/>
      <c r="E1455" s="58"/>
    </row>
    <row r="1456" spans="1:5" ht="30.75" thickBot="1" x14ac:dyDescent="0.3">
      <c r="A1456" s="15">
        <v>87302</v>
      </c>
      <c r="B1456" s="14" t="s">
        <v>1643</v>
      </c>
      <c r="C1456" s="14" t="s">
        <v>86</v>
      </c>
      <c r="D1456" s="58"/>
      <c r="E1456" s="58"/>
    </row>
    <row r="1457" spans="1:5" ht="30.75" thickBot="1" x14ac:dyDescent="0.3">
      <c r="A1457" s="15">
        <v>87303</v>
      </c>
      <c r="B1457" s="14" t="s">
        <v>1644</v>
      </c>
      <c r="C1457" s="14" t="s">
        <v>86</v>
      </c>
      <c r="D1457" s="58"/>
      <c r="E1457" s="58"/>
    </row>
    <row r="1458" spans="1:5" ht="30.75" thickBot="1" x14ac:dyDescent="0.3">
      <c r="A1458" s="15">
        <v>87910</v>
      </c>
      <c r="B1458" s="14" t="s">
        <v>1645</v>
      </c>
      <c r="C1458" s="14" t="s">
        <v>86</v>
      </c>
      <c r="D1458" s="88" t="s">
        <v>2090</v>
      </c>
      <c r="E1458" s="58"/>
    </row>
    <row r="1459" spans="1:5" ht="30.75" thickBot="1" x14ac:dyDescent="0.3">
      <c r="A1459" s="15">
        <v>87991</v>
      </c>
      <c r="B1459" s="14" t="s">
        <v>1646</v>
      </c>
      <c r="C1459" s="14" t="s">
        <v>86</v>
      </c>
      <c r="D1459" s="58"/>
      <c r="E1459" s="58"/>
    </row>
    <row r="1460" spans="1:5" ht="30.75" thickBot="1" x14ac:dyDescent="0.3">
      <c r="A1460" s="15">
        <v>87992</v>
      </c>
      <c r="B1460" s="14" t="s">
        <v>1647</v>
      </c>
      <c r="C1460" s="14" t="s">
        <v>86</v>
      </c>
      <c r="D1460" s="58"/>
      <c r="E1460" s="58"/>
    </row>
    <row r="1461" spans="1:5" ht="15.75" thickBot="1" x14ac:dyDescent="0.3">
      <c r="A1461" s="15">
        <v>87993</v>
      </c>
      <c r="B1461" s="14" t="s">
        <v>1648</v>
      </c>
      <c r="C1461" s="14" t="s">
        <v>86</v>
      </c>
      <c r="D1461" s="58"/>
      <c r="E1461" s="58"/>
    </row>
    <row r="1462" spans="1:5" ht="30.75" thickBot="1" x14ac:dyDescent="0.3">
      <c r="A1462" s="15">
        <v>88101</v>
      </c>
      <c r="B1462" s="14" t="s">
        <v>1649</v>
      </c>
      <c r="C1462" s="14" t="s">
        <v>86</v>
      </c>
      <c r="D1462" s="58"/>
      <c r="E1462" s="58"/>
    </row>
    <row r="1463" spans="1:5" ht="30.75" thickBot="1" x14ac:dyDescent="0.3">
      <c r="A1463" s="15">
        <v>88102</v>
      </c>
      <c r="B1463" s="14" t="s">
        <v>1650</v>
      </c>
      <c r="C1463" s="14" t="s">
        <v>86</v>
      </c>
      <c r="D1463" s="58"/>
      <c r="E1463" s="58"/>
    </row>
    <row r="1464" spans="1:5" ht="30.75" thickBot="1" x14ac:dyDescent="0.3">
      <c r="A1464" s="15">
        <v>88901</v>
      </c>
      <c r="B1464" s="14" t="s">
        <v>1651</v>
      </c>
      <c r="C1464" s="14" t="s">
        <v>86</v>
      </c>
      <c r="D1464" s="58"/>
      <c r="E1464" s="58"/>
    </row>
    <row r="1465" spans="1:5" ht="30.75" thickBot="1" x14ac:dyDescent="0.3">
      <c r="A1465" s="15">
        <v>88902</v>
      </c>
      <c r="B1465" s="14" t="s">
        <v>1650</v>
      </c>
      <c r="C1465" s="14" t="s">
        <v>86</v>
      </c>
      <c r="D1465" s="58"/>
      <c r="E1465" s="58"/>
    </row>
    <row r="1466" spans="1:5" ht="15.75" thickBot="1" x14ac:dyDescent="0.3">
      <c r="A1466" s="15">
        <v>88903</v>
      </c>
      <c r="B1466" s="14" t="s">
        <v>95</v>
      </c>
      <c r="C1466" s="14" t="s">
        <v>86</v>
      </c>
      <c r="D1466" s="58"/>
      <c r="E1466" s="58"/>
    </row>
    <row r="1467" spans="1:5" ht="15.75" thickBot="1" x14ac:dyDescent="0.3">
      <c r="A1467" s="15">
        <v>88904</v>
      </c>
      <c r="B1467" s="14" t="s">
        <v>1652</v>
      </c>
      <c r="C1467" s="14" t="s">
        <v>86</v>
      </c>
      <c r="D1467" s="58"/>
      <c r="E1467" s="58"/>
    </row>
    <row r="1468" spans="1:5" ht="15.75" thickBot="1" x14ac:dyDescent="0.3">
      <c r="A1468" s="15">
        <v>88905</v>
      </c>
      <c r="B1468" s="14" t="s">
        <v>1653</v>
      </c>
      <c r="C1468" s="14" t="s">
        <v>86</v>
      </c>
      <c r="D1468" s="58"/>
      <c r="E1468" s="58"/>
    </row>
    <row r="1469" spans="1:5" ht="15.75" thickBot="1" x14ac:dyDescent="0.3">
      <c r="A1469" s="15">
        <v>88906</v>
      </c>
      <c r="B1469" s="14" t="s">
        <v>96</v>
      </c>
      <c r="C1469" s="14" t="s">
        <v>86</v>
      </c>
      <c r="D1469" s="58"/>
      <c r="E1469" s="58"/>
    </row>
    <row r="1470" spans="1:5" ht="15.75" thickBot="1" x14ac:dyDescent="0.3">
      <c r="A1470" s="15">
        <v>88907</v>
      </c>
      <c r="B1470" s="14" t="s">
        <v>97</v>
      </c>
      <c r="C1470" s="14" t="s">
        <v>86</v>
      </c>
      <c r="D1470" s="58"/>
      <c r="E1470" s="58"/>
    </row>
    <row r="1471" spans="1:5" ht="26.25" thickBot="1" x14ac:dyDescent="0.3">
      <c r="A1471" s="15">
        <v>90111</v>
      </c>
      <c r="B1471" s="14" t="s">
        <v>99</v>
      </c>
      <c r="C1471" s="14" t="s">
        <v>98</v>
      </c>
      <c r="D1471" s="88" t="s">
        <v>2090</v>
      </c>
      <c r="E1471" s="58"/>
    </row>
    <row r="1472" spans="1:5" ht="15.75" thickBot="1" x14ac:dyDescent="0.3">
      <c r="A1472" s="15">
        <v>90112</v>
      </c>
      <c r="B1472" s="14" t="s">
        <v>100</v>
      </c>
      <c r="C1472" s="14" t="s">
        <v>98</v>
      </c>
      <c r="D1472" s="58"/>
      <c r="E1472" s="58"/>
    </row>
    <row r="1473" spans="1:5" ht="26.25" thickBot="1" x14ac:dyDescent="0.3">
      <c r="A1473" s="15">
        <v>90113</v>
      </c>
      <c r="B1473" s="14" t="s">
        <v>1654</v>
      </c>
      <c r="C1473" s="14" t="s">
        <v>98</v>
      </c>
      <c r="D1473" s="88" t="s">
        <v>2090</v>
      </c>
      <c r="E1473" s="58"/>
    </row>
    <row r="1474" spans="1:5" ht="15.75" thickBot="1" x14ac:dyDescent="0.3">
      <c r="A1474" s="15">
        <v>90120</v>
      </c>
      <c r="B1474" s="14" t="s">
        <v>101</v>
      </c>
      <c r="C1474" s="14" t="s">
        <v>98</v>
      </c>
      <c r="D1474" s="58"/>
      <c r="E1474" s="58"/>
    </row>
    <row r="1475" spans="1:5" ht="15.75" thickBot="1" x14ac:dyDescent="0.3">
      <c r="A1475" s="15">
        <v>90130</v>
      </c>
      <c r="B1475" s="14" t="s">
        <v>102</v>
      </c>
      <c r="C1475" s="14" t="s">
        <v>98</v>
      </c>
      <c r="D1475" s="58"/>
      <c r="E1475" s="58"/>
    </row>
    <row r="1476" spans="1:5" ht="26.25" thickBot="1" x14ac:dyDescent="0.3">
      <c r="A1476" s="15">
        <v>90200</v>
      </c>
      <c r="B1476" s="14" t="s">
        <v>103</v>
      </c>
      <c r="C1476" s="14" t="s">
        <v>98</v>
      </c>
      <c r="D1476" s="88" t="s">
        <v>2090</v>
      </c>
      <c r="E1476" s="58"/>
    </row>
    <row r="1477" spans="1:5" ht="30.75" thickBot="1" x14ac:dyDescent="0.3">
      <c r="A1477" s="15">
        <v>90310</v>
      </c>
      <c r="B1477" s="14" t="s">
        <v>1655</v>
      </c>
      <c r="C1477" s="14" t="s">
        <v>98</v>
      </c>
      <c r="D1477" s="58"/>
      <c r="E1477" s="58"/>
    </row>
    <row r="1478" spans="1:5" ht="30.75" thickBot="1" x14ac:dyDescent="0.3">
      <c r="A1478" s="15">
        <v>90391</v>
      </c>
      <c r="B1478" s="14" t="s">
        <v>104</v>
      </c>
      <c r="C1478" s="14" t="s">
        <v>98</v>
      </c>
      <c r="D1478" s="58"/>
      <c r="E1478" s="58"/>
    </row>
    <row r="1479" spans="1:5" ht="30.75" thickBot="1" x14ac:dyDescent="0.3">
      <c r="A1479" s="15">
        <v>90399</v>
      </c>
      <c r="B1479" s="14" t="s">
        <v>105</v>
      </c>
      <c r="C1479" s="14" t="s">
        <v>98</v>
      </c>
      <c r="D1479" s="58"/>
      <c r="E1479" s="58"/>
    </row>
    <row r="1480" spans="1:5" ht="15.75" thickBot="1" x14ac:dyDescent="0.3">
      <c r="A1480" s="15">
        <v>91111</v>
      </c>
      <c r="B1480" s="14" t="s">
        <v>106</v>
      </c>
      <c r="C1480" s="14" t="s">
        <v>98</v>
      </c>
      <c r="D1480" s="58"/>
      <c r="E1480" s="58"/>
    </row>
    <row r="1481" spans="1:5" ht="15.75" thickBot="1" x14ac:dyDescent="0.3">
      <c r="A1481" s="15">
        <v>91112</v>
      </c>
      <c r="B1481" s="14" t="s">
        <v>1656</v>
      </c>
      <c r="C1481" s="14" t="s">
        <v>98</v>
      </c>
      <c r="D1481" s="58"/>
      <c r="E1481" s="58"/>
    </row>
    <row r="1482" spans="1:5" ht="15.75" thickBot="1" x14ac:dyDescent="0.3">
      <c r="A1482" s="15">
        <v>91121</v>
      </c>
      <c r="B1482" s="14" t="s">
        <v>1657</v>
      </c>
      <c r="C1482" s="14" t="s">
        <v>98</v>
      </c>
      <c r="D1482" s="58"/>
      <c r="E1482" s="58"/>
    </row>
    <row r="1483" spans="1:5" ht="15.75" thickBot="1" x14ac:dyDescent="0.3">
      <c r="A1483" s="15">
        <v>91122</v>
      </c>
      <c r="B1483" s="14" t="s">
        <v>1658</v>
      </c>
      <c r="C1483" s="14" t="s">
        <v>98</v>
      </c>
      <c r="D1483" s="58"/>
      <c r="E1483" s="58"/>
    </row>
    <row r="1484" spans="1:5" ht="15.75" thickBot="1" x14ac:dyDescent="0.3">
      <c r="A1484" s="15">
        <v>91211</v>
      </c>
      <c r="B1484" s="14" t="s">
        <v>107</v>
      </c>
      <c r="C1484" s="14" t="s">
        <v>98</v>
      </c>
      <c r="D1484" s="58"/>
      <c r="E1484" s="58"/>
    </row>
    <row r="1485" spans="1:5" ht="15.75" thickBot="1" x14ac:dyDescent="0.3">
      <c r="A1485" s="15">
        <v>91212</v>
      </c>
      <c r="B1485" s="14" t="s">
        <v>1659</v>
      </c>
      <c r="C1485" s="14" t="s">
        <v>98</v>
      </c>
      <c r="D1485" s="58"/>
      <c r="E1485" s="58"/>
    </row>
    <row r="1486" spans="1:5" ht="30.75" thickBot="1" x14ac:dyDescent="0.3">
      <c r="A1486" s="15">
        <v>91221</v>
      </c>
      <c r="B1486" s="14" t="s">
        <v>108</v>
      </c>
      <c r="C1486" s="14" t="s">
        <v>98</v>
      </c>
      <c r="D1486" s="58"/>
      <c r="E1486" s="58"/>
    </row>
    <row r="1487" spans="1:5" ht="30.75" thickBot="1" x14ac:dyDescent="0.3">
      <c r="A1487" s="15">
        <v>91222</v>
      </c>
      <c r="B1487" s="14" t="s">
        <v>108</v>
      </c>
      <c r="C1487" s="14" t="s">
        <v>98</v>
      </c>
      <c r="D1487" s="58"/>
      <c r="E1487" s="58"/>
    </row>
    <row r="1488" spans="1:5" ht="30.75" thickBot="1" x14ac:dyDescent="0.3">
      <c r="A1488" s="15">
        <v>91300</v>
      </c>
      <c r="B1488" s="14" t="s">
        <v>1660</v>
      </c>
      <c r="C1488" s="14" t="s">
        <v>98</v>
      </c>
      <c r="D1488" s="58"/>
      <c r="E1488" s="58"/>
    </row>
    <row r="1489" spans="1:5" ht="15.75" thickBot="1" x14ac:dyDescent="0.3">
      <c r="A1489" s="15">
        <v>91410</v>
      </c>
      <c r="B1489" s="14" t="s">
        <v>1661</v>
      </c>
      <c r="C1489" s="14" t="s">
        <v>98</v>
      </c>
      <c r="D1489" s="58"/>
      <c r="E1489" s="58"/>
    </row>
    <row r="1490" spans="1:5" ht="15.75" thickBot="1" x14ac:dyDescent="0.3">
      <c r="A1490" s="15">
        <v>91421</v>
      </c>
      <c r="B1490" s="14" t="s">
        <v>1662</v>
      </c>
      <c r="C1490" s="14" t="s">
        <v>98</v>
      </c>
      <c r="D1490" s="58"/>
      <c r="E1490" s="58"/>
    </row>
    <row r="1491" spans="1:5" ht="15.75" thickBot="1" x14ac:dyDescent="0.3">
      <c r="A1491" s="15">
        <v>91422</v>
      </c>
      <c r="B1491" s="14" t="s">
        <v>1663</v>
      </c>
      <c r="C1491" s="14" t="s">
        <v>98</v>
      </c>
      <c r="D1491" s="58"/>
      <c r="E1491" s="58"/>
    </row>
    <row r="1492" spans="1:5" ht="15.75" thickBot="1" x14ac:dyDescent="0.3">
      <c r="A1492" s="15">
        <v>91423</v>
      </c>
      <c r="B1492" s="14" t="s">
        <v>1664</v>
      </c>
      <c r="C1492" s="14" t="s">
        <v>98</v>
      </c>
      <c r="D1492" s="58"/>
      <c r="E1492" s="58"/>
    </row>
    <row r="1493" spans="1:5" ht="15.75" thickBot="1" x14ac:dyDescent="0.3">
      <c r="A1493" s="15">
        <v>91424</v>
      </c>
      <c r="B1493" s="14" t="s">
        <v>1665</v>
      </c>
      <c r="C1493" s="14" t="s">
        <v>98</v>
      </c>
      <c r="D1493" s="58"/>
      <c r="E1493" s="58"/>
    </row>
    <row r="1494" spans="1:5" ht="15.75" thickBot="1" x14ac:dyDescent="0.3">
      <c r="A1494" s="15">
        <v>91425</v>
      </c>
      <c r="B1494" s="14" t="s">
        <v>1666</v>
      </c>
      <c r="C1494" s="14" t="s">
        <v>98</v>
      </c>
      <c r="D1494" s="58"/>
      <c r="E1494" s="58"/>
    </row>
    <row r="1495" spans="1:5" ht="15.75" thickBot="1" x14ac:dyDescent="0.3">
      <c r="A1495" s="15">
        <v>91426</v>
      </c>
      <c r="B1495" s="14" t="s">
        <v>1667</v>
      </c>
      <c r="C1495" s="14" t="s">
        <v>98</v>
      </c>
      <c r="D1495" s="58"/>
      <c r="E1495" s="58"/>
    </row>
    <row r="1496" spans="1:5" ht="15.75" thickBot="1" x14ac:dyDescent="0.3">
      <c r="A1496" s="15">
        <v>91429</v>
      </c>
      <c r="B1496" s="14" t="s">
        <v>1668</v>
      </c>
      <c r="C1496" s="14" t="s">
        <v>98</v>
      </c>
      <c r="D1496" s="58"/>
      <c r="E1496" s="58"/>
    </row>
    <row r="1497" spans="1:5" ht="15.75" thickBot="1" x14ac:dyDescent="0.3">
      <c r="A1497" s="15">
        <v>92000</v>
      </c>
      <c r="B1497" s="14" t="s">
        <v>1669</v>
      </c>
      <c r="C1497" s="14" t="s">
        <v>98</v>
      </c>
      <c r="D1497" s="58"/>
      <c r="E1497" s="58"/>
    </row>
    <row r="1498" spans="1:5" ht="15.75" thickBot="1" x14ac:dyDescent="0.3">
      <c r="A1498" s="15">
        <v>93111</v>
      </c>
      <c r="B1498" s="14" t="s">
        <v>1670</v>
      </c>
      <c r="C1498" s="14" t="s">
        <v>98</v>
      </c>
      <c r="D1498" s="58"/>
      <c r="E1498" s="58"/>
    </row>
    <row r="1499" spans="1:5" ht="15.75" thickBot="1" x14ac:dyDescent="0.3">
      <c r="A1499" s="15">
        <v>93112</v>
      </c>
      <c r="B1499" s="14" t="s">
        <v>1671</v>
      </c>
      <c r="C1499" s="14" t="s">
        <v>98</v>
      </c>
      <c r="D1499" s="58"/>
      <c r="E1499" s="58"/>
    </row>
    <row r="1500" spans="1:5" ht="15.75" thickBot="1" x14ac:dyDescent="0.3">
      <c r="A1500" s="15">
        <v>93113</v>
      </c>
      <c r="B1500" s="14" t="s">
        <v>1672</v>
      </c>
      <c r="C1500" s="14" t="s">
        <v>98</v>
      </c>
      <c r="D1500" s="58"/>
      <c r="E1500" s="58"/>
    </row>
    <row r="1501" spans="1:5" ht="15.75" thickBot="1" x14ac:dyDescent="0.3">
      <c r="A1501" s="15">
        <v>93114</v>
      </c>
      <c r="B1501" s="14" t="s">
        <v>1673</v>
      </c>
      <c r="C1501" s="14" t="s">
        <v>98</v>
      </c>
      <c r="D1501" s="58"/>
      <c r="E1501" s="58"/>
    </row>
    <row r="1502" spans="1:5" ht="15.75" thickBot="1" x14ac:dyDescent="0.3">
      <c r="A1502" s="15">
        <v>93115</v>
      </c>
      <c r="B1502" s="14" t="s">
        <v>1674</v>
      </c>
      <c r="C1502" s="14" t="s">
        <v>98</v>
      </c>
      <c r="D1502" s="58"/>
      <c r="E1502" s="58"/>
    </row>
    <row r="1503" spans="1:5" ht="15.75" thickBot="1" x14ac:dyDescent="0.3">
      <c r="A1503" s="15">
        <v>93116</v>
      </c>
      <c r="B1503" s="14" t="s">
        <v>1675</v>
      </c>
      <c r="C1503" s="14" t="s">
        <v>98</v>
      </c>
      <c r="D1503" s="58"/>
      <c r="E1503" s="58"/>
    </row>
    <row r="1504" spans="1:5" ht="15.75" thickBot="1" x14ac:dyDescent="0.3">
      <c r="A1504" s="15">
        <v>93119</v>
      </c>
      <c r="B1504" s="14" t="s">
        <v>1676</v>
      </c>
      <c r="C1504" s="14" t="s">
        <v>98</v>
      </c>
      <c r="D1504" s="58"/>
      <c r="E1504" s="58"/>
    </row>
    <row r="1505" spans="1:5" ht="15.75" thickBot="1" x14ac:dyDescent="0.3">
      <c r="A1505" s="15">
        <v>93121</v>
      </c>
      <c r="B1505" s="14" t="s">
        <v>1677</v>
      </c>
      <c r="C1505" s="14" t="s">
        <v>98</v>
      </c>
      <c r="D1505" s="58"/>
      <c r="E1505" s="58"/>
    </row>
    <row r="1506" spans="1:5" ht="15.75" thickBot="1" x14ac:dyDescent="0.3">
      <c r="A1506" s="15">
        <v>93122</v>
      </c>
      <c r="B1506" s="14" t="s">
        <v>1678</v>
      </c>
      <c r="C1506" s="14" t="s">
        <v>98</v>
      </c>
      <c r="D1506" s="58"/>
      <c r="E1506" s="58"/>
    </row>
    <row r="1507" spans="1:5" ht="15.75" thickBot="1" x14ac:dyDescent="0.3">
      <c r="A1507" s="15">
        <v>93123</v>
      </c>
      <c r="B1507" s="14" t="s">
        <v>1679</v>
      </c>
      <c r="C1507" s="14" t="s">
        <v>98</v>
      </c>
      <c r="D1507" s="58"/>
      <c r="E1507" s="58"/>
    </row>
    <row r="1508" spans="1:5" ht="15.75" thickBot="1" x14ac:dyDescent="0.3">
      <c r="A1508" s="15">
        <v>93124</v>
      </c>
      <c r="B1508" s="14" t="s">
        <v>1680</v>
      </c>
      <c r="C1508" s="14" t="s">
        <v>98</v>
      </c>
      <c r="D1508" s="58"/>
      <c r="E1508" s="58"/>
    </row>
    <row r="1509" spans="1:5" ht="15.75" thickBot="1" x14ac:dyDescent="0.3">
      <c r="A1509" s="15">
        <v>93125</v>
      </c>
      <c r="B1509" s="14" t="s">
        <v>1681</v>
      </c>
      <c r="C1509" s="14" t="s">
        <v>98</v>
      </c>
      <c r="D1509" s="58"/>
      <c r="E1509" s="58"/>
    </row>
    <row r="1510" spans="1:5" ht="15.75" thickBot="1" x14ac:dyDescent="0.3">
      <c r="A1510" s="15">
        <v>93126</v>
      </c>
      <c r="B1510" s="14" t="s">
        <v>1682</v>
      </c>
      <c r="C1510" s="14" t="s">
        <v>98</v>
      </c>
      <c r="D1510" s="58"/>
      <c r="E1510" s="58"/>
    </row>
    <row r="1511" spans="1:5" ht="15.75" thickBot="1" x14ac:dyDescent="0.3">
      <c r="A1511" s="15">
        <v>93127</v>
      </c>
      <c r="B1511" s="14" t="s">
        <v>1683</v>
      </c>
      <c r="C1511" s="14" t="s">
        <v>98</v>
      </c>
      <c r="D1511" s="58"/>
      <c r="E1511" s="58"/>
    </row>
    <row r="1512" spans="1:5" ht="15.75" thickBot="1" x14ac:dyDescent="0.3">
      <c r="A1512" s="15">
        <v>93128</v>
      </c>
      <c r="B1512" s="14" t="s">
        <v>1684</v>
      </c>
      <c r="C1512" s="14" t="s">
        <v>98</v>
      </c>
      <c r="D1512" s="58"/>
      <c r="E1512" s="58"/>
    </row>
    <row r="1513" spans="1:5" ht="15.75" thickBot="1" x14ac:dyDescent="0.3">
      <c r="A1513" s="15">
        <v>93129</v>
      </c>
      <c r="B1513" s="14" t="s">
        <v>1685</v>
      </c>
      <c r="C1513" s="14" t="s">
        <v>98</v>
      </c>
      <c r="D1513" s="58"/>
      <c r="E1513" s="58"/>
    </row>
    <row r="1514" spans="1:5" ht="15.75" thickBot="1" x14ac:dyDescent="0.3">
      <c r="A1514" s="15">
        <v>93191</v>
      </c>
      <c r="B1514" s="14" t="s">
        <v>1686</v>
      </c>
      <c r="C1514" s="14" t="s">
        <v>98</v>
      </c>
      <c r="D1514" s="58"/>
      <c r="E1514" s="58"/>
    </row>
    <row r="1515" spans="1:5" ht="15.75" thickBot="1" x14ac:dyDescent="0.3">
      <c r="A1515" s="15">
        <v>93192</v>
      </c>
      <c r="B1515" s="14" t="s">
        <v>1687</v>
      </c>
      <c r="C1515" s="14" t="s">
        <v>98</v>
      </c>
      <c r="D1515" s="58"/>
      <c r="E1515" s="58"/>
    </row>
    <row r="1516" spans="1:5" ht="15.75" thickBot="1" x14ac:dyDescent="0.3">
      <c r="A1516" s="15">
        <v>93193</v>
      </c>
      <c r="B1516" s="14" t="s">
        <v>1688</v>
      </c>
      <c r="C1516" s="14" t="s">
        <v>98</v>
      </c>
      <c r="D1516" s="58"/>
      <c r="E1516" s="58"/>
    </row>
    <row r="1517" spans="1:5" ht="15.75" thickBot="1" x14ac:dyDescent="0.3">
      <c r="A1517" s="15">
        <v>93194</v>
      </c>
      <c r="B1517" s="14" t="s">
        <v>1689</v>
      </c>
      <c r="C1517" s="14" t="s">
        <v>98</v>
      </c>
      <c r="D1517" s="58"/>
      <c r="E1517" s="58"/>
    </row>
    <row r="1518" spans="1:5" ht="15.75" thickBot="1" x14ac:dyDescent="0.3">
      <c r="A1518" s="15">
        <v>93195</v>
      </c>
      <c r="B1518" s="14" t="s">
        <v>1690</v>
      </c>
      <c r="C1518" s="14" t="s">
        <v>98</v>
      </c>
      <c r="D1518" s="58"/>
      <c r="E1518" s="58"/>
    </row>
    <row r="1519" spans="1:5" ht="15.75" thickBot="1" x14ac:dyDescent="0.3">
      <c r="A1519" s="15">
        <v>93196</v>
      </c>
      <c r="B1519" s="14" t="s">
        <v>1691</v>
      </c>
      <c r="C1519" s="14" t="s">
        <v>98</v>
      </c>
      <c r="D1519" s="58"/>
      <c r="E1519" s="58"/>
    </row>
    <row r="1520" spans="1:5" ht="15.75" thickBot="1" x14ac:dyDescent="0.3">
      <c r="A1520" s="15">
        <v>93197</v>
      </c>
      <c r="B1520" s="14" t="s">
        <v>1692</v>
      </c>
      <c r="C1520" s="14" t="s">
        <v>98</v>
      </c>
      <c r="D1520" s="58"/>
      <c r="E1520" s="58"/>
    </row>
    <row r="1521" spans="1:5" ht="30.75" thickBot="1" x14ac:dyDescent="0.3">
      <c r="A1521" s="15">
        <v>93199</v>
      </c>
      <c r="B1521" s="14" t="s">
        <v>1693</v>
      </c>
      <c r="C1521" s="14" t="s">
        <v>98</v>
      </c>
      <c r="D1521" s="58"/>
      <c r="E1521" s="58"/>
    </row>
    <row r="1522" spans="1:5" ht="15.75" thickBot="1" x14ac:dyDescent="0.3">
      <c r="A1522" s="15">
        <v>93210</v>
      </c>
      <c r="B1522" s="14" t="s">
        <v>1694</v>
      </c>
      <c r="C1522" s="14" t="s">
        <v>98</v>
      </c>
      <c r="D1522" s="58"/>
      <c r="E1522" s="58"/>
    </row>
    <row r="1523" spans="1:5" ht="15.75" thickBot="1" x14ac:dyDescent="0.3">
      <c r="A1523" s="15">
        <v>93291</v>
      </c>
      <c r="B1523" s="14" t="s">
        <v>1695</v>
      </c>
      <c r="C1523" s="14" t="s">
        <v>98</v>
      </c>
      <c r="D1523" s="58"/>
      <c r="E1523" s="58"/>
    </row>
    <row r="1524" spans="1:5" ht="15.75" thickBot="1" x14ac:dyDescent="0.3">
      <c r="A1524" s="15">
        <v>93292</v>
      </c>
      <c r="B1524" s="14" t="s">
        <v>1696</v>
      </c>
      <c r="C1524" s="14" t="s">
        <v>98</v>
      </c>
      <c r="D1524" s="58"/>
      <c r="E1524" s="58"/>
    </row>
    <row r="1525" spans="1:5" ht="15.75" thickBot="1" x14ac:dyDescent="0.3">
      <c r="A1525" s="15">
        <v>93293</v>
      </c>
      <c r="B1525" s="14" t="s">
        <v>1697</v>
      </c>
      <c r="C1525" s="14" t="s">
        <v>98</v>
      </c>
      <c r="D1525" s="58"/>
      <c r="E1525" s="58"/>
    </row>
    <row r="1526" spans="1:5" ht="15.75" thickBot="1" x14ac:dyDescent="0.3">
      <c r="A1526" s="15">
        <v>93294</v>
      </c>
      <c r="B1526" s="14" t="s">
        <v>1698</v>
      </c>
      <c r="C1526" s="14" t="s">
        <v>98</v>
      </c>
      <c r="D1526" s="58"/>
      <c r="E1526" s="58"/>
    </row>
    <row r="1527" spans="1:5" ht="15.75" thickBot="1" x14ac:dyDescent="0.3">
      <c r="A1527" s="15">
        <v>93295</v>
      </c>
      <c r="B1527" s="14" t="s">
        <v>1699</v>
      </c>
      <c r="C1527" s="14" t="s">
        <v>98</v>
      </c>
      <c r="D1527" s="58"/>
      <c r="E1527" s="58"/>
    </row>
    <row r="1528" spans="1:5" ht="15.75" thickBot="1" x14ac:dyDescent="0.3">
      <c r="A1528" s="15">
        <v>93296</v>
      </c>
      <c r="B1528" s="14" t="s">
        <v>1700</v>
      </c>
      <c r="C1528" s="14" t="s">
        <v>98</v>
      </c>
      <c r="D1528" s="58"/>
      <c r="E1528" s="58"/>
    </row>
    <row r="1529" spans="1:5" ht="15.75" thickBot="1" x14ac:dyDescent="0.3">
      <c r="A1529" s="15">
        <v>93297</v>
      </c>
      <c r="B1529" s="14" t="s">
        <v>1701</v>
      </c>
      <c r="C1529" s="14" t="s">
        <v>98</v>
      </c>
      <c r="D1529" s="58"/>
      <c r="E1529" s="58"/>
    </row>
    <row r="1530" spans="1:5" ht="15.75" thickBot="1" x14ac:dyDescent="0.3">
      <c r="A1530" s="15">
        <v>93299</v>
      </c>
      <c r="B1530" s="14" t="s">
        <v>1702</v>
      </c>
      <c r="C1530" s="14" t="s">
        <v>98</v>
      </c>
      <c r="D1530" s="58"/>
      <c r="E1530" s="58"/>
    </row>
    <row r="1531" spans="1:5" ht="15.75" thickBot="1" x14ac:dyDescent="0.3">
      <c r="A1531" s="15">
        <v>94110</v>
      </c>
      <c r="B1531" s="14" t="s">
        <v>1703</v>
      </c>
      <c r="C1531" s="14" t="s">
        <v>109</v>
      </c>
      <c r="D1531" s="58"/>
      <c r="E1531" s="58"/>
    </row>
    <row r="1532" spans="1:5" ht="30.75" thickBot="1" x14ac:dyDescent="0.3">
      <c r="A1532" s="15">
        <v>94121</v>
      </c>
      <c r="B1532" s="14" t="s">
        <v>1704</v>
      </c>
      <c r="C1532" s="14" t="s">
        <v>109</v>
      </c>
      <c r="D1532" s="58"/>
      <c r="E1532" s="58"/>
    </row>
    <row r="1533" spans="1:5" ht="30.75" thickBot="1" x14ac:dyDescent="0.3">
      <c r="A1533" s="15">
        <v>94122</v>
      </c>
      <c r="B1533" s="14" t="s">
        <v>1705</v>
      </c>
      <c r="C1533" s="14" t="s">
        <v>109</v>
      </c>
      <c r="D1533" s="58"/>
      <c r="E1533" s="58"/>
    </row>
    <row r="1534" spans="1:5" ht="15.75" thickBot="1" x14ac:dyDescent="0.3">
      <c r="A1534" s="15">
        <v>94200</v>
      </c>
      <c r="B1534" s="14" t="s">
        <v>1706</v>
      </c>
      <c r="C1534" s="14" t="s">
        <v>109</v>
      </c>
      <c r="D1534" s="58"/>
      <c r="E1534" s="58"/>
    </row>
    <row r="1535" spans="1:5" ht="15.75" thickBot="1" x14ac:dyDescent="0.3">
      <c r="A1535" s="15">
        <v>94910</v>
      </c>
      <c r="B1535" s="14" t="s">
        <v>1707</v>
      </c>
      <c r="C1535" s="14" t="s">
        <v>109</v>
      </c>
      <c r="D1535" s="58"/>
      <c r="E1535" s="58"/>
    </row>
    <row r="1536" spans="1:5" ht="15.75" thickBot="1" x14ac:dyDescent="0.3">
      <c r="A1536" s="15">
        <v>94920</v>
      </c>
      <c r="B1536" s="14" t="s">
        <v>1708</v>
      </c>
      <c r="C1536" s="14" t="s">
        <v>109</v>
      </c>
      <c r="D1536" s="58"/>
      <c r="E1536" s="58"/>
    </row>
    <row r="1537" spans="1:5" ht="15.75" thickBot="1" x14ac:dyDescent="0.3">
      <c r="A1537" s="15">
        <v>94990</v>
      </c>
      <c r="B1537" s="14" t="s">
        <v>1709</v>
      </c>
      <c r="C1537" s="14" t="s">
        <v>109</v>
      </c>
      <c r="D1537" s="58"/>
      <c r="E1537" s="58"/>
    </row>
    <row r="1538" spans="1:5" ht="30.75" thickBot="1" x14ac:dyDescent="0.3">
      <c r="A1538" s="15">
        <v>95101</v>
      </c>
      <c r="B1538" s="14" t="s">
        <v>1710</v>
      </c>
      <c r="C1538" s="14" t="s">
        <v>109</v>
      </c>
      <c r="D1538" s="88" t="s">
        <v>2090</v>
      </c>
      <c r="E1538" s="58"/>
    </row>
    <row r="1539" spans="1:5" ht="30.75" thickBot="1" x14ac:dyDescent="0.3">
      <c r="A1539" s="15">
        <v>95102</v>
      </c>
      <c r="B1539" s="14" t="s">
        <v>1711</v>
      </c>
      <c r="C1539" s="14" t="s">
        <v>109</v>
      </c>
      <c r="D1539" s="58"/>
      <c r="E1539" s="58"/>
    </row>
    <row r="1540" spans="1:5" ht="30.75" thickBot="1" x14ac:dyDescent="0.3">
      <c r="A1540" s="15">
        <v>95210</v>
      </c>
      <c r="B1540" s="14" t="s">
        <v>1712</v>
      </c>
      <c r="C1540" s="14" t="s">
        <v>109</v>
      </c>
      <c r="D1540" s="58"/>
      <c r="E1540" s="58"/>
    </row>
    <row r="1541" spans="1:5" ht="30.75" thickBot="1" x14ac:dyDescent="0.3">
      <c r="A1541" s="15">
        <v>95220</v>
      </c>
      <c r="B1541" s="14" t="s">
        <v>1713</v>
      </c>
      <c r="C1541" s="14" t="s">
        <v>109</v>
      </c>
      <c r="D1541" s="58"/>
      <c r="E1541" s="58"/>
    </row>
    <row r="1542" spans="1:5" ht="30.75" thickBot="1" x14ac:dyDescent="0.3">
      <c r="A1542" s="15">
        <v>95230</v>
      </c>
      <c r="B1542" s="14" t="s">
        <v>1714</v>
      </c>
      <c r="C1542" s="14" t="s">
        <v>109</v>
      </c>
      <c r="D1542" s="58"/>
      <c r="E1542" s="58"/>
    </row>
    <row r="1543" spans="1:5" ht="30.75" thickBot="1" x14ac:dyDescent="0.3">
      <c r="A1543" s="15">
        <v>95240</v>
      </c>
      <c r="B1543" s="14" t="s">
        <v>1715</v>
      </c>
      <c r="C1543" s="14" t="s">
        <v>109</v>
      </c>
      <c r="D1543" s="58"/>
      <c r="E1543" s="58"/>
    </row>
    <row r="1544" spans="1:5" ht="15.75" thickBot="1" x14ac:dyDescent="0.3">
      <c r="A1544" s="15">
        <v>95291</v>
      </c>
      <c r="B1544" s="14" t="s">
        <v>1716</v>
      </c>
      <c r="C1544" s="14" t="s">
        <v>109</v>
      </c>
      <c r="D1544" s="58"/>
      <c r="E1544" s="58"/>
    </row>
    <row r="1545" spans="1:5" ht="30.75" thickBot="1" x14ac:dyDescent="0.3">
      <c r="A1545" s="15">
        <v>95299</v>
      </c>
      <c r="B1545" s="14" t="s">
        <v>1717</v>
      </c>
      <c r="C1545" s="14" t="s">
        <v>109</v>
      </c>
      <c r="D1545" s="58"/>
      <c r="E1545" s="58"/>
    </row>
    <row r="1546" spans="1:5" ht="15.75" thickBot="1" x14ac:dyDescent="0.3">
      <c r="A1546" s="15">
        <v>95311</v>
      </c>
      <c r="B1546" s="14" t="s">
        <v>1718</v>
      </c>
      <c r="C1546" s="14" t="s">
        <v>109</v>
      </c>
      <c r="D1546" s="58"/>
      <c r="E1546" s="58"/>
    </row>
    <row r="1547" spans="1:5" ht="15.75" thickBot="1" x14ac:dyDescent="0.3">
      <c r="A1547" s="15">
        <v>95312</v>
      </c>
      <c r="B1547" s="14" t="s">
        <v>1719</v>
      </c>
      <c r="C1547" s="14" t="s">
        <v>109</v>
      </c>
      <c r="D1547" s="58"/>
      <c r="E1547" s="58"/>
    </row>
    <row r="1548" spans="1:5" ht="15.75" thickBot="1" x14ac:dyDescent="0.3">
      <c r="A1548" s="15">
        <v>95320</v>
      </c>
      <c r="B1548" s="14" t="s">
        <v>1720</v>
      </c>
      <c r="C1548" s="14" t="s">
        <v>109</v>
      </c>
      <c r="D1548" s="58"/>
      <c r="E1548" s="58"/>
    </row>
    <row r="1549" spans="1:5" ht="30.75" thickBot="1" x14ac:dyDescent="0.3">
      <c r="A1549" s="15">
        <v>95400</v>
      </c>
      <c r="B1549" s="14" t="s">
        <v>1721</v>
      </c>
      <c r="C1549" s="14" t="s">
        <v>109</v>
      </c>
      <c r="D1549" s="88" t="s">
        <v>2090</v>
      </c>
      <c r="E1549" s="58"/>
    </row>
    <row r="1550" spans="1:5" ht="30.75" thickBot="1" x14ac:dyDescent="0.3">
      <c r="A1550" s="15">
        <v>96100</v>
      </c>
      <c r="B1550" s="14" t="s">
        <v>1722</v>
      </c>
      <c r="C1550" s="14" t="s">
        <v>109</v>
      </c>
      <c r="D1550" s="58"/>
      <c r="E1550" s="58"/>
    </row>
    <row r="1551" spans="1:5" ht="15.75" thickBot="1" x14ac:dyDescent="0.3">
      <c r="A1551" s="15">
        <v>96210</v>
      </c>
      <c r="B1551" s="14" t="s">
        <v>1723</v>
      </c>
      <c r="C1551" s="14" t="s">
        <v>109</v>
      </c>
      <c r="D1551" s="58"/>
      <c r="E1551" s="58"/>
    </row>
    <row r="1552" spans="1:5" ht="30.75" thickBot="1" x14ac:dyDescent="0.3">
      <c r="A1552" s="15">
        <v>96220</v>
      </c>
      <c r="B1552" s="14" t="s">
        <v>1724</v>
      </c>
      <c r="C1552" s="14" t="s">
        <v>109</v>
      </c>
      <c r="D1552" s="58"/>
      <c r="E1552" s="58"/>
    </row>
    <row r="1553" spans="1:5" ht="30.75" thickBot="1" x14ac:dyDescent="0.3">
      <c r="A1553" s="15">
        <v>96230</v>
      </c>
      <c r="B1553" s="14" t="s">
        <v>1725</v>
      </c>
      <c r="C1553" s="14" t="s">
        <v>109</v>
      </c>
      <c r="D1553" s="58"/>
      <c r="E1553" s="58"/>
    </row>
    <row r="1554" spans="1:5" ht="15.75" thickBot="1" x14ac:dyDescent="0.3">
      <c r="A1554" s="15">
        <v>96300</v>
      </c>
      <c r="B1554" s="14" t="s">
        <v>1726</v>
      </c>
      <c r="C1554" s="14" t="s">
        <v>109</v>
      </c>
      <c r="D1554" s="58"/>
      <c r="E1554" s="58"/>
    </row>
    <row r="1555" spans="1:5" ht="30.75" thickBot="1" x14ac:dyDescent="0.3">
      <c r="A1555" s="15">
        <v>96400</v>
      </c>
      <c r="B1555" s="14" t="s">
        <v>1727</v>
      </c>
      <c r="C1555" s="14" t="s">
        <v>109</v>
      </c>
      <c r="D1555" s="88" t="s">
        <v>2090</v>
      </c>
      <c r="E1555" s="58"/>
    </row>
    <row r="1556" spans="1:5" ht="15.75" thickBot="1" x14ac:dyDescent="0.3">
      <c r="A1556" s="15">
        <v>96900</v>
      </c>
      <c r="B1556" s="14" t="s">
        <v>110</v>
      </c>
      <c r="C1556" s="14" t="s">
        <v>109</v>
      </c>
      <c r="D1556" s="58"/>
      <c r="E1556" s="58"/>
    </row>
    <row r="1557" spans="1:5" ht="30.75" thickBot="1" x14ac:dyDescent="0.3">
      <c r="A1557" s="15">
        <v>97000</v>
      </c>
      <c r="B1557" s="14" t="s">
        <v>1729</v>
      </c>
      <c r="C1557" s="14" t="s">
        <v>1728</v>
      </c>
      <c r="D1557" s="58"/>
      <c r="E1557" s="58"/>
    </row>
    <row r="1558" spans="1:5" ht="30.75" thickBot="1" x14ac:dyDescent="0.3">
      <c r="A1558" s="15">
        <v>98100</v>
      </c>
      <c r="B1558" s="14" t="s">
        <v>1730</v>
      </c>
      <c r="C1558" s="14" t="s">
        <v>1728</v>
      </c>
      <c r="D1558" s="58"/>
      <c r="E1558" s="58"/>
    </row>
    <row r="1559" spans="1:5" ht="30.75" thickBot="1" x14ac:dyDescent="0.3">
      <c r="A1559" s="15">
        <v>98200</v>
      </c>
      <c r="B1559" s="14" t="s">
        <v>1731</v>
      </c>
      <c r="C1559" s="14" t="s">
        <v>1728</v>
      </c>
      <c r="D1559" s="58"/>
      <c r="E1559" s="58"/>
    </row>
    <row r="1560" spans="1:5" ht="30.75" thickBot="1" x14ac:dyDescent="0.3">
      <c r="A1560" s="15">
        <v>99000</v>
      </c>
      <c r="B1560" s="14" t="s">
        <v>1733</v>
      </c>
      <c r="C1560" s="14" t="s">
        <v>1732</v>
      </c>
      <c r="D1560" s="58"/>
      <c r="E1560" s="58"/>
    </row>
  </sheetData>
  <autoFilter ref="A1:E1560"/>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60"/>
  <sheetViews>
    <sheetView workbookViewId="0">
      <selection activeCell="A1560" sqref="A1:K1560"/>
    </sheetView>
  </sheetViews>
  <sheetFormatPr defaultRowHeight="15" x14ac:dyDescent="0.25"/>
  <cols>
    <col min="1" max="2" width="10.140625" style="39" customWidth="1"/>
    <col min="3" max="3" width="26.5703125" style="18" customWidth="1"/>
    <col min="4" max="4" width="37.85546875" style="43" customWidth="1"/>
    <col min="5" max="5" width="27" style="39" customWidth="1"/>
    <col min="6" max="6" width="17" style="39" customWidth="1"/>
    <col min="7" max="7" width="16.28515625" style="39" customWidth="1"/>
    <col min="8" max="8" width="29.140625" style="43" customWidth="1"/>
    <col min="9" max="11" width="19.28515625" style="39" customWidth="1"/>
    <col min="12" max="16384" width="9.140625" style="39"/>
  </cols>
  <sheetData>
    <row r="1" spans="1:11" ht="15.75" thickBot="1" x14ac:dyDescent="0.3">
      <c r="A1" s="27" t="s">
        <v>1</v>
      </c>
      <c r="B1" s="28" t="s">
        <v>2</v>
      </c>
      <c r="C1" s="28" t="s">
        <v>3</v>
      </c>
      <c r="D1" s="37" t="s">
        <v>4</v>
      </c>
      <c r="E1" s="27" t="s">
        <v>5</v>
      </c>
      <c r="F1" s="27" t="s">
        <v>0</v>
      </c>
      <c r="G1" s="27" t="s">
        <v>2059</v>
      </c>
      <c r="H1" s="85" t="s">
        <v>2129</v>
      </c>
      <c r="I1" s="86" t="s">
        <v>2131</v>
      </c>
      <c r="J1" s="86" t="s">
        <v>2132</v>
      </c>
      <c r="K1" s="86" t="s">
        <v>2133</v>
      </c>
    </row>
    <row r="2" spans="1:11" ht="15.75" thickBot="1" x14ac:dyDescent="0.3">
      <c r="A2" s="35" t="s">
        <v>118</v>
      </c>
      <c r="B2" s="40" t="s">
        <v>119</v>
      </c>
      <c r="C2" s="41" t="s">
        <v>120</v>
      </c>
      <c r="D2" s="30" t="e">
        <f>VLOOKUP(Table13[[#This Row],[kbli5]],Table1[[#All],[kbli5]:[digital_hijau]],3,)</f>
        <v>#N/A</v>
      </c>
      <c r="E2" s="35" t="e">
        <f>VLOOKUP(Table13[[#This Row],[kbli5]],kata_kunci!$B:$H,4,FALSE)</f>
        <v>#N/A</v>
      </c>
      <c r="F2" s="30" t="e">
        <f>VLOOKUP(Table13[[#This Row],[kbli5]],Table1[[#All],[kbli5]:[digital_hijau]],5,)</f>
        <v>#N/A</v>
      </c>
      <c r="G2" s="30" t="e">
        <f>VLOOKUP(Table13[[#This Row],[kbli5]],Table1[[#All],[kbli5]:[digital_hijau]],6,)</f>
        <v>#N/A</v>
      </c>
      <c r="H2" s="38" t="e">
        <f>VLOOKUP(Table13[[#This Row],[kbli5]],kata_kunci!$B:$H,3,FALSE)</f>
        <v>#N/A</v>
      </c>
      <c r="I2" s="84" t="e">
        <f>VLOOKUP(Table13[[#This Row],[kbli5]],kata_kunci!$B:$H,5,FALSE)</f>
        <v>#N/A</v>
      </c>
      <c r="J2" s="84" t="e">
        <f>VLOOKUP(Table13[[#This Row],[kbli5]],kata_kunci!$B:$H,6,FALSE)</f>
        <v>#N/A</v>
      </c>
      <c r="K2" s="84" t="e">
        <f>VLOOKUP(Table13[[#This Row],[kbli5]],kata_kunci!$B:$H,7,FALSE)</f>
        <v>#N/A</v>
      </c>
    </row>
    <row r="3" spans="1:11" ht="30.75" thickBot="1" x14ac:dyDescent="0.3">
      <c r="A3" s="35" t="s">
        <v>118</v>
      </c>
      <c r="B3" s="40" t="s">
        <v>121</v>
      </c>
      <c r="C3" s="41" t="s">
        <v>122</v>
      </c>
      <c r="D3" s="30" t="e">
        <f>VLOOKUP(Table13[[#This Row],[kbli5]],Table1[[#All],[kbli5]:[digital_hijau]],3,)</f>
        <v>#N/A</v>
      </c>
      <c r="E3" s="35" t="e">
        <f>VLOOKUP(Table13[[#This Row],[kbli5]],kata_kunci!$B:$H,4,FALSE)</f>
        <v>#N/A</v>
      </c>
      <c r="F3" s="35" t="e">
        <f>VLOOKUP(Table13[[#This Row],[kbli5]],Table1[[#All],[kbli5]:[digital_hijau]],5,)</f>
        <v>#N/A</v>
      </c>
      <c r="G3" s="35" t="e">
        <f>VLOOKUP(Table13[[#This Row],[kbli5]],Table1[[#All],[kbli5]:[digital_hijau]],6,)</f>
        <v>#N/A</v>
      </c>
      <c r="H3" s="38" t="e">
        <f>VLOOKUP(Table13[[#This Row],[kbli5]],kata_kunci!$B:$H,3,FALSE)</f>
        <v>#N/A</v>
      </c>
      <c r="I3" s="84" t="e">
        <f>VLOOKUP(Table13[[#This Row],[kbli5]],kata_kunci!$B:$H,5,FALSE)</f>
        <v>#N/A</v>
      </c>
      <c r="J3" s="84" t="e">
        <f>VLOOKUP(Table13[[#This Row],[kbli5]],kata_kunci!$B:$H,6,FALSE)</f>
        <v>#N/A</v>
      </c>
      <c r="K3" s="84" t="e">
        <f>VLOOKUP(Table13[[#This Row],[kbli5]],kata_kunci!$B:$H,7,FALSE)</f>
        <v>#N/A</v>
      </c>
    </row>
    <row r="4" spans="1:11" ht="15.75" thickBot="1" x14ac:dyDescent="0.3">
      <c r="A4" s="35" t="s">
        <v>118</v>
      </c>
      <c r="B4" s="40" t="s">
        <v>123</v>
      </c>
      <c r="C4" s="41" t="s">
        <v>124</v>
      </c>
      <c r="D4" s="30" t="e">
        <f>VLOOKUP(Table13[[#This Row],[kbli5]],Table1[[#All],[kbli5]:[digital_hijau]],3,)</f>
        <v>#N/A</v>
      </c>
      <c r="E4" s="35" t="e">
        <f>VLOOKUP(Table13[[#This Row],[kbli5]],kata_kunci!$B:$H,4,FALSE)</f>
        <v>#N/A</v>
      </c>
      <c r="F4" s="35" t="e">
        <f>VLOOKUP(Table13[[#This Row],[kbli5]],Table1[[#All],[kbli5]:[digital_hijau]],5,)</f>
        <v>#N/A</v>
      </c>
      <c r="G4" s="35" t="e">
        <f>VLOOKUP(Table13[[#This Row],[kbli5]],Table1[[#All],[kbli5]:[digital_hijau]],6,)</f>
        <v>#N/A</v>
      </c>
      <c r="H4" s="38" t="e">
        <f>VLOOKUP(Table13[[#This Row],[kbli5]],kata_kunci!$B:$H,3,FALSE)</f>
        <v>#N/A</v>
      </c>
      <c r="I4" s="84" t="e">
        <f>VLOOKUP(Table13[[#This Row],[kbli5]],kata_kunci!$B:$H,5,FALSE)</f>
        <v>#N/A</v>
      </c>
      <c r="J4" s="84" t="e">
        <f>VLOOKUP(Table13[[#This Row],[kbli5]],kata_kunci!$B:$H,6,FALSE)</f>
        <v>#N/A</v>
      </c>
      <c r="K4" s="84" t="e">
        <f>VLOOKUP(Table13[[#This Row],[kbli5]],kata_kunci!$B:$H,7,FALSE)</f>
        <v>#N/A</v>
      </c>
    </row>
    <row r="5" spans="1:11" ht="15.75" thickBot="1" x14ac:dyDescent="0.3">
      <c r="A5" s="35" t="s">
        <v>118</v>
      </c>
      <c r="B5" s="40" t="s">
        <v>125</v>
      </c>
      <c r="C5" s="41" t="s">
        <v>126</v>
      </c>
      <c r="D5" s="30" t="e">
        <f>VLOOKUP(Table13[[#This Row],[kbli5]],Table1[[#All],[kbli5]:[digital_hijau]],3,)</f>
        <v>#N/A</v>
      </c>
      <c r="E5" s="35" t="e">
        <f>VLOOKUP(Table13[[#This Row],[kbli5]],kata_kunci!$B:$H,4,FALSE)</f>
        <v>#N/A</v>
      </c>
      <c r="F5" s="35" t="e">
        <f>VLOOKUP(Table13[[#This Row],[kbli5]],Table1[[#All],[kbli5]:[digital_hijau]],5,)</f>
        <v>#N/A</v>
      </c>
      <c r="G5" s="35" t="e">
        <f>VLOOKUP(Table13[[#This Row],[kbli5]],Table1[[#All],[kbli5]:[digital_hijau]],6,)</f>
        <v>#N/A</v>
      </c>
      <c r="H5" s="38" t="e">
        <f>VLOOKUP(Table13[[#This Row],[kbli5]],kata_kunci!$B:$H,3,FALSE)</f>
        <v>#N/A</v>
      </c>
      <c r="I5" s="84" t="e">
        <f>VLOOKUP(Table13[[#This Row],[kbli5]],kata_kunci!$B:$H,5,FALSE)</f>
        <v>#N/A</v>
      </c>
      <c r="J5" s="84" t="e">
        <f>VLOOKUP(Table13[[#This Row],[kbli5]],kata_kunci!$B:$H,6,FALSE)</f>
        <v>#N/A</v>
      </c>
      <c r="K5" s="84" t="e">
        <f>VLOOKUP(Table13[[#This Row],[kbli5]],kata_kunci!$B:$H,7,FALSE)</f>
        <v>#N/A</v>
      </c>
    </row>
    <row r="6" spans="1:11" ht="15.75" thickBot="1" x14ac:dyDescent="0.3">
      <c r="A6" s="35" t="s">
        <v>118</v>
      </c>
      <c r="B6" s="40" t="s">
        <v>127</v>
      </c>
      <c r="C6" s="41" t="s">
        <v>128</v>
      </c>
      <c r="D6" s="30" t="e">
        <f>VLOOKUP(Table13[[#This Row],[kbli5]],Table1[[#All],[kbli5]:[digital_hijau]],3,)</f>
        <v>#N/A</v>
      </c>
      <c r="E6" s="35" t="e">
        <f>VLOOKUP(Table13[[#This Row],[kbli5]],kata_kunci!$B:$H,4,FALSE)</f>
        <v>#N/A</v>
      </c>
      <c r="F6" s="35" t="e">
        <f>VLOOKUP(Table13[[#This Row],[kbli5]],Table1[[#All],[kbli5]:[digital_hijau]],5,)</f>
        <v>#N/A</v>
      </c>
      <c r="G6" s="35" t="e">
        <f>VLOOKUP(Table13[[#This Row],[kbli5]],Table1[[#All],[kbli5]:[digital_hijau]],6,)</f>
        <v>#N/A</v>
      </c>
      <c r="H6" s="38" t="e">
        <f>VLOOKUP(Table13[[#This Row],[kbli5]],kata_kunci!$B:$H,3,FALSE)</f>
        <v>#N/A</v>
      </c>
      <c r="I6" s="84" t="e">
        <f>VLOOKUP(Table13[[#This Row],[kbli5]],kata_kunci!$B:$H,5,FALSE)</f>
        <v>#N/A</v>
      </c>
      <c r="J6" s="84" t="e">
        <f>VLOOKUP(Table13[[#This Row],[kbli5]],kata_kunci!$B:$H,6,FALSE)</f>
        <v>#N/A</v>
      </c>
      <c r="K6" s="84" t="e">
        <f>VLOOKUP(Table13[[#This Row],[kbli5]],kata_kunci!$B:$H,7,FALSE)</f>
        <v>#N/A</v>
      </c>
    </row>
    <row r="7" spans="1:11" ht="45.75" thickBot="1" x14ac:dyDescent="0.3">
      <c r="A7" s="35" t="s">
        <v>118</v>
      </c>
      <c r="B7" s="40" t="s">
        <v>129</v>
      </c>
      <c r="C7" s="41" t="s">
        <v>130</v>
      </c>
      <c r="D7" s="30" t="e">
        <f>VLOOKUP(Table13[[#This Row],[kbli5]],Table1[[#All],[kbli5]:[digital_hijau]],3,)</f>
        <v>#N/A</v>
      </c>
      <c r="E7" s="35" t="e">
        <f>VLOOKUP(Table13[[#This Row],[kbli5]],kata_kunci!$B:$H,4,FALSE)</f>
        <v>#N/A</v>
      </c>
      <c r="F7" s="35" t="e">
        <f>VLOOKUP(Table13[[#This Row],[kbli5]],Table1[[#All],[kbli5]:[digital_hijau]],5,)</f>
        <v>#N/A</v>
      </c>
      <c r="G7" s="35" t="e">
        <f>VLOOKUP(Table13[[#This Row],[kbli5]],Table1[[#All],[kbli5]:[digital_hijau]],6,)</f>
        <v>#N/A</v>
      </c>
      <c r="H7" s="38" t="e">
        <f>VLOOKUP(Table13[[#This Row],[kbli5]],kata_kunci!$B:$H,3,FALSE)</f>
        <v>#N/A</v>
      </c>
      <c r="I7" s="84" t="e">
        <f>VLOOKUP(Table13[[#This Row],[kbli5]],kata_kunci!$B:$H,5,FALSE)</f>
        <v>#N/A</v>
      </c>
      <c r="J7" s="84" t="e">
        <f>VLOOKUP(Table13[[#This Row],[kbli5]],kata_kunci!$B:$H,6,FALSE)</f>
        <v>#N/A</v>
      </c>
      <c r="K7" s="84" t="e">
        <f>VLOOKUP(Table13[[#This Row],[kbli5]],kata_kunci!$B:$H,7,FALSE)</f>
        <v>#N/A</v>
      </c>
    </row>
    <row r="8" spans="1:11" ht="30.75" thickBot="1" x14ac:dyDescent="0.3">
      <c r="A8" s="35" t="s">
        <v>118</v>
      </c>
      <c r="B8" s="40" t="s">
        <v>131</v>
      </c>
      <c r="C8" s="41" t="s">
        <v>132</v>
      </c>
      <c r="D8" s="30" t="e">
        <f>VLOOKUP(Table13[[#This Row],[kbli5]],Table1[[#All],[kbli5]:[digital_hijau]],3,)</f>
        <v>#N/A</v>
      </c>
      <c r="E8" s="35" t="e">
        <f>VLOOKUP(Table13[[#This Row],[kbli5]],kata_kunci!$B:$H,4,FALSE)</f>
        <v>#N/A</v>
      </c>
      <c r="F8" s="35" t="e">
        <f>VLOOKUP(Table13[[#This Row],[kbli5]],Table1[[#All],[kbli5]:[digital_hijau]],5,)</f>
        <v>#N/A</v>
      </c>
      <c r="G8" s="35" t="e">
        <f>VLOOKUP(Table13[[#This Row],[kbli5]],Table1[[#All],[kbli5]:[digital_hijau]],6,)</f>
        <v>#N/A</v>
      </c>
      <c r="H8" s="38" t="e">
        <f>VLOOKUP(Table13[[#This Row],[kbli5]],kata_kunci!$B:$H,3,FALSE)</f>
        <v>#N/A</v>
      </c>
      <c r="I8" s="84" t="e">
        <f>VLOOKUP(Table13[[#This Row],[kbli5]],kata_kunci!$B:$H,5,FALSE)</f>
        <v>#N/A</v>
      </c>
      <c r="J8" s="84" t="e">
        <f>VLOOKUP(Table13[[#This Row],[kbli5]],kata_kunci!$B:$H,6,FALSE)</f>
        <v>#N/A</v>
      </c>
      <c r="K8" s="84" t="e">
        <f>VLOOKUP(Table13[[#This Row],[kbli5]],kata_kunci!$B:$H,7,FALSE)</f>
        <v>#N/A</v>
      </c>
    </row>
    <row r="9" spans="1:11" ht="45.75" thickBot="1" x14ac:dyDescent="0.3">
      <c r="A9" s="35" t="s">
        <v>118</v>
      </c>
      <c r="B9" s="40" t="s">
        <v>133</v>
      </c>
      <c r="C9" s="41" t="s">
        <v>134</v>
      </c>
      <c r="D9" s="30" t="e">
        <f>VLOOKUP(Table13[[#This Row],[kbli5]],Table1[[#All],[kbli5]:[digital_hijau]],3,)</f>
        <v>#N/A</v>
      </c>
      <c r="E9" s="35" t="e">
        <f>VLOOKUP(Table13[[#This Row],[kbli5]],kata_kunci!$B:$H,4,FALSE)</f>
        <v>#N/A</v>
      </c>
      <c r="F9" s="35" t="e">
        <f>VLOOKUP(Table13[[#This Row],[kbli5]],Table1[[#All],[kbli5]:[digital_hijau]],5,)</f>
        <v>#N/A</v>
      </c>
      <c r="G9" s="35" t="e">
        <f>VLOOKUP(Table13[[#This Row],[kbli5]],Table1[[#All],[kbli5]:[digital_hijau]],6,)</f>
        <v>#N/A</v>
      </c>
      <c r="H9" s="38" t="e">
        <f>VLOOKUP(Table13[[#This Row],[kbli5]],kata_kunci!$B:$H,3,FALSE)</f>
        <v>#N/A</v>
      </c>
      <c r="I9" s="84" t="e">
        <f>VLOOKUP(Table13[[#This Row],[kbli5]],kata_kunci!$B:$H,5,FALSE)</f>
        <v>#N/A</v>
      </c>
      <c r="J9" s="84" t="e">
        <f>VLOOKUP(Table13[[#This Row],[kbli5]],kata_kunci!$B:$H,6,FALSE)</f>
        <v>#N/A</v>
      </c>
      <c r="K9" s="84" t="e">
        <f>VLOOKUP(Table13[[#This Row],[kbli5]],kata_kunci!$B:$H,7,FALSE)</f>
        <v>#N/A</v>
      </c>
    </row>
    <row r="10" spans="1:11" ht="15.75" thickBot="1" x14ac:dyDescent="0.3">
      <c r="A10" s="35" t="s">
        <v>118</v>
      </c>
      <c r="B10" s="40" t="s">
        <v>135</v>
      </c>
      <c r="C10" s="41" t="s">
        <v>136</v>
      </c>
      <c r="D10" s="30" t="e">
        <f>VLOOKUP(Table13[[#This Row],[kbli5]],Table1[[#All],[kbli5]:[digital_hijau]],3,)</f>
        <v>#N/A</v>
      </c>
      <c r="E10" s="35" t="e">
        <f>VLOOKUP(Table13[[#This Row],[kbli5]],kata_kunci!$B:$H,4,FALSE)</f>
        <v>#N/A</v>
      </c>
      <c r="F10" s="35" t="e">
        <f>VLOOKUP(Table13[[#This Row],[kbli5]],Table1[[#All],[kbli5]:[digital_hijau]],5,)</f>
        <v>#N/A</v>
      </c>
      <c r="G10" s="35" t="e">
        <f>VLOOKUP(Table13[[#This Row],[kbli5]],Table1[[#All],[kbli5]:[digital_hijau]],6,)</f>
        <v>#N/A</v>
      </c>
      <c r="H10" s="38" t="e">
        <f>VLOOKUP(Table13[[#This Row],[kbli5]],kata_kunci!$B:$H,3,FALSE)</f>
        <v>#N/A</v>
      </c>
      <c r="I10" s="84" t="e">
        <f>VLOOKUP(Table13[[#This Row],[kbli5]],kata_kunci!$B:$H,5,FALSE)</f>
        <v>#N/A</v>
      </c>
      <c r="J10" s="84" t="e">
        <f>VLOOKUP(Table13[[#This Row],[kbli5]],kata_kunci!$B:$H,6,FALSE)</f>
        <v>#N/A</v>
      </c>
      <c r="K10" s="84" t="e">
        <f>VLOOKUP(Table13[[#This Row],[kbli5]],kata_kunci!$B:$H,7,FALSE)</f>
        <v>#N/A</v>
      </c>
    </row>
    <row r="11" spans="1:11" ht="15.75" thickBot="1" x14ac:dyDescent="0.3">
      <c r="A11" s="35" t="s">
        <v>118</v>
      </c>
      <c r="B11" s="40" t="s">
        <v>137</v>
      </c>
      <c r="C11" s="41" t="s">
        <v>138</v>
      </c>
      <c r="D11" s="30" t="e">
        <f>VLOOKUP(Table13[[#This Row],[kbli5]],Table1[[#All],[kbli5]:[digital_hijau]],3,)</f>
        <v>#N/A</v>
      </c>
      <c r="E11" s="35" t="e">
        <f>VLOOKUP(Table13[[#This Row],[kbli5]],kata_kunci!$B:$H,4,FALSE)</f>
        <v>#N/A</v>
      </c>
      <c r="F11" s="35" t="e">
        <f>VLOOKUP(Table13[[#This Row],[kbli5]],Table1[[#All],[kbli5]:[digital_hijau]],5,)</f>
        <v>#N/A</v>
      </c>
      <c r="G11" s="35" t="e">
        <f>VLOOKUP(Table13[[#This Row],[kbli5]],Table1[[#All],[kbli5]:[digital_hijau]],6,)</f>
        <v>#N/A</v>
      </c>
      <c r="H11" s="38" t="e">
        <f>VLOOKUP(Table13[[#This Row],[kbli5]],kata_kunci!$B:$H,3,FALSE)</f>
        <v>#N/A</v>
      </c>
      <c r="I11" s="84" t="e">
        <f>VLOOKUP(Table13[[#This Row],[kbli5]],kata_kunci!$B:$H,5,FALSE)</f>
        <v>#N/A</v>
      </c>
      <c r="J11" s="84" t="e">
        <f>VLOOKUP(Table13[[#This Row],[kbli5]],kata_kunci!$B:$H,6,FALSE)</f>
        <v>#N/A</v>
      </c>
      <c r="K11" s="84" t="e">
        <f>VLOOKUP(Table13[[#This Row],[kbli5]],kata_kunci!$B:$H,7,FALSE)</f>
        <v>#N/A</v>
      </c>
    </row>
    <row r="12" spans="1:11" ht="15.75" thickBot="1" x14ac:dyDescent="0.3">
      <c r="A12" s="35" t="s">
        <v>118</v>
      </c>
      <c r="B12" s="40" t="s">
        <v>139</v>
      </c>
      <c r="C12" s="41" t="s">
        <v>140</v>
      </c>
      <c r="D12" s="30" t="e">
        <f>VLOOKUP(Table13[[#This Row],[kbli5]],Table1[[#All],[kbli5]:[digital_hijau]],3,)</f>
        <v>#N/A</v>
      </c>
      <c r="E12" s="35" t="e">
        <f>VLOOKUP(Table13[[#This Row],[kbli5]],kata_kunci!$B:$H,4,FALSE)</f>
        <v>#N/A</v>
      </c>
      <c r="F12" s="35" t="e">
        <f>VLOOKUP(Table13[[#This Row],[kbli5]],Table1[[#All],[kbli5]:[digital_hijau]],5,)</f>
        <v>#N/A</v>
      </c>
      <c r="G12" s="35" t="e">
        <f>VLOOKUP(Table13[[#This Row],[kbli5]],Table1[[#All],[kbli5]:[digital_hijau]],6,)</f>
        <v>#N/A</v>
      </c>
      <c r="H12" s="38" t="e">
        <f>VLOOKUP(Table13[[#This Row],[kbli5]],kata_kunci!$B:$H,3,FALSE)</f>
        <v>#N/A</v>
      </c>
      <c r="I12" s="84" t="e">
        <f>VLOOKUP(Table13[[#This Row],[kbli5]],kata_kunci!$B:$H,5,FALSE)</f>
        <v>#N/A</v>
      </c>
      <c r="J12" s="84" t="e">
        <f>VLOOKUP(Table13[[#This Row],[kbli5]],kata_kunci!$B:$H,6,FALSE)</f>
        <v>#N/A</v>
      </c>
      <c r="K12" s="84" t="e">
        <f>VLOOKUP(Table13[[#This Row],[kbli5]],kata_kunci!$B:$H,7,FALSE)</f>
        <v>#N/A</v>
      </c>
    </row>
    <row r="13" spans="1:11" ht="15.75" thickBot="1" x14ac:dyDescent="0.3">
      <c r="A13" s="35" t="s">
        <v>118</v>
      </c>
      <c r="B13" s="40" t="s">
        <v>141</v>
      </c>
      <c r="C13" s="41" t="s">
        <v>142</v>
      </c>
      <c r="D13" s="30" t="e">
        <f>VLOOKUP(Table13[[#This Row],[kbli5]],Table1[[#All],[kbli5]:[digital_hijau]],3,)</f>
        <v>#N/A</v>
      </c>
      <c r="E13" s="35" t="e">
        <f>VLOOKUP(Table13[[#This Row],[kbli5]],kata_kunci!$B:$H,4,FALSE)</f>
        <v>#N/A</v>
      </c>
      <c r="F13" s="35" t="e">
        <f>VLOOKUP(Table13[[#This Row],[kbli5]],Table1[[#All],[kbli5]:[digital_hijau]],5,)</f>
        <v>#N/A</v>
      </c>
      <c r="G13" s="35" t="e">
        <f>VLOOKUP(Table13[[#This Row],[kbli5]],Table1[[#All],[kbli5]:[digital_hijau]],6,)</f>
        <v>#N/A</v>
      </c>
      <c r="H13" s="38" t="e">
        <f>VLOOKUP(Table13[[#This Row],[kbli5]],kata_kunci!$B:$H,3,FALSE)</f>
        <v>#N/A</v>
      </c>
      <c r="I13" s="84" t="e">
        <f>VLOOKUP(Table13[[#This Row],[kbli5]],kata_kunci!$B:$H,5,FALSE)</f>
        <v>#N/A</v>
      </c>
      <c r="J13" s="84" t="e">
        <f>VLOOKUP(Table13[[#This Row],[kbli5]],kata_kunci!$B:$H,6,FALSE)</f>
        <v>#N/A</v>
      </c>
      <c r="K13" s="84" t="e">
        <f>VLOOKUP(Table13[[#This Row],[kbli5]],kata_kunci!$B:$H,7,FALSE)</f>
        <v>#N/A</v>
      </c>
    </row>
    <row r="14" spans="1:11" ht="15.75" thickBot="1" x14ac:dyDescent="0.3">
      <c r="A14" s="35" t="s">
        <v>118</v>
      </c>
      <c r="B14" s="40" t="s">
        <v>143</v>
      </c>
      <c r="C14" s="41" t="s">
        <v>144</v>
      </c>
      <c r="D14" s="30" t="e">
        <f>VLOOKUP(Table13[[#This Row],[kbli5]],Table1[[#All],[kbli5]:[digital_hijau]],3,)</f>
        <v>#N/A</v>
      </c>
      <c r="E14" s="35" t="e">
        <f>VLOOKUP(Table13[[#This Row],[kbli5]],kata_kunci!$B:$H,4,FALSE)</f>
        <v>#N/A</v>
      </c>
      <c r="F14" s="35" t="e">
        <f>VLOOKUP(Table13[[#This Row],[kbli5]],Table1[[#All],[kbli5]:[digital_hijau]],5,)</f>
        <v>#N/A</v>
      </c>
      <c r="G14" s="35" t="e">
        <f>VLOOKUP(Table13[[#This Row],[kbli5]],Table1[[#All],[kbli5]:[digital_hijau]],6,)</f>
        <v>#N/A</v>
      </c>
      <c r="H14" s="38" t="e">
        <f>VLOOKUP(Table13[[#This Row],[kbli5]],kata_kunci!$B:$H,3,FALSE)</f>
        <v>#N/A</v>
      </c>
      <c r="I14" s="84" t="e">
        <f>VLOOKUP(Table13[[#This Row],[kbli5]],kata_kunci!$B:$H,5,FALSE)</f>
        <v>#N/A</v>
      </c>
      <c r="J14" s="84" t="e">
        <f>VLOOKUP(Table13[[#This Row],[kbli5]],kata_kunci!$B:$H,6,FALSE)</f>
        <v>#N/A</v>
      </c>
      <c r="K14" s="84" t="e">
        <f>VLOOKUP(Table13[[#This Row],[kbli5]],kata_kunci!$B:$H,7,FALSE)</f>
        <v>#N/A</v>
      </c>
    </row>
    <row r="15" spans="1:11" ht="15.75" thickBot="1" x14ac:dyDescent="0.3">
      <c r="A15" s="35" t="s">
        <v>118</v>
      </c>
      <c r="B15" s="40" t="s">
        <v>145</v>
      </c>
      <c r="C15" s="41" t="s">
        <v>146</v>
      </c>
      <c r="D15" s="30" t="e">
        <f>VLOOKUP(Table13[[#This Row],[kbli5]],Table1[[#All],[kbli5]:[digital_hijau]],3,)</f>
        <v>#N/A</v>
      </c>
      <c r="E15" s="35" t="e">
        <f>VLOOKUP(Table13[[#This Row],[kbli5]],kata_kunci!$B:$H,4,FALSE)</f>
        <v>#N/A</v>
      </c>
      <c r="F15" s="35" t="e">
        <f>VLOOKUP(Table13[[#This Row],[kbli5]],Table1[[#All],[kbli5]:[digital_hijau]],5,)</f>
        <v>#N/A</v>
      </c>
      <c r="G15" s="35" t="e">
        <f>VLOOKUP(Table13[[#This Row],[kbli5]],Table1[[#All],[kbli5]:[digital_hijau]],6,)</f>
        <v>#N/A</v>
      </c>
      <c r="H15" s="38" t="e">
        <f>VLOOKUP(Table13[[#This Row],[kbli5]],kata_kunci!$B:$H,3,FALSE)</f>
        <v>#N/A</v>
      </c>
      <c r="I15" s="84" t="e">
        <f>VLOOKUP(Table13[[#This Row],[kbli5]],kata_kunci!$B:$H,5,FALSE)</f>
        <v>#N/A</v>
      </c>
      <c r="J15" s="84" t="e">
        <f>VLOOKUP(Table13[[#This Row],[kbli5]],kata_kunci!$B:$H,6,FALSE)</f>
        <v>#N/A</v>
      </c>
      <c r="K15" s="84" t="e">
        <f>VLOOKUP(Table13[[#This Row],[kbli5]],kata_kunci!$B:$H,7,FALSE)</f>
        <v>#N/A</v>
      </c>
    </row>
    <row r="16" spans="1:11" ht="15.75" thickBot="1" x14ac:dyDescent="0.3">
      <c r="A16" s="35" t="s">
        <v>118</v>
      </c>
      <c r="B16" s="40" t="s">
        <v>147</v>
      </c>
      <c r="C16" s="41" t="s">
        <v>148</v>
      </c>
      <c r="D16" s="30" t="e">
        <f>VLOOKUP(Table13[[#This Row],[kbli5]],Table1[[#All],[kbli5]:[digital_hijau]],3,)</f>
        <v>#N/A</v>
      </c>
      <c r="E16" s="35" t="e">
        <f>VLOOKUP(Table13[[#This Row],[kbli5]],kata_kunci!$B:$H,4,FALSE)</f>
        <v>#N/A</v>
      </c>
      <c r="F16" s="35" t="e">
        <f>VLOOKUP(Table13[[#This Row],[kbli5]],Table1[[#All],[kbli5]:[digital_hijau]],5,)</f>
        <v>#N/A</v>
      </c>
      <c r="G16" s="35" t="e">
        <f>VLOOKUP(Table13[[#This Row],[kbli5]],Table1[[#All],[kbli5]:[digital_hijau]],6,)</f>
        <v>#N/A</v>
      </c>
      <c r="H16" s="38" t="e">
        <f>VLOOKUP(Table13[[#This Row],[kbli5]],kata_kunci!$B:$H,3,FALSE)</f>
        <v>#N/A</v>
      </c>
      <c r="I16" s="84" t="e">
        <f>VLOOKUP(Table13[[#This Row],[kbli5]],kata_kunci!$B:$H,5,FALSE)</f>
        <v>#N/A</v>
      </c>
      <c r="J16" s="84" t="e">
        <f>VLOOKUP(Table13[[#This Row],[kbli5]],kata_kunci!$B:$H,6,FALSE)</f>
        <v>#N/A</v>
      </c>
      <c r="K16" s="84" t="e">
        <f>VLOOKUP(Table13[[#This Row],[kbli5]],kata_kunci!$B:$H,7,FALSE)</f>
        <v>#N/A</v>
      </c>
    </row>
    <row r="17" spans="1:11" ht="15.75" thickBot="1" x14ac:dyDescent="0.3">
      <c r="A17" s="35" t="s">
        <v>118</v>
      </c>
      <c r="B17" s="40" t="s">
        <v>149</v>
      </c>
      <c r="C17" s="41" t="s">
        <v>150</v>
      </c>
      <c r="D17" s="30" t="e">
        <f>VLOOKUP(Table13[[#This Row],[kbli5]],Table1[[#All],[kbli5]:[digital_hijau]],3,)</f>
        <v>#N/A</v>
      </c>
      <c r="E17" s="35" t="e">
        <f>VLOOKUP(Table13[[#This Row],[kbli5]],kata_kunci!$B:$H,4,FALSE)</f>
        <v>#N/A</v>
      </c>
      <c r="F17" s="35" t="e">
        <f>VLOOKUP(Table13[[#This Row],[kbli5]],Table1[[#All],[kbli5]:[digital_hijau]],5,)</f>
        <v>#N/A</v>
      </c>
      <c r="G17" s="35" t="e">
        <f>VLOOKUP(Table13[[#This Row],[kbli5]],Table1[[#All],[kbli5]:[digital_hijau]],6,)</f>
        <v>#N/A</v>
      </c>
      <c r="H17" s="38" t="e">
        <f>VLOOKUP(Table13[[#This Row],[kbli5]],kata_kunci!$B:$H,3,FALSE)</f>
        <v>#N/A</v>
      </c>
      <c r="I17" s="84" t="e">
        <f>VLOOKUP(Table13[[#This Row],[kbli5]],kata_kunci!$B:$H,5,FALSE)</f>
        <v>#N/A</v>
      </c>
      <c r="J17" s="84" t="e">
        <f>VLOOKUP(Table13[[#This Row],[kbli5]],kata_kunci!$B:$H,6,FALSE)</f>
        <v>#N/A</v>
      </c>
      <c r="K17" s="84" t="e">
        <f>VLOOKUP(Table13[[#This Row],[kbli5]],kata_kunci!$B:$H,7,FALSE)</f>
        <v>#N/A</v>
      </c>
    </row>
    <row r="18" spans="1:11" ht="45.75" thickBot="1" x14ac:dyDescent="0.3">
      <c r="A18" s="35" t="s">
        <v>118</v>
      </c>
      <c r="B18" s="40" t="s">
        <v>151</v>
      </c>
      <c r="C18" s="41" t="s">
        <v>152</v>
      </c>
      <c r="D18" s="30" t="e">
        <f>VLOOKUP(Table13[[#This Row],[kbli5]],Table1[[#All],[kbli5]:[digital_hijau]],3,)</f>
        <v>#N/A</v>
      </c>
      <c r="E18" s="35" t="e">
        <f>VLOOKUP(Table13[[#This Row],[kbli5]],kata_kunci!$B:$H,4,FALSE)</f>
        <v>#N/A</v>
      </c>
      <c r="F18" s="35" t="e">
        <f>VLOOKUP(Table13[[#This Row],[kbli5]],Table1[[#All],[kbli5]:[digital_hijau]],5,)</f>
        <v>#N/A</v>
      </c>
      <c r="G18" s="35" t="e">
        <f>VLOOKUP(Table13[[#This Row],[kbli5]],Table1[[#All],[kbli5]:[digital_hijau]],6,)</f>
        <v>#N/A</v>
      </c>
      <c r="H18" s="38" t="e">
        <f>VLOOKUP(Table13[[#This Row],[kbli5]],kata_kunci!$B:$H,3,FALSE)</f>
        <v>#N/A</v>
      </c>
      <c r="I18" s="84" t="e">
        <f>VLOOKUP(Table13[[#This Row],[kbli5]],kata_kunci!$B:$H,5,FALSE)</f>
        <v>#N/A</v>
      </c>
      <c r="J18" s="84" t="e">
        <f>VLOOKUP(Table13[[#This Row],[kbli5]],kata_kunci!$B:$H,6,FALSE)</f>
        <v>#N/A</v>
      </c>
      <c r="K18" s="84" t="e">
        <f>VLOOKUP(Table13[[#This Row],[kbli5]],kata_kunci!$B:$H,7,FALSE)</f>
        <v>#N/A</v>
      </c>
    </row>
    <row r="19" spans="1:11" ht="15.75" thickBot="1" x14ac:dyDescent="0.3">
      <c r="A19" s="35" t="s">
        <v>118</v>
      </c>
      <c r="B19" s="40" t="s">
        <v>153</v>
      </c>
      <c r="C19" s="41" t="s">
        <v>154</v>
      </c>
      <c r="D19" s="30" t="e">
        <f>VLOOKUP(Table13[[#This Row],[kbli5]],Table1[[#All],[kbli5]:[digital_hijau]],3,)</f>
        <v>#N/A</v>
      </c>
      <c r="E19" s="35" t="e">
        <f>VLOOKUP(Table13[[#This Row],[kbli5]],kata_kunci!$B:$H,4,FALSE)</f>
        <v>#N/A</v>
      </c>
      <c r="F19" s="35" t="e">
        <f>VLOOKUP(Table13[[#This Row],[kbli5]],Table1[[#All],[kbli5]:[digital_hijau]],5,)</f>
        <v>#N/A</v>
      </c>
      <c r="G19" s="35" t="e">
        <f>VLOOKUP(Table13[[#This Row],[kbli5]],Table1[[#All],[kbli5]:[digital_hijau]],6,)</f>
        <v>#N/A</v>
      </c>
      <c r="H19" s="38" t="e">
        <f>VLOOKUP(Table13[[#This Row],[kbli5]],kata_kunci!$B:$H,3,FALSE)</f>
        <v>#N/A</v>
      </c>
      <c r="I19" s="84" t="e">
        <f>VLOOKUP(Table13[[#This Row],[kbli5]],kata_kunci!$B:$H,5,FALSE)</f>
        <v>#N/A</v>
      </c>
      <c r="J19" s="84" t="e">
        <f>VLOOKUP(Table13[[#This Row],[kbli5]],kata_kunci!$B:$H,6,FALSE)</f>
        <v>#N/A</v>
      </c>
      <c r="K19" s="84" t="e">
        <f>VLOOKUP(Table13[[#This Row],[kbli5]],kata_kunci!$B:$H,7,FALSE)</f>
        <v>#N/A</v>
      </c>
    </row>
    <row r="20" spans="1:11" ht="15.75" thickBot="1" x14ac:dyDescent="0.3">
      <c r="A20" s="35" t="s">
        <v>118</v>
      </c>
      <c r="B20" s="40" t="s">
        <v>155</v>
      </c>
      <c r="C20" s="41" t="s">
        <v>156</v>
      </c>
      <c r="D20" s="30" t="e">
        <f>VLOOKUP(Table13[[#This Row],[kbli5]],Table1[[#All],[kbli5]:[digital_hijau]],3,)</f>
        <v>#N/A</v>
      </c>
      <c r="E20" s="35" t="e">
        <f>VLOOKUP(Table13[[#This Row],[kbli5]],kata_kunci!$B:$H,4,FALSE)</f>
        <v>#N/A</v>
      </c>
      <c r="F20" s="35" t="e">
        <f>VLOOKUP(Table13[[#This Row],[kbli5]],Table1[[#All],[kbli5]:[digital_hijau]],5,)</f>
        <v>#N/A</v>
      </c>
      <c r="G20" s="35" t="e">
        <f>VLOOKUP(Table13[[#This Row],[kbli5]],Table1[[#All],[kbli5]:[digital_hijau]],6,)</f>
        <v>#N/A</v>
      </c>
      <c r="H20" s="38" t="e">
        <f>VLOOKUP(Table13[[#This Row],[kbli5]],kata_kunci!$B:$H,3,FALSE)</f>
        <v>#N/A</v>
      </c>
      <c r="I20" s="84" t="e">
        <f>VLOOKUP(Table13[[#This Row],[kbli5]],kata_kunci!$B:$H,5,FALSE)</f>
        <v>#N/A</v>
      </c>
      <c r="J20" s="84" t="e">
        <f>VLOOKUP(Table13[[#This Row],[kbli5]],kata_kunci!$B:$H,6,FALSE)</f>
        <v>#N/A</v>
      </c>
      <c r="K20" s="84" t="e">
        <f>VLOOKUP(Table13[[#This Row],[kbli5]],kata_kunci!$B:$H,7,FALSE)</f>
        <v>#N/A</v>
      </c>
    </row>
    <row r="21" spans="1:11" ht="15.75" thickBot="1" x14ac:dyDescent="0.3">
      <c r="A21" s="35" t="s">
        <v>118</v>
      </c>
      <c r="B21" s="40" t="s">
        <v>157</v>
      </c>
      <c r="C21" s="41" t="s">
        <v>158</v>
      </c>
      <c r="D21" s="30" t="e">
        <f>VLOOKUP(Table13[[#This Row],[kbli5]],Table1[[#All],[kbli5]:[digital_hijau]],3,)</f>
        <v>#N/A</v>
      </c>
      <c r="E21" s="35" t="e">
        <f>VLOOKUP(Table13[[#This Row],[kbli5]],kata_kunci!$B:$H,4,FALSE)</f>
        <v>#N/A</v>
      </c>
      <c r="F21" s="35" t="e">
        <f>VLOOKUP(Table13[[#This Row],[kbli5]],Table1[[#All],[kbli5]:[digital_hijau]],5,)</f>
        <v>#N/A</v>
      </c>
      <c r="G21" s="35" t="e">
        <f>VLOOKUP(Table13[[#This Row],[kbli5]],Table1[[#All],[kbli5]:[digital_hijau]],6,)</f>
        <v>#N/A</v>
      </c>
      <c r="H21" s="38" t="e">
        <f>VLOOKUP(Table13[[#This Row],[kbli5]],kata_kunci!$B:$H,3,FALSE)</f>
        <v>#N/A</v>
      </c>
      <c r="I21" s="84" t="e">
        <f>VLOOKUP(Table13[[#This Row],[kbli5]],kata_kunci!$B:$H,5,FALSE)</f>
        <v>#N/A</v>
      </c>
      <c r="J21" s="84" t="e">
        <f>VLOOKUP(Table13[[#This Row],[kbli5]],kata_kunci!$B:$H,6,FALSE)</f>
        <v>#N/A</v>
      </c>
      <c r="K21" s="84" t="e">
        <f>VLOOKUP(Table13[[#This Row],[kbli5]],kata_kunci!$B:$H,7,FALSE)</f>
        <v>#N/A</v>
      </c>
    </row>
    <row r="22" spans="1:11" ht="15.75" thickBot="1" x14ac:dyDescent="0.3">
      <c r="A22" s="35" t="s">
        <v>118</v>
      </c>
      <c r="B22" s="40" t="s">
        <v>159</v>
      </c>
      <c r="C22" s="41" t="s">
        <v>160</v>
      </c>
      <c r="D22" s="30" t="e">
        <f>VLOOKUP(Table13[[#This Row],[kbli5]],Table1[[#All],[kbli5]:[digital_hijau]],3,)</f>
        <v>#N/A</v>
      </c>
      <c r="E22" s="35" t="e">
        <f>VLOOKUP(Table13[[#This Row],[kbli5]],kata_kunci!$B:$H,4,FALSE)</f>
        <v>#N/A</v>
      </c>
      <c r="F22" s="35" t="e">
        <f>VLOOKUP(Table13[[#This Row],[kbli5]],Table1[[#All],[kbli5]:[digital_hijau]],5,)</f>
        <v>#N/A</v>
      </c>
      <c r="G22" s="35" t="e">
        <f>VLOOKUP(Table13[[#This Row],[kbli5]],Table1[[#All],[kbli5]:[digital_hijau]],6,)</f>
        <v>#N/A</v>
      </c>
      <c r="H22" s="38" t="e">
        <f>VLOOKUP(Table13[[#This Row],[kbli5]],kata_kunci!$B:$H,3,FALSE)</f>
        <v>#N/A</v>
      </c>
      <c r="I22" s="84" t="e">
        <f>VLOOKUP(Table13[[#This Row],[kbli5]],kata_kunci!$B:$H,5,FALSE)</f>
        <v>#N/A</v>
      </c>
      <c r="J22" s="84" t="e">
        <f>VLOOKUP(Table13[[#This Row],[kbli5]],kata_kunci!$B:$H,6,FALSE)</f>
        <v>#N/A</v>
      </c>
      <c r="K22" s="84" t="e">
        <f>VLOOKUP(Table13[[#This Row],[kbli5]],kata_kunci!$B:$H,7,FALSE)</f>
        <v>#N/A</v>
      </c>
    </row>
    <row r="23" spans="1:11" ht="30.75" thickBot="1" x14ac:dyDescent="0.3">
      <c r="A23" s="35" t="s">
        <v>118</v>
      </c>
      <c r="B23" s="40" t="s">
        <v>161</v>
      </c>
      <c r="C23" s="41" t="s">
        <v>162</v>
      </c>
      <c r="D23" s="30" t="e">
        <f>VLOOKUP(Table13[[#This Row],[kbli5]],Table1[[#All],[kbli5]:[digital_hijau]],3,)</f>
        <v>#N/A</v>
      </c>
      <c r="E23" s="35" t="e">
        <f>VLOOKUP(Table13[[#This Row],[kbli5]],kata_kunci!$B:$H,4,FALSE)</f>
        <v>#N/A</v>
      </c>
      <c r="F23" s="35" t="e">
        <f>VLOOKUP(Table13[[#This Row],[kbli5]],Table1[[#All],[kbli5]:[digital_hijau]],5,)</f>
        <v>#N/A</v>
      </c>
      <c r="G23" s="35" t="e">
        <f>VLOOKUP(Table13[[#This Row],[kbli5]],Table1[[#All],[kbli5]:[digital_hijau]],6,)</f>
        <v>#N/A</v>
      </c>
      <c r="H23" s="38" t="e">
        <f>VLOOKUP(Table13[[#This Row],[kbli5]],kata_kunci!$B:$H,3,FALSE)</f>
        <v>#N/A</v>
      </c>
      <c r="I23" s="84" t="e">
        <f>VLOOKUP(Table13[[#This Row],[kbli5]],kata_kunci!$B:$H,5,FALSE)</f>
        <v>#N/A</v>
      </c>
      <c r="J23" s="84" t="e">
        <f>VLOOKUP(Table13[[#This Row],[kbli5]],kata_kunci!$B:$H,6,FALSE)</f>
        <v>#N/A</v>
      </c>
      <c r="K23" s="84" t="e">
        <f>VLOOKUP(Table13[[#This Row],[kbli5]],kata_kunci!$B:$H,7,FALSE)</f>
        <v>#N/A</v>
      </c>
    </row>
    <row r="24" spans="1:11" ht="30.75" thickBot="1" x14ac:dyDescent="0.3">
      <c r="A24" s="35" t="s">
        <v>118</v>
      </c>
      <c r="B24" s="40" t="s">
        <v>163</v>
      </c>
      <c r="C24" s="41" t="s">
        <v>164</v>
      </c>
      <c r="D24" s="30" t="e">
        <f>VLOOKUP(Table13[[#This Row],[kbli5]],Table1[[#All],[kbli5]:[digital_hijau]],3,)</f>
        <v>#N/A</v>
      </c>
      <c r="E24" s="35" t="e">
        <f>VLOOKUP(Table13[[#This Row],[kbli5]],kata_kunci!$B:$H,4,FALSE)</f>
        <v>#N/A</v>
      </c>
      <c r="F24" s="35" t="e">
        <f>VLOOKUP(Table13[[#This Row],[kbli5]],Table1[[#All],[kbli5]:[digital_hijau]],5,)</f>
        <v>#N/A</v>
      </c>
      <c r="G24" s="35" t="e">
        <f>VLOOKUP(Table13[[#This Row],[kbli5]],Table1[[#All],[kbli5]:[digital_hijau]],6,)</f>
        <v>#N/A</v>
      </c>
      <c r="H24" s="38" t="e">
        <f>VLOOKUP(Table13[[#This Row],[kbli5]],kata_kunci!$B:$H,3,FALSE)</f>
        <v>#N/A</v>
      </c>
      <c r="I24" s="84" t="e">
        <f>VLOOKUP(Table13[[#This Row],[kbli5]],kata_kunci!$B:$H,5,FALSE)</f>
        <v>#N/A</v>
      </c>
      <c r="J24" s="84" t="e">
        <f>VLOOKUP(Table13[[#This Row],[kbli5]],kata_kunci!$B:$H,6,FALSE)</f>
        <v>#N/A</v>
      </c>
      <c r="K24" s="84" t="e">
        <f>VLOOKUP(Table13[[#This Row],[kbli5]],kata_kunci!$B:$H,7,FALSE)</f>
        <v>#N/A</v>
      </c>
    </row>
    <row r="25" spans="1:11" ht="45.75" thickBot="1" x14ac:dyDescent="0.3">
      <c r="A25" s="35" t="s">
        <v>118</v>
      </c>
      <c r="B25" s="40" t="s">
        <v>165</v>
      </c>
      <c r="C25" s="41" t="s">
        <v>166</v>
      </c>
      <c r="D25" s="30" t="e">
        <f>VLOOKUP(Table13[[#This Row],[kbli5]],Table1[[#All],[kbli5]:[digital_hijau]],3,)</f>
        <v>#N/A</v>
      </c>
      <c r="E25" s="35" t="e">
        <f>VLOOKUP(Table13[[#This Row],[kbli5]],kata_kunci!$B:$H,4,FALSE)</f>
        <v>#N/A</v>
      </c>
      <c r="F25" s="35" t="e">
        <f>VLOOKUP(Table13[[#This Row],[kbli5]],Table1[[#All],[kbli5]:[digital_hijau]],5,)</f>
        <v>#N/A</v>
      </c>
      <c r="G25" s="35" t="e">
        <f>VLOOKUP(Table13[[#This Row],[kbli5]],Table1[[#All],[kbli5]:[digital_hijau]],6,)</f>
        <v>#N/A</v>
      </c>
      <c r="H25" s="38" t="e">
        <f>VLOOKUP(Table13[[#This Row],[kbli5]],kata_kunci!$B:$H,3,FALSE)</f>
        <v>#N/A</v>
      </c>
      <c r="I25" s="84" t="e">
        <f>VLOOKUP(Table13[[#This Row],[kbli5]],kata_kunci!$B:$H,5,FALSE)</f>
        <v>#N/A</v>
      </c>
      <c r="J25" s="84" t="e">
        <f>VLOOKUP(Table13[[#This Row],[kbli5]],kata_kunci!$B:$H,6,FALSE)</f>
        <v>#N/A</v>
      </c>
      <c r="K25" s="84" t="e">
        <f>VLOOKUP(Table13[[#This Row],[kbli5]],kata_kunci!$B:$H,7,FALSE)</f>
        <v>#N/A</v>
      </c>
    </row>
    <row r="26" spans="1:11" ht="30.75" thickBot="1" x14ac:dyDescent="0.3">
      <c r="A26" s="35" t="s">
        <v>118</v>
      </c>
      <c r="B26" s="40" t="s">
        <v>167</v>
      </c>
      <c r="C26" s="41" t="s">
        <v>168</v>
      </c>
      <c r="D26" s="30" t="e">
        <f>VLOOKUP(Table13[[#This Row],[kbli5]],Table1[[#All],[kbli5]:[digital_hijau]],3,)</f>
        <v>#N/A</v>
      </c>
      <c r="E26" s="35" t="e">
        <f>VLOOKUP(Table13[[#This Row],[kbli5]],kata_kunci!$B:$H,4,FALSE)</f>
        <v>#N/A</v>
      </c>
      <c r="F26" s="35" t="e">
        <f>VLOOKUP(Table13[[#This Row],[kbli5]],Table1[[#All],[kbli5]:[digital_hijau]],5,)</f>
        <v>#N/A</v>
      </c>
      <c r="G26" s="35" t="e">
        <f>VLOOKUP(Table13[[#This Row],[kbli5]],Table1[[#All],[kbli5]:[digital_hijau]],6,)</f>
        <v>#N/A</v>
      </c>
      <c r="H26" s="38" t="e">
        <f>VLOOKUP(Table13[[#This Row],[kbli5]],kata_kunci!$B:$H,3,FALSE)</f>
        <v>#N/A</v>
      </c>
      <c r="I26" s="84" t="e">
        <f>VLOOKUP(Table13[[#This Row],[kbli5]],kata_kunci!$B:$H,5,FALSE)</f>
        <v>#N/A</v>
      </c>
      <c r="J26" s="84" t="e">
        <f>VLOOKUP(Table13[[#This Row],[kbli5]],kata_kunci!$B:$H,6,FALSE)</f>
        <v>#N/A</v>
      </c>
      <c r="K26" s="84" t="e">
        <f>VLOOKUP(Table13[[#This Row],[kbli5]],kata_kunci!$B:$H,7,FALSE)</f>
        <v>#N/A</v>
      </c>
    </row>
    <row r="27" spans="1:11" ht="30.75" thickBot="1" x14ac:dyDescent="0.3">
      <c r="A27" s="35" t="s">
        <v>118</v>
      </c>
      <c r="B27" s="40" t="s">
        <v>169</v>
      </c>
      <c r="C27" s="41" t="s">
        <v>170</v>
      </c>
      <c r="D27" s="30" t="e">
        <f>VLOOKUP(Table13[[#This Row],[kbli5]],Table1[[#All],[kbli5]:[digital_hijau]],3,)</f>
        <v>#N/A</v>
      </c>
      <c r="E27" s="35" t="e">
        <f>VLOOKUP(Table13[[#This Row],[kbli5]],kata_kunci!$B:$H,4,FALSE)</f>
        <v>#N/A</v>
      </c>
      <c r="F27" s="35" t="e">
        <f>VLOOKUP(Table13[[#This Row],[kbli5]],Table1[[#All],[kbli5]:[digital_hijau]],5,)</f>
        <v>#N/A</v>
      </c>
      <c r="G27" s="35" t="e">
        <f>VLOOKUP(Table13[[#This Row],[kbli5]],Table1[[#All],[kbli5]:[digital_hijau]],6,)</f>
        <v>#N/A</v>
      </c>
      <c r="H27" s="38" t="e">
        <f>VLOOKUP(Table13[[#This Row],[kbli5]],kata_kunci!$B:$H,3,FALSE)</f>
        <v>#N/A</v>
      </c>
      <c r="I27" s="84" t="e">
        <f>VLOOKUP(Table13[[#This Row],[kbli5]],kata_kunci!$B:$H,5,FALSE)</f>
        <v>#N/A</v>
      </c>
      <c r="J27" s="84" t="e">
        <f>VLOOKUP(Table13[[#This Row],[kbli5]],kata_kunci!$B:$H,6,FALSE)</f>
        <v>#N/A</v>
      </c>
      <c r="K27" s="84" t="e">
        <f>VLOOKUP(Table13[[#This Row],[kbli5]],kata_kunci!$B:$H,7,FALSE)</f>
        <v>#N/A</v>
      </c>
    </row>
    <row r="28" spans="1:11" ht="30.75" thickBot="1" x14ac:dyDescent="0.3">
      <c r="A28" s="35" t="s">
        <v>118</v>
      </c>
      <c r="B28" s="40" t="s">
        <v>171</v>
      </c>
      <c r="C28" s="41" t="s">
        <v>172</v>
      </c>
      <c r="D28" s="30" t="e">
        <f>VLOOKUP(Table13[[#This Row],[kbli5]],Table1[[#All],[kbli5]:[digital_hijau]],3,)</f>
        <v>#N/A</v>
      </c>
      <c r="E28" s="35" t="e">
        <f>VLOOKUP(Table13[[#This Row],[kbli5]],kata_kunci!$B:$H,4,FALSE)</f>
        <v>#N/A</v>
      </c>
      <c r="F28" s="35" t="e">
        <f>VLOOKUP(Table13[[#This Row],[kbli5]],Table1[[#All],[kbli5]:[digital_hijau]],5,)</f>
        <v>#N/A</v>
      </c>
      <c r="G28" s="35" t="e">
        <f>VLOOKUP(Table13[[#This Row],[kbli5]],Table1[[#All],[kbli5]:[digital_hijau]],6,)</f>
        <v>#N/A</v>
      </c>
      <c r="H28" s="38" t="e">
        <f>VLOOKUP(Table13[[#This Row],[kbli5]],kata_kunci!$B:$H,3,FALSE)</f>
        <v>#N/A</v>
      </c>
      <c r="I28" s="84" t="e">
        <f>VLOOKUP(Table13[[#This Row],[kbli5]],kata_kunci!$B:$H,5,FALSE)</f>
        <v>#N/A</v>
      </c>
      <c r="J28" s="84" t="e">
        <f>VLOOKUP(Table13[[#This Row],[kbli5]],kata_kunci!$B:$H,6,FALSE)</f>
        <v>#N/A</v>
      </c>
      <c r="K28" s="84" t="e">
        <f>VLOOKUP(Table13[[#This Row],[kbli5]],kata_kunci!$B:$H,7,FALSE)</f>
        <v>#N/A</v>
      </c>
    </row>
    <row r="29" spans="1:11" ht="15.75" thickBot="1" x14ac:dyDescent="0.3">
      <c r="A29" s="35" t="s">
        <v>118</v>
      </c>
      <c r="B29" s="40" t="s">
        <v>173</v>
      </c>
      <c r="C29" s="41" t="s">
        <v>174</v>
      </c>
      <c r="D29" s="30" t="e">
        <f>VLOOKUP(Table13[[#This Row],[kbli5]],Table1[[#All],[kbli5]:[digital_hijau]],3,)</f>
        <v>#N/A</v>
      </c>
      <c r="E29" s="35" t="e">
        <f>VLOOKUP(Table13[[#This Row],[kbli5]],kata_kunci!$B:$H,4,FALSE)</f>
        <v>#N/A</v>
      </c>
      <c r="F29" s="35" t="e">
        <f>VLOOKUP(Table13[[#This Row],[kbli5]],Table1[[#All],[kbli5]:[digital_hijau]],5,)</f>
        <v>#N/A</v>
      </c>
      <c r="G29" s="35" t="e">
        <f>VLOOKUP(Table13[[#This Row],[kbli5]],Table1[[#All],[kbli5]:[digital_hijau]],6,)</f>
        <v>#N/A</v>
      </c>
      <c r="H29" s="38" t="e">
        <f>VLOOKUP(Table13[[#This Row],[kbli5]],kata_kunci!$B:$H,3,FALSE)</f>
        <v>#N/A</v>
      </c>
      <c r="I29" s="84" t="e">
        <f>VLOOKUP(Table13[[#This Row],[kbli5]],kata_kunci!$B:$H,5,FALSE)</f>
        <v>#N/A</v>
      </c>
      <c r="J29" s="84" t="e">
        <f>VLOOKUP(Table13[[#This Row],[kbli5]],kata_kunci!$B:$H,6,FALSE)</f>
        <v>#N/A</v>
      </c>
      <c r="K29" s="84" t="e">
        <f>VLOOKUP(Table13[[#This Row],[kbli5]],kata_kunci!$B:$H,7,FALSE)</f>
        <v>#N/A</v>
      </c>
    </row>
    <row r="30" spans="1:11" ht="30.75" thickBot="1" x14ac:dyDescent="0.3">
      <c r="A30" s="35" t="s">
        <v>118</v>
      </c>
      <c r="B30" s="40" t="s">
        <v>175</v>
      </c>
      <c r="C30" s="41" t="s">
        <v>176</v>
      </c>
      <c r="D30" s="30" t="e">
        <f>VLOOKUP(Table13[[#This Row],[kbli5]],Table1[[#All],[kbli5]:[digital_hijau]],3,)</f>
        <v>#N/A</v>
      </c>
      <c r="E30" s="35" t="e">
        <f>VLOOKUP(Table13[[#This Row],[kbli5]],kata_kunci!$B:$H,4,FALSE)</f>
        <v>#N/A</v>
      </c>
      <c r="F30" s="35" t="e">
        <f>VLOOKUP(Table13[[#This Row],[kbli5]],Table1[[#All],[kbli5]:[digital_hijau]],5,)</f>
        <v>#N/A</v>
      </c>
      <c r="G30" s="35" t="e">
        <f>VLOOKUP(Table13[[#This Row],[kbli5]],Table1[[#All],[kbli5]:[digital_hijau]],6,)</f>
        <v>#N/A</v>
      </c>
      <c r="H30" s="38" t="e">
        <f>VLOOKUP(Table13[[#This Row],[kbli5]],kata_kunci!$B:$H,3,FALSE)</f>
        <v>#N/A</v>
      </c>
      <c r="I30" s="84" t="e">
        <f>VLOOKUP(Table13[[#This Row],[kbli5]],kata_kunci!$B:$H,5,FALSE)</f>
        <v>#N/A</v>
      </c>
      <c r="J30" s="84" t="e">
        <f>VLOOKUP(Table13[[#This Row],[kbli5]],kata_kunci!$B:$H,6,FALSE)</f>
        <v>#N/A</v>
      </c>
      <c r="K30" s="84" t="e">
        <f>VLOOKUP(Table13[[#This Row],[kbli5]],kata_kunci!$B:$H,7,FALSE)</f>
        <v>#N/A</v>
      </c>
    </row>
    <row r="31" spans="1:11" ht="15.75" thickBot="1" x14ac:dyDescent="0.3">
      <c r="A31" s="35" t="s">
        <v>118</v>
      </c>
      <c r="B31" s="40" t="s">
        <v>177</v>
      </c>
      <c r="C31" s="41" t="s">
        <v>178</v>
      </c>
      <c r="D31" s="30" t="e">
        <f>VLOOKUP(Table13[[#This Row],[kbli5]],Table1[[#All],[kbli5]:[digital_hijau]],3,)</f>
        <v>#N/A</v>
      </c>
      <c r="E31" s="35" t="e">
        <f>VLOOKUP(Table13[[#This Row],[kbli5]],kata_kunci!$B:$H,4,FALSE)</f>
        <v>#N/A</v>
      </c>
      <c r="F31" s="35" t="e">
        <f>VLOOKUP(Table13[[#This Row],[kbli5]],Table1[[#All],[kbli5]:[digital_hijau]],5,)</f>
        <v>#N/A</v>
      </c>
      <c r="G31" s="35" t="e">
        <f>VLOOKUP(Table13[[#This Row],[kbli5]],Table1[[#All],[kbli5]:[digital_hijau]],6,)</f>
        <v>#N/A</v>
      </c>
      <c r="H31" s="38" t="e">
        <f>VLOOKUP(Table13[[#This Row],[kbli5]],kata_kunci!$B:$H,3,FALSE)</f>
        <v>#N/A</v>
      </c>
      <c r="I31" s="84" t="e">
        <f>VLOOKUP(Table13[[#This Row],[kbli5]],kata_kunci!$B:$H,5,FALSE)</f>
        <v>#N/A</v>
      </c>
      <c r="J31" s="84" t="e">
        <f>VLOOKUP(Table13[[#This Row],[kbli5]],kata_kunci!$B:$H,6,FALSE)</f>
        <v>#N/A</v>
      </c>
      <c r="K31" s="84" t="e">
        <f>VLOOKUP(Table13[[#This Row],[kbli5]],kata_kunci!$B:$H,7,FALSE)</f>
        <v>#N/A</v>
      </c>
    </row>
    <row r="32" spans="1:11" ht="45.75" thickBot="1" x14ac:dyDescent="0.3">
      <c r="A32" s="35" t="s">
        <v>118</v>
      </c>
      <c r="B32" s="40" t="s">
        <v>179</v>
      </c>
      <c r="C32" s="41" t="s">
        <v>180</v>
      </c>
      <c r="D32" s="30" t="e">
        <f>VLOOKUP(Table13[[#This Row],[kbli5]],Table1[[#All],[kbli5]:[digital_hijau]],3,)</f>
        <v>#N/A</v>
      </c>
      <c r="E32" s="35" t="e">
        <f>VLOOKUP(Table13[[#This Row],[kbli5]],kata_kunci!$B:$H,4,FALSE)</f>
        <v>#N/A</v>
      </c>
      <c r="F32" s="35" t="e">
        <f>VLOOKUP(Table13[[#This Row],[kbli5]],Table1[[#All],[kbli5]:[digital_hijau]],5,)</f>
        <v>#N/A</v>
      </c>
      <c r="G32" s="35" t="e">
        <f>VLOOKUP(Table13[[#This Row],[kbli5]],Table1[[#All],[kbli5]:[digital_hijau]],6,)</f>
        <v>#N/A</v>
      </c>
      <c r="H32" s="38" t="e">
        <f>VLOOKUP(Table13[[#This Row],[kbli5]],kata_kunci!$B:$H,3,FALSE)</f>
        <v>#N/A</v>
      </c>
      <c r="I32" s="84" t="e">
        <f>VLOOKUP(Table13[[#This Row],[kbli5]],kata_kunci!$B:$H,5,FALSE)</f>
        <v>#N/A</v>
      </c>
      <c r="J32" s="84" t="e">
        <f>VLOOKUP(Table13[[#This Row],[kbli5]],kata_kunci!$B:$H,6,FALSE)</f>
        <v>#N/A</v>
      </c>
      <c r="K32" s="84" t="e">
        <f>VLOOKUP(Table13[[#This Row],[kbli5]],kata_kunci!$B:$H,7,FALSE)</f>
        <v>#N/A</v>
      </c>
    </row>
    <row r="33" spans="1:11" ht="15.75" thickBot="1" x14ac:dyDescent="0.3">
      <c r="A33" s="35" t="s">
        <v>118</v>
      </c>
      <c r="B33" s="40" t="s">
        <v>181</v>
      </c>
      <c r="C33" s="41" t="s">
        <v>182</v>
      </c>
      <c r="D33" s="30" t="e">
        <f>VLOOKUP(Table13[[#This Row],[kbli5]],Table1[[#All],[kbli5]:[digital_hijau]],3,)</f>
        <v>#N/A</v>
      </c>
      <c r="E33" s="35" t="e">
        <f>VLOOKUP(Table13[[#This Row],[kbli5]],kata_kunci!$B:$H,4,FALSE)</f>
        <v>#N/A</v>
      </c>
      <c r="F33" s="35" t="e">
        <f>VLOOKUP(Table13[[#This Row],[kbli5]],Table1[[#All],[kbli5]:[digital_hijau]],5,)</f>
        <v>#N/A</v>
      </c>
      <c r="G33" s="35" t="e">
        <f>VLOOKUP(Table13[[#This Row],[kbli5]],Table1[[#All],[kbli5]:[digital_hijau]],6,)</f>
        <v>#N/A</v>
      </c>
      <c r="H33" s="38" t="e">
        <f>VLOOKUP(Table13[[#This Row],[kbli5]],kata_kunci!$B:$H,3,FALSE)</f>
        <v>#N/A</v>
      </c>
      <c r="I33" s="84" t="e">
        <f>VLOOKUP(Table13[[#This Row],[kbli5]],kata_kunci!$B:$H,5,FALSE)</f>
        <v>#N/A</v>
      </c>
      <c r="J33" s="84" t="e">
        <f>VLOOKUP(Table13[[#This Row],[kbli5]],kata_kunci!$B:$H,6,FALSE)</f>
        <v>#N/A</v>
      </c>
      <c r="K33" s="84" t="e">
        <f>VLOOKUP(Table13[[#This Row],[kbli5]],kata_kunci!$B:$H,7,FALSE)</f>
        <v>#N/A</v>
      </c>
    </row>
    <row r="34" spans="1:11" ht="30.75" thickBot="1" x14ac:dyDescent="0.3">
      <c r="A34" s="35" t="s">
        <v>118</v>
      </c>
      <c r="B34" s="40" t="s">
        <v>183</v>
      </c>
      <c r="C34" s="41" t="s">
        <v>184</v>
      </c>
      <c r="D34" s="30" t="e">
        <f>VLOOKUP(Table13[[#This Row],[kbli5]],Table1[[#All],[kbli5]:[digital_hijau]],3,)</f>
        <v>#N/A</v>
      </c>
      <c r="E34" s="35" t="e">
        <f>VLOOKUP(Table13[[#This Row],[kbli5]],kata_kunci!$B:$H,4,FALSE)</f>
        <v>#N/A</v>
      </c>
      <c r="F34" s="35" t="e">
        <f>VLOOKUP(Table13[[#This Row],[kbli5]],Table1[[#All],[kbli5]:[digital_hijau]],5,)</f>
        <v>#N/A</v>
      </c>
      <c r="G34" s="35" t="e">
        <f>VLOOKUP(Table13[[#This Row],[kbli5]],Table1[[#All],[kbli5]:[digital_hijau]],6,)</f>
        <v>#N/A</v>
      </c>
      <c r="H34" s="38" t="e">
        <f>VLOOKUP(Table13[[#This Row],[kbli5]],kata_kunci!$B:$H,3,FALSE)</f>
        <v>#N/A</v>
      </c>
      <c r="I34" s="84" t="e">
        <f>VLOOKUP(Table13[[#This Row],[kbli5]],kata_kunci!$B:$H,5,FALSE)</f>
        <v>#N/A</v>
      </c>
      <c r="J34" s="84" t="e">
        <f>VLOOKUP(Table13[[#This Row],[kbli5]],kata_kunci!$B:$H,6,FALSE)</f>
        <v>#N/A</v>
      </c>
      <c r="K34" s="84" t="e">
        <f>VLOOKUP(Table13[[#This Row],[kbli5]],kata_kunci!$B:$H,7,FALSE)</f>
        <v>#N/A</v>
      </c>
    </row>
    <row r="35" spans="1:11" ht="30.75" thickBot="1" x14ac:dyDescent="0.3">
      <c r="A35" s="35" t="s">
        <v>118</v>
      </c>
      <c r="B35" s="40" t="s">
        <v>185</v>
      </c>
      <c r="C35" s="41" t="s">
        <v>186</v>
      </c>
      <c r="D35" s="30" t="e">
        <f>VLOOKUP(Table13[[#This Row],[kbli5]],Table1[[#All],[kbli5]:[digital_hijau]],3,)</f>
        <v>#N/A</v>
      </c>
      <c r="E35" s="35" t="e">
        <f>VLOOKUP(Table13[[#This Row],[kbli5]],kata_kunci!$B:$H,4,FALSE)</f>
        <v>#N/A</v>
      </c>
      <c r="F35" s="35" t="e">
        <f>VLOOKUP(Table13[[#This Row],[kbli5]],Table1[[#All],[kbli5]:[digital_hijau]],5,)</f>
        <v>#N/A</v>
      </c>
      <c r="G35" s="35" t="e">
        <f>VLOOKUP(Table13[[#This Row],[kbli5]],Table1[[#All],[kbli5]:[digital_hijau]],6,)</f>
        <v>#N/A</v>
      </c>
      <c r="H35" s="38" t="e">
        <f>VLOOKUP(Table13[[#This Row],[kbli5]],kata_kunci!$B:$H,3,FALSE)</f>
        <v>#N/A</v>
      </c>
      <c r="I35" s="84" t="e">
        <f>VLOOKUP(Table13[[#This Row],[kbli5]],kata_kunci!$B:$H,5,FALSE)</f>
        <v>#N/A</v>
      </c>
      <c r="J35" s="84" t="e">
        <f>VLOOKUP(Table13[[#This Row],[kbli5]],kata_kunci!$B:$H,6,FALSE)</f>
        <v>#N/A</v>
      </c>
      <c r="K35" s="84" t="e">
        <f>VLOOKUP(Table13[[#This Row],[kbli5]],kata_kunci!$B:$H,7,FALSE)</f>
        <v>#N/A</v>
      </c>
    </row>
    <row r="36" spans="1:11" ht="30.75" thickBot="1" x14ac:dyDescent="0.3">
      <c r="A36" s="35" t="s">
        <v>118</v>
      </c>
      <c r="B36" s="40" t="s">
        <v>187</v>
      </c>
      <c r="C36" s="41" t="s">
        <v>188</v>
      </c>
      <c r="D36" s="30" t="e">
        <f>VLOOKUP(Table13[[#This Row],[kbli5]],Table1[[#All],[kbli5]:[digital_hijau]],3,)</f>
        <v>#N/A</v>
      </c>
      <c r="E36" s="35" t="e">
        <f>VLOOKUP(Table13[[#This Row],[kbli5]],kata_kunci!$B:$H,4,FALSE)</f>
        <v>#N/A</v>
      </c>
      <c r="F36" s="35" t="e">
        <f>VLOOKUP(Table13[[#This Row],[kbli5]],Table1[[#All],[kbli5]:[digital_hijau]],5,)</f>
        <v>#N/A</v>
      </c>
      <c r="G36" s="35" t="e">
        <f>VLOOKUP(Table13[[#This Row],[kbli5]],Table1[[#All],[kbli5]:[digital_hijau]],6,)</f>
        <v>#N/A</v>
      </c>
      <c r="H36" s="38" t="e">
        <f>VLOOKUP(Table13[[#This Row],[kbli5]],kata_kunci!$B:$H,3,FALSE)</f>
        <v>#N/A</v>
      </c>
      <c r="I36" s="84" t="e">
        <f>VLOOKUP(Table13[[#This Row],[kbli5]],kata_kunci!$B:$H,5,FALSE)</f>
        <v>#N/A</v>
      </c>
      <c r="J36" s="84" t="e">
        <f>VLOOKUP(Table13[[#This Row],[kbli5]],kata_kunci!$B:$H,6,FALSE)</f>
        <v>#N/A</v>
      </c>
      <c r="K36" s="84" t="e">
        <f>VLOOKUP(Table13[[#This Row],[kbli5]],kata_kunci!$B:$H,7,FALSE)</f>
        <v>#N/A</v>
      </c>
    </row>
    <row r="37" spans="1:11" ht="15.75" thickBot="1" x14ac:dyDescent="0.3">
      <c r="A37" s="35" t="s">
        <v>118</v>
      </c>
      <c r="B37" s="40" t="s">
        <v>189</v>
      </c>
      <c r="C37" s="41" t="s">
        <v>190</v>
      </c>
      <c r="D37" s="30" t="e">
        <f>VLOOKUP(Table13[[#This Row],[kbli5]],Table1[[#All],[kbli5]:[digital_hijau]],3,)</f>
        <v>#N/A</v>
      </c>
      <c r="E37" s="35" t="e">
        <f>VLOOKUP(Table13[[#This Row],[kbli5]],kata_kunci!$B:$H,4,FALSE)</f>
        <v>#N/A</v>
      </c>
      <c r="F37" s="35" t="e">
        <f>VLOOKUP(Table13[[#This Row],[kbli5]],Table1[[#All],[kbli5]:[digital_hijau]],5,)</f>
        <v>#N/A</v>
      </c>
      <c r="G37" s="35" t="e">
        <f>VLOOKUP(Table13[[#This Row],[kbli5]],Table1[[#All],[kbli5]:[digital_hijau]],6,)</f>
        <v>#N/A</v>
      </c>
      <c r="H37" s="38" t="e">
        <f>VLOOKUP(Table13[[#This Row],[kbli5]],kata_kunci!$B:$H,3,FALSE)</f>
        <v>#N/A</v>
      </c>
      <c r="I37" s="84" t="e">
        <f>VLOOKUP(Table13[[#This Row],[kbli5]],kata_kunci!$B:$H,5,FALSE)</f>
        <v>#N/A</v>
      </c>
      <c r="J37" s="84" t="e">
        <f>VLOOKUP(Table13[[#This Row],[kbli5]],kata_kunci!$B:$H,6,FALSE)</f>
        <v>#N/A</v>
      </c>
      <c r="K37" s="84" t="e">
        <f>VLOOKUP(Table13[[#This Row],[kbli5]],kata_kunci!$B:$H,7,FALSE)</f>
        <v>#N/A</v>
      </c>
    </row>
    <row r="38" spans="1:11" ht="15.75" thickBot="1" x14ac:dyDescent="0.3">
      <c r="A38" s="35" t="s">
        <v>118</v>
      </c>
      <c r="B38" s="40" t="s">
        <v>191</v>
      </c>
      <c r="C38" s="41" t="s">
        <v>192</v>
      </c>
      <c r="D38" s="30" t="e">
        <f>VLOOKUP(Table13[[#This Row],[kbli5]],Table1[[#All],[kbli5]:[digital_hijau]],3,)</f>
        <v>#N/A</v>
      </c>
      <c r="E38" s="35" t="e">
        <f>VLOOKUP(Table13[[#This Row],[kbli5]],kata_kunci!$B:$H,4,FALSE)</f>
        <v>#N/A</v>
      </c>
      <c r="F38" s="35" t="e">
        <f>VLOOKUP(Table13[[#This Row],[kbli5]],Table1[[#All],[kbli5]:[digital_hijau]],5,)</f>
        <v>#N/A</v>
      </c>
      <c r="G38" s="35" t="e">
        <f>VLOOKUP(Table13[[#This Row],[kbli5]],Table1[[#All],[kbli5]:[digital_hijau]],6,)</f>
        <v>#N/A</v>
      </c>
      <c r="H38" s="38" t="e">
        <f>VLOOKUP(Table13[[#This Row],[kbli5]],kata_kunci!$B:$H,3,FALSE)</f>
        <v>#N/A</v>
      </c>
      <c r="I38" s="84" t="e">
        <f>VLOOKUP(Table13[[#This Row],[kbli5]],kata_kunci!$B:$H,5,FALSE)</f>
        <v>#N/A</v>
      </c>
      <c r="J38" s="84" t="e">
        <f>VLOOKUP(Table13[[#This Row],[kbli5]],kata_kunci!$B:$H,6,FALSE)</f>
        <v>#N/A</v>
      </c>
      <c r="K38" s="84" t="e">
        <f>VLOOKUP(Table13[[#This Row],[kbli5]],kata_kunci!$B:$H,7,FALSE)</f>
        <v>#N/A</v>
      </c>
    </row>
    <row r="39" spans="1:11" ht="30.75" thickBot="1" x14ac:dyDescent="0.3">
      <c r="A39" s="35" t="s">
        <v>118</v>
      </c>
      <c r="B39" s="40" t="s">
        <v>193</v>
      </c>
      <c r="C39" s="41" t="s">
        <v>194</v>
      </c>
      <c r="D39" s="30" t="e">
        <f>VLOOKUP(Table13[[#This Row],[kbli5]],Table1[[#All],[kbli5]:[digital_hijau]],3,)</f>
        <v>#N/A</v>
      </c>
      <c r="E39" s="35" t="e">
        <f>VLOOKUP(Table13[[#This Row],[kbli5]],kata_kunci!$B:$H,4,FALSE)</f>
        <v>#N/A</v>
      </c>
      <c r="F39" s="35" t="e">
        <f>VLOOKUP(Table13[[#This Row],[kbli5]],Table1[[#All],[kbli5]:[digital_hijau]],5,)</f>
        <v>#N/A</v>
      </c>
      <c r="G39" s="35" t="e">
        <f>VLOOKUP(Table13[[#This Row],[kbli5]],Table1[[#All],[kbli5]:[digital_hijau]],6,)</f>
        <v>#N/A</v>
      </c>
      <c r="H39" s="38" t="e">
        <f>VLOOKUP(Table13[[#This Row],[kbli5]],kata_kunci!$B:$H,3,FALSE)</f>
        <v>#N/A</v>
      </c>
      <c r="I39" s="84" t="e">
        <f>VLOOKUP(Table13[[#This Row],[kbli5]],kata_kunci!$B:$H,5,FALSE)</f>
        <v>#N/A</v>
      </c>
      <c r="J39" s="84" t="e">
        <f>VLOOKUP(Table13[[#This Row],[kbli5]],kata_kunci!$B:$H,6,FALSE)</f>
        <v>#N/A</v>
      </c>
      <c r="K39" s="84" t="e">
        <f>VLOOKUP(Table13[[#This Row],[kbli5]],kata_kunci!$B:$H,7,FALSE)</f>
        <v>#N/A</v>
      </c>
    </row>
    <row r="40" spans="1:11" ht="15.75" thickBot="1" x14ac:dyDescent="0.3">
      <c r="A40" s="35" t="s">
        <v>118</v>
      </c>
      <c r="B40" s="40" t="s">
        <v>195</v>
      </c>
      <c r="C40" s="41" t="s">
        <v>196</v>
      </c>
      <c r="D40" s="30" t="e">
        <f>VLOOKUP(Table13[[#This Row],[kbli5]],Table1[[#All],[kbli5]:[digital_hijau]],3,)</f>
        <v>#N/A</v>
      </c>
      <c r="E40" s="35" t="e">
        <f>VLOOKUP(Table13[[#This Row],[kbli5]],kata_kunci!$B:$H,4,FALSE)</f>
        <v>#N/A</v>
      </c>
      <c r="F40" s="35" t="e">
        <f>VLOOKUP(Table13[[#This Row],[kbli5]],Table1[[#All],[kbli5]:[digital_hijau]],5,)</f>
        <v>#N/A</v>
      </c>
      <c r="G40" s="35" t="e">
        <f>VLOOKUP(Table13[[#This Row],[kbli5]],Table1[[#All],[kbli5]:[digital_hijau]],6,)</f>
        <v>#N/A</v>
      </c>
      <c r="H40" s="38" t="e">
        <f>VLOOKUP(Table13[[#This Row],[kbli5]],kata_kunci!$B:$H,3,FALSE)</f>
        <v>#N/A</v>
      </c>
      <c r="I40" s="84" t="e">
        <f>VLOOKUP(Table13[[#This Row],[kbli5]],kata_kunci!$B:$H,5,FALSE)</f>
        <v>#N/A</v>
      </c>
      <c r="J40" s="84" t="e">
        <f>VLOOKUP(Table13[[#This Row],[kbli5]],kata_kunci!$B:$H,6,FALSE)</f>
        <v>#N/A</v>
      </c>
      <c r="K40" s="84" t="e">
        <f>VLOOKUP(Table13[[#This Row],[kbli5]],kata_kunci!$B:$H,7,FALSE)</f>
        <v>#N/A</v>
      </c>
    </row>
    <row r="41" spans="1:11" ht="15.75" thickBot="1" x14ac:dyDescent="0.3">
      <c r="A41" s="35" t="s">
        <v>118</v>
      </c>
      <c r="B41" s="40" t="s">
        <v>197</v>
      </c>
      <c r="C41" s="41" t="s">
        <v>198</v>
      </c>
      <c r="D41" s="30" t="e">
        <f>VLOOKUP(Table13[[#This Row],[kbli5]],Table1[[#All],[kbli5]:[digital_hijau]],3,)</f>
        <v>#N/A</v>
      </c>
      <c r="E41" s="35" t="e">
        <f>VLOOKUP(Table13[[#This Row],[kbli5]],kata_kunci!$B:$H,4,FALSE)</f>
        <v>#N/A</v>
      </c>
      <c r="F41" s="35" t="e">
        <f>VLOOKUP(Table13[[#This Row],[kbli5]],Table1[[#All],[kbli5]:[digital_hijau]],5,)</f>
        <v>#N/A</v>
      </c>
      <c r="G41" s="35" t="e">
        <f>VLOOKUP(Table13[[#This Row],[kbli5]],Table1[[#All],[kbli5]:[digital_hijau]],6,)</f>
        <v>#N/A</v>
      </c>
      <c r="H41" s="38" t="e">
        <f>VLOOKUP(Table13[[#This Row],[kbli5]],kata_kunci!$B:$H,3,FALSE)</f>
        <v>#N/A</v>
      </c>
      <c r="I41" s="84" t="e">
        <f>VLOOKUP(Table13[[#This Row],[kbli5]],kata_kunci!$B:$H,5,FALSE)</f>
        <v>#N/A</v>
      </c>
      <c r="J41" s="84" t="e">
        <f>VLOOKUP(Table13[[#This Row],[kbli5]],kata_kunci!$B:$H,6,FALSE)</f>
        <v>#N/A</v>
      </c>
      <c r="K41" s="84" t="e">
        <f>VLOOKUP(Table13[[#This Row],[kbli5]],kata_kunci!$B:$H,7,FALSE)</f>
        <v>#N/A</v>
      </c>
    </row>
    <row r="42" spans="1:11" ht="15.75" thickBot="1" x14ac:dyDescent="0.3">
      <c r="A42" s="35" t="s">
        <v>118</v>
      </c>
      <c r="B42" s="40" t="s">
        <v>199</v>
      </c>
      <c r="C42" s="41" t="s">
        <v>200</v>
      </c>
      <c r="D42" s="30" t="e">
        <f>VLOOKUP(Table13[[#This Row],[kbli5]],Table1[[#All],[kbli5]:[digital_hijau]],3,)</f>
        <v>#N/A</v>
      </c>
      <c r="E42" s="35" t="e">
        <f>VLOOKUP(Table13[[#This Row],[kbli5]],kata_kunci!$B:$H,4,FALSE)</f>
        <v>#N/A</v>
      </c>
      <c r="F42" s="35" t="e">
        <f>VLOOKUP(Table13[[#This Row],[kbli5]],Table1[[#All],[kbli5]:[digital_hijau]],5,)</f>
        <v>#N/A</v>
      </c>
      <c r="G42" s="35" t="e">
        <f>VLOOKUP(Table13[[#This Row],[kbli5]],Table1[[#All],[kbli5]:[digital_hijau]],6,)</f>
        <v>#N/A</v>
      </c>
      <c r="H42" s="38" t="e">
        <f>VLOOKUP(Table13[[#This Row],[kbli5]],kata_kunci!$B:$H,3,FALSE)</f>
        <v>#N/A</v>
      </c>
      <c r="I42" s="84" t="e">
        <f>VLOOKUP(Table13[[#This Row],[kbli5]],kata_kunci!$B:$H,5,FALSE)</f>
        <v>#N/A</v>
      </c>
      <c r="J42" s="84" t="e">
        <f>VLOOKUP(Table13[[#This Row],[kbli5]],kata_kunci!$B:$H,6,FALSE)</f>
        <v>#N/A</v>
      </c>
      <c r="K42" s="84" t="e">
        <f>VLOOKUP(Table13[[#This Row],[kbli5]],kata_kunci!$B:$H,7,FALSE)</f>
        <v>#N/A</v>
      </c>
    </row>
    <row r="43" spans="1:11" ht="45.75" thickBot="1" x14ac:dyDescent="0.3">
      <c r="A43" s="35" t="s">
        <v>118</v>
      </c>
      <c r="B43" s="40" t="s">
        <v>201</v>
      </c>
      <c r="C43" s="41" t="s">
        <v>202</v>
      </c>
      <c r="D43" s="30" t="e">
        <f>VLOOKUP(Table13[[#This Row],[kbli5]],Table1[[#All],[kbli5]:[digital_hijau]],3,)</f>
        <v>#N/A</v>
      </c>
      <c r="E43" s="35" t="e">
        <f>VLOOKUP(Table13[[#This Row],[kbli5]],kata_kunci!$B:$H,4,FALSE)</f>
        <v>#N/A</v>
      </c>
      <c r="F43" s="35" t="e">
        <f>VLOOKUP(Table13[[#This Row],[kbli5]],Table1[[#All],[kbli5]:[digital_hijau]],5,)</f>
        <v>#N/A</v>
      </c>
      <c r="G43" s="35" t="e">
        <f>VLOOKUP(Table13[[#This Row],[kbli5]],Table1[[#All],[kbli5]:[digital_hijau]],6,)</f>
        <v>#N/A</v>
      </c>
      <c r="H43" s="38" t="e">
        <f>VLOOKUP(Table13[[#This Row],[kbli5]],kata_kunci!$B:$H,3,FALSE)</f>
        <v>#N/A</v>
      </c>
      <c r="I43" s="84" t="e">
        <f>VLOOKUP(Table13[[#This Row],[kbli5]],kata_kunci!$B:$H,5,FALSE)</f>
        <v>#N/A</v>
      </c>
      <c r="J43" s="84" t="e">
        <f>VLOOKUP(Table13[[#This Row],[kbli5]],kata_kunci!$B:$H,6,FALSE)</f>
        <v>#N/A</v>
      </c>
      <c r="K43" s="84" t="e">
        <f>VLOOKUP(Table13[[#This Row],[kbli5]],kata_kunci!$B:$H,7,FALSE)</f>
        <v>#N/A</v>
      </c>
    </row>
    <row r="44" spans="1:11" ht="15.75" thickBot="1" x14ac:dyDescent="0.3">
      <c r="A44" s="35" t="s">
        <v>118</v>
      </c>
      <c r="B44" s="40" t="s">
        <v>203</v>
      </c>
      <c r="C44" s="41" t="s">
        <v>204</v>
      </c>
      <c r="D44" s="30" t="e">
        <f>VLOOKUP(Table13[[#This Row],[kbli5]],Table1[[#All],[kbli5]:[digital_hijau]],3,)</f>
        <v>#N/A</v>
      </c>
      <c r="E44" s="35" t="e">
        <f>VLOOKUP(Table13[[#This Row],[kbli5]],kata_kunci!$B:$H,4,FALSE)</f>
        <v>#N/A</v>
      </c>
      <c r="F44" s="35" t="e">
        <f>VLOOKUP(Table13[[#This Row],[kbli5]],Table1[[#All],[kbli5]:[digital_hijau]],5,)</f>
        <v>#N/A</v>
      </c>
      <c r="G44" s="35" t="e">
        <f>VLOOKUP(Table13[[#This Row],[kbli5]],Table1[[#All],[kbli5]:[digital_hijau]],6,)</f>
        <v>#N/A</v>
      </c>
      <c r="H44" s="38" t="e">
        <f>VLOOKUP(Table13[[#This Row],[kbli5]],kata_kunci!$B:$H,3,FALSE)</f>
        <v>#N/A</v>
      </c>
      <c r="I44" s="84" t="e">
        <f>VLOOKUP(Table13[[#This Row],[kbli5]],kata_kunci!$B:$H,5,FALSE)</f>
        <v>#N/A</v>
      </c>
      <c r="J44" s="84" t="e">
        <f>VLOOKUP(Table13[[#This Row],[kbli5]],kata_kunci!$B:$H,6,FALSE)</f>
        <v>#N/A</v>
      </c>
      <c r="K44" s="84" t="e">
        <f>VLOOKUP(Table13[[#This Row],[kbli5]],kata_kunci!$B:$H,7,FALSE)</f>
        <v>#N/A</v>
      </c>
    </row>
    <row r="45" spans="1:11" ht="15.75" thickBot="1" x14ac:dyDescent="0.3">
      <c r="A45" s="35" t="s">
        <v>118</v>
      </c>
      <c r="B45" s="40" t="s">
        <v>205</v>
      </c>
      <c r="C45" s="41" t="s">
        <v>206</v>
      </c>
      <c r="D45" s="30" t="e">
        <f>VLOOKUP(Table13[[#This Row],[kbli5]],Table1[[#All],[kbli5]:[digital_hijau]],3,)</f>
        <v>#N/A</v>
      </c>
      <c r="E45" s="35" t="e">
        <f>VLOOKUP(Table13[[#This Row],[kbli5]],kata_kunci!$B:$H,4,FALSE)</f>
        <v>#N/A</v>
      </c>
      <c r="F45" s="35" t="e">
        <f>VLOOKUP(Table13[[#This Row],[kbli5]],Table1[[#All],[kbli5]:[digital_hijau]],5,)</f>
        <v>#N/A</v>
      </c>
      <c r="G45" s="35" t="e">
        <f>VLOOKUP(Table13[[#This Row],[kbli5]],Table1[[#All],[kbli5]:[digital_hijau]],6,)</f>
        <v>#N/A</v>
      </c>
      <c r="H45" s="38" t="e">
        <f>VLOOKUP(Table13[[#This Row],[kbli5]],kata_kunci!$B:$H,3,FALSE)</f>
        <v>#N/A</v>
      </c>
      <c r="I45" s="84" t="e">
        <f>VLOOKUP(Table13[[#This Row],[kbli5]],kata_kunci!$B:$H,5,FALSE)</f>
        <v>#N/A</v>
      </c>
      <c r="J45" s="84" t="e">
        <f>VLOOKUP(Table13[[#This Row],[kbli5]],kata_kunci!$B:$H,6,FALSE)</f>
        <v>#N/A</v>
      </c>
      <c r="K45" s="84" t="e">
        <f>VLOOKUP(Table13[[#This Row],[kbli5]],kata_kunci!$B:$H,7,FALSE)</f>
        <v>#N/A</v>
      </c>
    </row>
    <row r="46" spans="1:11" ht="15.75" thickBot="1" x14ac:dyDescent="0.3">
      <c r="A46" s="35" t="s">
        <v>118</v>
      </c>
      <c r="B46" s="40" t="s">
        <v>207</v>
      </c>
      <c r="C46" s="41" t="s">
        <v>208</v>
      </c>
      <c r="D46" s="30" t="e">
        <f>VLOOKUP(Table13[[#This Row],[kbli5]],Table1[[#All],[kbli5]:[digital_hijau]],3,)</f>
        <v>#N/A</v>
      </c>
      <c r="E46" s="35" t="e">
        <f>VLOOKUP(Table13[[#This Row],[kbli5]],kata_kunci!$B:$H,4,FALSE)</f>
        <v>#N/A</v>
      </c>
      <c r="F46" s="35" t="e">
        <f>VLOOKUP(Table13[[#This Row],[kbli5]],Table1[[#All],[kbli5]:[digital_hijau]],5,)</f>
        <v>#N/A</v>
      </c>
      <c r="G46" s="35" t="e">
        <f>VLOOKUP(Table13[[#This Row],[kbli5]],Table1[[#All],[kbli5]:[digital_hijau]],6,)</f>
        <v>#N/A</v>
      </c>
      <c r="H46" s="38" t="e">
        <f>VLOOKUP(Table13[[#This Row],[kbli5]],kata_kunci!$B:$H,3,FALSE)</f>
        <v>#N/A</v>
      </c>
      <c r="I46" s="84" t="e">
        <f>VLOOKUP(Table13[[#This Row],[kbli5]],kata_kunci!$B:$H,5,FALSE)</f>
        <v>#N/A</v>
      </c>
      <c r="J46" s="84" t="e">
        <f>VLOOKUP(Table13[[#This Row],[kbli5]],kata_kunci!$B:$H,6,FALSE)</f>
        <v>#N/A</v>
      </c>
      <c r="K46" s="84" t="e">
        <f>VLOOKUP(Table13[[#This Row],[kbli5]],kata_kunci!$B:$H,7,FALSE)</f>
        <v>#N/A</v>
      </c>
    </row>
    <row r="47" spans="1:11" ht="30.75" thickBot="1" x14ac:dyDescent="0.3">
      <c r="A47" s="35" t="s">
        <v>118</v>
      </c>
      <c r="B47" s="40" t="s">
        <v>209</v>
      </c>
      <c r="C47" s="41" t="s">
        <v>210</v>
      </c>
      <c r="D47" s="30" t="e">
        <f>VLOOKUP(Table13[[#This Row],[kbli5]],Table1[[#All],[kbli5]:[digital_hijau]],3,)</f>
        <v>#N/A</v>
      </c>
      <c r="E47" s="35" t="e">
        <f>VLOOKUP(Table13[[#This Row],[kbli5]],kata_kunci!$B:$H,4,FALSE)</f>
        <v>#N/A</v>
      </c>
      <c r="F47" s="35" t="e">
        <f>VLOOKUP(Table13[[#This Row],[kbli5]],Table1[[#All],[kbli5]:[digital_hijau]],5,)</f>
        <v>#N/A</v>
      </c>
      <c r="G47" s="35" t="e">
        <f>VLOOKUP(Table13[[#This Row],[kbli5]],Table1[[#All],[kbli5]:[digital_hijau]],6,)</f>
        <v>#N/A</v>
      </c>
      <c r="H47" s="38" t="e">
        <f>VLOOKUP(Table13[[#This Row],[kbli5]],kata_kunci!$B:$H,3,FALSE)</f>
        <v>#N/A</v>
      </c>
      <c r="I47" s="84" t="e">
        <f>VLOOKUP(Table13[[#This Row],[kbli5]],kata_kunci!$B:$H,5,FALSE)</f>
        <v>#N/A</v>
      </c>
      <c r="J47" s="84" t="e">
        <f>VLOOKUP(Table13[[#This Row],[kbli5]],kata_kunci!$B:$H,6,FALSE)</f>
        <v>#N/A</v>
      </c>
      <c r="K47" s="84" t="e">
        <f>VLOOKUP(Table13[[#This Row],[kbli5]],kata_kunci!$B:$H,7,FALSE)</f>
        <v>#N/A</v>
      </c>
    </row>
    <row r="48" spans="1:11" ht="30.75" thickBot="1" x14ac:dyDescent="0.3">
      <c r="A48" s="35" t="s">
        <v>118</v>
      </c>
      <c r="B48" s="40" t="s">
        <v>211</v>
      </c>
      <c r="C48" s="41" t="s">
        <v>212</v>
      </c>
      <c r="D48" s="30" t="e">
        <f>VLOOKUP(Table13[[#This Row],[kbli5]],Table1[[#All],[kbli5]:[digital_hijau]],3,)</f>
        <v>#N/A</v>
      </c>
      <c r="E48" s="35" t="e">
        <f>VLOOKUP(Table13[[#This Row],[kbli5]],kata_kunci!$B:$H,4,FALSE)</f>
        <v>#N/A</v>
      </c>
      <c r="F48" s="35" t="e">
        <f>VLOOKUP(Table13[[#This Row],[kbli5]],Table1[[#All],[kbli5]:[digital_hijau]],5,)</f>
        <v>#N/A</v>
      </c>
      <c r="G48" s="35" t="e">
        <f>VLOOKUP(Table13[[#This Row],[kbli5]],Table1[[#All],[kbli5]:[digital_hijau]],6,)</f>
        <v>#N/A</v>
      </c>
      <c r="H48" s="38" t="e">
        <f>VLOOKUP(Table13[[#This Row],[kbli5]],kata_kunci!$B:$H,3,FALSE)</f>
        <v>#N/A</v>
      </c>
      <c r="I48" s="84" t="e">
        <f>VLOOKUP(Table13[[#This Row],[kbli5]],kata_kunci!$B:$H,5,FALSE)</f>
        <v>#N/A</v>
      </c>
      <c r="J48" s="84" t="e">
        <f>VLOOKUP(Table13[[#This Row],[kbli5]],kata_kunci!$B:$H,6,FALSE)</f>
        <v>#N/A</v>
      </c>
      <c r="K48" s="84" t="e">
        <f>VLOOKUP(Table13[[#This Row],[kbli5]],kata_kunci!$B:$H,7,FALSE)</f>
        <v>#N/A</v>
      </c>
    </row>
    <row r="49" spans="1:11" ht="30.75" thickBot="1" x14ac:dyDescent="0.3">
      <c r="A49" s="35" t="s">
        <v>118</v>
      </c>
      <c r="B49" s="40" t="s">
        <v>213</v>
      </c>
      <c r="C49" s="41" t="s">
        <v>214</v>
      </c>
      <c r="D49" s="30" t="e">
        <f>VLOOKUP(Table13[[#This Row],[kbli5]],Table1[[#All],[kbli5]:[digital_hijau]],3,)</f>
        <v>#N/A</v>
      </c>
      <c r="E49" s="35" t="e">
        <f>VLOOKUP(Table13[[#This Row],[kbli5]],kata_kunci!$B:$H,4,FALSE)</f>
        <v>#N/A</v>
      </c>
      <c r="F49" s="35" t="e">
        <f>VLOOKUP(Table13[[#This Row],[kbli5]],Table1[[#All],[kbli5]:[digital_hijau]],5,)</f>
        <v>#N/A</v>
      </c>
      <c r="G49" s="35" t="e">
        <f>VLOOKUP(Table13[[#This Row],[kbli5]],Table1[[#All],[kbli5]:[digital_hijau]],6,)</f>
        <v>#N/A</v>
      </c>
      <c r="H49" s="38" t="e">
        <f>VLOOKUP(Table13[[#This Row],[kbli5]],kata_kunci!$B:$H,3,FALSE)</f>
        <v>#N/A</v>
      </c>
      <c r="I49" s="84" t="e">
        <f>VLOOKUP(Table13[[#This Row],[kbli5]],kata_kunci!$B:$H,5,FALSE)</f>
        <v>#N/A</v>
      </c>
      <c r="J49" s="84" t="e">
        <f>VLOOKUP(Table13[[#This Row],[kbli5]],kata_kunci!$B:$H,6,FALSE)</f>
        <v>#N/A</v>
      </c>
      <c r="K49" s="84" t="e">
        <f>VLOOKUP(Table13[[#This Row],[kbli5]],kata_kunci!$B:$H,7,FALSE)</f>
        <v>#N/A</v>
      </c>
    </row>
    <row r="50" spans="1:11" ht="60.75" thickBot="1" x14ac:dyDescent="0.3">
      <c r="A50" s="35" t="s">
        <v>118</v>
      </c>
      <c r="B50" s="40" t="s">
        <v>215</v>
      </c>
      <c r="C50" s="41" t="s">
        <v>216</v>
      </c>
      <c r="D50" s="30" t="e">
        <f>VLOOKUP(Table13[[#This Row],[kbli5]],Table1[[#All],[kbli5]:[digital_hijau]],3,)</f>
        <v>#N/A</v>
      </c>
      <c r="E50" s="35" t="e">
        <f>VLOOKUP(Table13[[#This Row],[kbli5]],kata_kunci!$B:$H,4,FALSE)</f>
        <v>#N/A</v>
      </c>
      <c r="F50" s="35" t="e">
        <f>VLOOKUP(Table13[[#This Row],[kbli5]],Table1[[#All],[kbli5]:[digital_hijau]],5,)</f>
        <v>#N/A</v>
      </c>
      <c r="G50" s="35" t="e">
        <f>VLOOKUP(Table13[[#This Row],[kbli5]],Table1[[#All],[kbli5]:[digital_hijau]],6,)</f>
        <v>#N/A</v>
      </c>
      <c r="H50" s="38" t="e">
        <f>VLOOKUP(Table13[[#This Row],[kbli5]],kata_kunci!$B:$H,3,FALSE)</f>
        <v>#N/A</v>
      </c>
      <c r="I50" s="84" t="e">
        <f>VLOOKUP(Table13[[#This Row],[kbli5]],kata_kunci!$B:$H,5,FALSE)</f>
        <v>#N/A</v>
      </c>
      <c r="J50" s="84" t="e">
        <f>VLOOKUP(Table13[[#This Row],[kbli5]],kata_kunci!$B:$H,6,FALSE)</f>
        <v>#N/A</v>
      </c>
      <c r="K50" s="84" t="e">
        <f>VLOOKUP(Table13[[#This Row],[kbli5]],kata_kunci!$B:$H,7,FALSE)</f>
        <v>#N/A</v>
      </c>
    </row>
    <row r="51" spans="1:11" ht="45.75" thickBot="1" x14ac:dyDescent="0.3">
      <c r="A51" s="35" t="s">
        <v>118</v>
      </c>
      <c r="B51" s="40" t="s">
        <v>217</v>
      </c>
      <c r="C51" s="41" t="s">
        <v>218</v>
      </c>
      <c r="D51" s="30" t="e">
        <f>VLOOKUP(Table13[[#This Row],[kbli5]],Table1[[#All],[kbli5]:[digital_hijau]],3,)</f>
        <v>#N/A</v>
      </c>
      <c r="E51" s="35" t="e">
        <f>VLOOKUP(Table13[[#This Row],[kbli5]],kata_kunci!$B:$H,4,FALSE)</f>
        <v>#N/A</v>
      </c>
      <c r="F51" s="35" t="e">
        <f>VLOOKUP(Table13[[#This Row],[kbli5]],Table1[[#All],[kbli5]:[digital_hijau]],5,)</f>
        <v>#N/A</v>
      </c>
      <c r="G51" s="35" t="e">
        <f>VLOOKUP(Table13[[#This Row],[kbli5]],Table1[[#All],[kbli5]:[digital_hijau]],6,)</f>
        <v>#N/A</v>
      </c>
      <c r="H51" s="38" t="e">
        <f>VLOOKUP(Table13[[#This Row],[kbli5]],kata_kunci!$B:$H,3,FALSE)</f>
        <v>#N/A</v>
      </c>
      <c r="I51" s="84" t="e">
        <f>VLOOKUP(Table13[[#This Row],[kbli5]],kata_kunci!$B:$H,5,FALSE)</f>
        <v>#N/A</v>
      </c>
      <c r="J51" s="84" t="e">
        <f>VLOOKUP(Table13[[#This Row],[kbli5]],kata_kunci!$B:$H,6,FALSE)</f>
        <v>#N/A</v>
      </c>
      <c r="K51" s="84" t="e">
        <f>VLOOKUP(Table13[[#This Row],[kbli5]],kata_kunci!$B:$H,7,FALSE)</f>
        <v>#N/A</v>
      </c>
    </row>
    <row r="52" spans="1:11" ht="45.75" thickBot="1" x14ac:dyDescent="0.3">
      <c r="A52" s="35" t="s">
        <v>118</v>
      </c>
      <c r="B52" s="40" t="s">
        <v>219</v>
      </c>
      <c r="C52" s="41" t="s">
        <v>220</v>
      </c>
      <c r="D52" s="30" t="e">
        <f>VLOOKUP(Table13[[#This Row],[kbli5]],Table1[[#All],[kbli5]:[digital_hijau]],3,)</f>
        <v>#N/A</v>
      </c>
      <c r="E52" s="35" t="e">
        <f>VLOOKUP(Table13[[#This Row],[kbli5]],kata_kunci!$B:$H,4,FALSE)</f>
        <v>#N/A</v>
      </c>
      <c r="F52" s="35" t="e">
        <f>VLOOKUP(Table13[[#This Row],[kbli5]],Table1[[#All],[kbli5]:[digital_hijau]],5,)</f>
        <v>#N/A</v>
      </c>
      <c r="G52" s="35" t="e">
        <f>VLOOKUP(Table13[[#This Row],[kbli5]],Table1[[#All],[kbli5]:[digital_hijau]],6,)</f>
        <v>#N/A</v>
      </c>
      <c r="H52" s="38" t="e">
        <f>VLOOKUP(Table13[[#This Row],[kbli5]],kata_kunci!$B:$H,3,FALSE)</f>
        <v>#N/A</v>
      </c>
      <c r="I52" s="84" t="e">
        <f>VLOOKUP(Table13[[#This Row],[kbli5]],kata_kunci!$B:$H,5,FALSE)</f>
        <v>#N/A</v>
      </c>
      <c r="J52" s="84" t="e">
        <f>VLOOKUP(Table13[[#This Row],[kbli5]],kata_kunci!$B:$H,6,FALSE)</f>
        <v>#N/A</v>
      </c>
      <c r="K52" s="84" t="e">
        <f>VLOOKUP(Table13[[#This Row],[kbli5]],kata_kunci!$B:$H,7,FALSE)</f>
        <v>#N/A</v>
      </c>
    </row>
    <row r="53" spans="1:11" ht="30.75" thickBot="1" x14ac:dyDescent="0.3">
      <c r="A53" s="35" t="s">
        <v>118</v>
      </c>
      <c r="B53" s="40" t="s">
        <v>221</v>
      </c>
      <c r="C53" s="41" t="s">
        <v>222</v>
      </c>
      <c r="D53" s="30" t="e">
        <f>VLOOKUP(Table13[[#This Row],[kbli5]],Table1[[#All],[kbli5]:[digital_hijau]],3,)</f>
        <v>#N/A</v>
      </c>
      <c r="E53" s="35" t="e">
        <f>VLOOKUP(Table13[[#This Row],[kbli5]],kata_kunci!$B:$H,4,FALSE)</f>
        <v>#N/A</v>
      </c>
      <c r="F53" s="35" t="e">
        <f>VLOOKUP(Table13[[#This Row],[kbli5]],Table1[[#All],[kbli5]:[digital_hijau]],5,)</f>
        <v>#N/A</v>
      </c>
      <c r="G53" s="35" t="e">
        <f>VLOOKUP(Table13[[#This Row],[kbli5]],Table1[[#All],[kbli5]:[digital_hijau]],6,)</f>
        <v>#N/A</v>
      </c>
      <c r="H53" s="38" t="e">
        <f>VLOOKUP(Table13[[#This Row],[kbli5]],kata_kunci!$B:$H,3,FALSE)</f>
        <v>#N/A</v>
      </c>
      <c r="I53" s="84" t="e">
        <f>VLOOKUP(Table13[[#This Row],[kbli5]],kata_kunci!$B:$H,5,FALSE)</f>
        <v>#N/A</v>
      </c>
      <c r="J53" s="84" t="e">
        <f>VLOOKUP(Table13[[#This Row],[kbli5]],kata_kunci!$B:$H,6,FALSE)</f>
        <v>#N/A</v>
      </c>
      <c r="K53" s="84" t="e">
        <f>VLOOKUP(Table13[[#This Row],[kbli5]],kata_kunci!$B:$H,7,FALSE)</f>
        <v>#N/A</v>
      </c>
    </row>
    <row r="54" spans="1:11" ht="15.75" thickBot="1" x14ac:dyDescent="0.3">
      <c r="A54" s="35" t="s">
        <v>118</v>
      </c>
      <c r="B54" s="40" t="s">
        <v>223</v>
      </c>
      <c r="C54" s="41" t="s">
        <v>224</v>
      </c>
      <c r="D54" s="30" t="e">
        <f>VLOOKUP(Table13[[#This Row],[kbli5]],Table1[[#All],[kbli5]:[digital_hijau]],3,)</f>
        <v>#N/A</v>
      </c>
      <c r="E54" s="35" t="e">
        <f>VLOOKUP(Table13[[#This Row],[kbli5]],kata_kunci!$B:$H,4,FALSE)</f>
        <v>#N/A</v>
      </c>
      <c r="F54" s="35" t="e">
        <f>VLOOKUP(Table13[[#This Row],[kbli5]],Table1[[#All],[kbli5]:[digital_hijau]],5,)</f>
        <v>#N/A</v>
      </c>
      <c r="G54" s="35" t="e">
        <f>VLOOKUP(Table13[[#This Row],[kbli5]],Table1[[#All],[kbli5]:[digital_hijau]],6,)</f>
        <v>#N/A</v>
      </c>
      <c r="H54" s="38" t="e">
        <f>VLOOKUP(Table13[[#This Row],[kbli5]],kata_kunci!$B:$H,3,FALSE)</f>
        <v>#N/A</v>
      </c>
      <c r="I54" s="84" t="e">
        <f>VLOOKUP(Table13[[#This Row],[kbli5]],kata_kunci!$B:$H,5,FALSE)</f>
        <v>#N/A</v>
      </c>
      <c r="J54" s="84" t="e">
        <f>VLOOKUP(Table13[[#This Row],[kbli5]],kata_kunci!$B:$H,6,FALSE)</f>
        <v>#N/A</v>
      </c>
      <c r="K54" s="84" t="e">
        <f>VLOOKUP(Table13[[#This Row],[kbli5]],kata_kunci!$B:$H,7,FALSE)</f>
        <v>#N/A</v>
      </c>
    </row>
    <row r="55" spans="1:11" ht="30.75" thickBot="1" x14ac:dyDescent="0.3">
      <c r="A55" s="35" t="s">
        <v>118</v>
      </c>
      <c r="B55" s="40" t="s">
        <v>225</v>
      </c>
      <c r="C55" s="41" t="s">
        <v>226</v>
      </c>
      <c r="D55" s="30" t="e">
        <f>VLOOKUP(Table13[[#This Row],[kbli5]],Table1[[#All],[kbli5]:[digital_hijau]],3,)</f>
        <v>#N/A</v>
      </c>
      <c r="E55" s="35" t="e">
        <f>VLOOKUP(Table13[[#This Row],[kbli5]],kata_kunci!$B:$H,4,FALSE)</f>
        <v>#N/A</v>
      </c>
      <c r="F55" s="35" t="e">
        <f>VLOOKUP(Table13[[#This Row],[kbli5]],Table1[[#All],[kbli5]:[digital_hijau]],5,)</f>
        <v>#N/A</v>
      </c>
      <c r="G55" s="35" t="e">
        <f>VLOOKUP(Table13[[#This Row],[kbli5]],Table1[[#All],[kbli5]:[digital_hijau]],6,)</f>
        <v>#N/A</v>
      </c>
      <c r="H55" s="38" t="e">
        <f>VLOOKUP(Table13[[#This Row],[kbli5]],kata_kunci!$B:$H,3,FALSE)</f>
        <v>#N/A</v>
      </c>
      <c r="I55" s="84" t="e">
        <f>VLOOKUP(Table13[[#This Row],[kbli5]],kata_kunci!$B:$H,5,FALSE)</f>
        <v>#N/A</v>
      </c>
      <c r="J55" s="84" t="e">
        <f>VLOOKUP(Table13[[#This Row],[kbli5]],kata_kunci!$B:$H,6,FALSE)</f>
        <v>#N/A</v>
      </c>
      <c r="K55" s="84" t="e">
        <f>VLOOKUP(Table13[[#This Row],[kbli5]],kata_kunci!$B:$H,7,FALSE)</f>
        <v>#N/A</v>
      </c>
    </row>
    <row r="56" spans="1:11" ht="30.75" thickBot="1" x14ac:dyDescent="0.3">
      <c r="A56" s="35" t="s">
        <v>118</v>
      </c>
      <c r="B56" s="40" t="s">
        <v>227</v>
      </c>
      <c r="C56" s="41" t="s">
        <v>228</v>
      </c>
      <c r="D56" s="30" t="e">
        <f>VLOOKUP(Table13[[#This Row],[kbli5]],Table1[[#All],[kbli5]:[digital_hijau]],3,)</f>
        <v>#N/A</v>
      </c>
      <c r="E56" s="35" t="e">
        <f>VLOOKUP(Table13[[#This Row],[kbli5]],kata_kunci!$B:$H,4,FALSE)</f>
        <v>#N/A</v>
      </c>
      <c r="F56" s="35" t="e">
        <f>VLOOKUP(Table13[[#This Row],[kbli5]],Table1[[#All],[kbli5]:[digital_hijau]],5,)</f>
        <v>#N/A</v>
      </c>
      <c r="G56" s="35" t="e">
        <f>VLOOKUP(Table13[[#This Row],[kbli5]],Table1[[#All],[kbli5]:[digital_hijau]],6,)</f>
        <v>#N/A</v>
      </c>
      <c r="H56" s="38" t="e">
        <f>VLOOKUP(Table13[[#This Row],[kbli5]],kata_kunci!$B:$H,3,FALSE)</f>
        <v>#N/A</v>
      </c>
      <c r="I56" s="84" t="e">
        <f>VLOOKUP(Table13[[#This Row],[kbli5]],kata_kunci!$B:$H,5,FALSE)</f>
        <v>#N/A</v>
      </c>
      <c r="J56" s="84" t="e">
        <f>VLOOKUP(Table13[[#This Row],[kbli5]],kata_kunci!$B:$H,6,FALSE)</f>
        <v>#N/A</v>
      </c>
      <c r="K56" s="84" t="e">
        <f>VLOOKUP(Table13[[#This Row],[kbli5]],kata_kunci!$B:$H,7,FALSE)</f>
        <v>#N/A</v>
      </c>
    </row>
    <row r="57" spans="1:11" ht="30.75" thickBot="1" x14ac:dyDescent="0.3">
      <c r="A57" s="35" t="s">
        <v>118</v>
      </c>
      <c r="B57" s="40" t="s">
        <v>229</v>
      </c>
      <c r="C57" s="41" t="s">
        <v>230</v>
      </c>
      <c r="D57" s="30" t="e">
        <f>VLOOKUP(Table13[[#This Row],[kbli5]],Table1[[#All],[kbli5]:[digital_hijau]],3,)</f>
        <v>#N/A</v>
      </c>
      <c r="E57" s="35" t="e">
        <f>VLOOKUP(Table13[[#This Row],[kbli5]],kata_kunci!$B:$H,4,FALSE)</f>
        <v>#N/A</v>
      </c>
      <c r="F57" s="35" t="e">
        <f>VLOOKUP(Table13[[#This Row],[kbli5]],Table1[[#All],[kbli5]:[digital_hijau]],5,)</f>
        <v>#N/A</v>
      </c>
      <c r="G57" s="35" t="e">
        <f>VLOOKUP(Table13[[#This Row],[kbli5]],Table1[[#All],[kbli5]:[digital_hijau]],6,)</f>
        <v>#N/A</v>
      </c>
      <c r="H57" s="38" t="e">
        <f>VLOOKUP(Table13[[#This Row],[kbli5]],kata_kunci!$B:$H,3,FALSE)</f>
        <v>#N/A</v>
      </c>
      <c r="I57" s="84" t="e">
        <f>VLOOKUP(Table13[[#This Row],[kbli5]],kata_kunci!$B:$H,5,FALSE)</f>
        <v>#N/A</v>
      </c>
      <c r="J57" s="84" t="e">
        <f>VLOOKUP(Table13[[#This Row],[kbli5]],kata_kunci!$B:$H,6,FALSE)</f>
        <v>#N/A</v>
      </c>
      <c r="K57" s="84" t="e">
        <f>VLOOKUP(Table13[[#This Row],[kbli5]],kata_kunci!$B:$H,7,FALSE)</f>
        <v>#N/A</v>
      </c>
    </row>
    <row r="58" spans="1:11" ht="30.75" thickBot="1" x14ac:dyDescent="0.3">
      <c r="A58" s="35" t="s">
        <v>118</v>
      </c>
      <c r="B58" s="40" t="s">
        <v>231</v>
      </c>
      <c r="C58" s="41" t="s">
        <v>232</v>
      </c>
      <c r="D58" s="30" t="e">
        <f>VLOOKUP(Table13[[#This Row],[kbli5]],Table1[[#All],[kbli5]:[digital_hijau]],3,)</f>
        <v>#N/A</v>
      </c>
      <c r="E58" s="35" t="e">
        <f>VLOOKUP(Table13[[#This Row],[kbli5]],kata_kunci!$B:$H,4,FALSE)</f>
        <v>#N/A</v>
      </c>
      <c r="F58" s="35" t="e">
        <f>VLOOKUP(Table13[[#This Row],[kbli5]],Table1[[#All],[kbli5]:[digital_hijau]],5,)</f>
        <v>#N/A</v>
      </c>
      <c r="G58" s="35" t="e">
        <f>VLOOKUP(Table13[[#This Row],[kbli5]],Table1[[#All],[kbli5]:[digital_hijau]],6,)</f>
        <v>#N/A</v>
      </c>
      <c r="H58" s="38" t="e">
        <f>VLOOKUP(Table13[[#This Row],[kbli5]],kata_kunci!$B:$H,3,FALSE)</f>
        <v>#N/A</v>
      </c>
      <c r="I58" s="84" t="e">
        <f>VLOOKUP(Table13[[#This Row],[kbli5]],kata_kunci!$B:$H,5,FALSE)</f>
        <v>#N/A</v>
      </c>
      <c r="J58" s="84" t="e">
        <f>VLOOKUP(Table13[[#This Row],[kbli5]],kata_kunci!$B:$H,6,FALSE)</f>
        <v>#N/A</v>
      </c>
      <c r="K58" s="84" t="e">
        <f>VLOOKUP(Table13[[#This Row],[kbli5]],kata_kunci!$B:$H,7,FALSE)</f>
        <v>#N/A</v>
      </c>
    </row>
    <row r="59" spans="1:11" ht="45.75" thickBot="1" x14ac:dyDescent="0.3">
      <c r="A59" s="35" t="s">
        <v>118</v>
      </c>
      <c r="B59" s="40" t="s">
        <v>233</v>
      </c>
      <c r="C59" s="41" t="s">
        <v>234</v>
      </c>
      <c r="D59" s="30" t="e">
        <f>VLOOKUP(Table13[[#This Row],[kbli5]],Table1[[#All],[kbli5]:[digital_hijau]],3,)</f>
        <v>#N/A</v>
      </c>
      <c r="E59" s="35" t="e">
        <f>VLOOKUP(Table13[[#This Row],[kbli5]],kata_kunci!$B:$H,4,FALSE)</f>
        <v>#N/A</v>
      </c>
      <c r="F59" s="35" t="e">
        <f>VLOOKUP(Table13[[#This Row],[kbli5]],Table1[[#All],[kbli5]:[digital_hijau]],5,)</f>
        <v>#N/A</v>
      </c>
      <c r="G59" s="35" t="e">
        <f>VLOOKUP(Table13[[#This Row],[kbli5]],Table1[[#All],[kbli5]:[digital_hijau]],6,)</f>
        <v>#N/A</v>
      </c>
      <c r="H59" s="38" t="e">
        <f>VLOOKUP(Table13[[#This Row],[kbli5]],kata_kunci!$B:$H,3,FALSE)</f>
        <v>#N/A</v>
      </c>
      <c r="I59" s="84" t="e">
        <f>VLOOKUP(Table13[[#This Row],[kbli5]],kata_kunci!$B:$H,5,FALSE)</f>
        <v>#N/A</v>
      </c>
      <c r="J59" s="84" t="e">
        <f>VLOOKUP(Table13[[#This Row],[kbli5]],kata_kunci!$B:$H,6,FALSE)</f>
        <v>#N/A</v>
      </c>
      <c r="K59" s="84" t="e">
        <f>VLOOKUP(Table13[[#This Row],[kbli5]],kata_kunci!$B:$H,7,FALSE)</f>
        <v>#N/A</v>
      </c>
    </row>
    <row r="60" spans="1:11" ht="30.75" thickBot="1" x14ac:dyDescent="0.3">
      <c r="A60" s="35" t="s">
        <v>118</v>
      </c>
      <c r="B60" s="40" t="s">
        <v>235</v>
      </c>
      <c r="C60" s="41" t="s">
        <v>236</v>
      </c>
      <c r="D60" s="30" t="e">
        <f>VLOOKUP(Table13[[#This Row],[kbli5]],Table1[[#All],[kbli5]:[digital_hijau]],3,)</f>
        <v>#N/A</v>
      </c>
      <c r="E60" s="35" t="e">
        <f>VLOOKUP(Table13[[#This Row],[kbli5]],kata_kunci!$B:$H,4,FALSE)</f>
        <v>#N/A</v>
      </c>
      <c r="F60" s="35" t="e">
        <f>VLOOKUP(Table13[[#This Row],[kbli5]],Table1[[#All],[kbli5]:[digital_hijau]],5,)</f>
        <v>#N/A</v>
      </c>
      <c r="G60" s="35" t="e">
        <f>VLOOKUP(Table13[[#This Row],[kbli5]],Table1[[#All],[kbli5]:[digital_hijau]],6,)</f>
        <v>#N/A</v>
      </c>
      <c r="H60" s="38" t="e">
        <f>VLOOKUP(Table13[[#This Row],[kbli5]],kata_kunci!$B:$H,3,FALSE)</f>
        <v>#N/A</v>
      </c>
      <c r="I60" s="84" t="e">
        <f>VLOOKUP(Table13[[#This Row],[kbli5]],kata_kunci!$B:$H,5,FALSE)</f>
        <v>#N/A</v>
      </c>
      <c r="J60" s="84" t="e">
        <f>VLOOKUP(Table13[[#This Row],[kbli5]],kata_kunci!$B:$H,6,FALSE)</f>
        <v>#N/A</v>
      </c>
      <c r="K60" s="84" t="e">
        <f>VLOOKUP(Table13[[#This Row],[kbli5]],kata_kunci!$B:$H,7,FALSE)</f>
        <v>#N/A</v>
      </c>
    </row>
    <row r="61" spans="1:11" ht="30.75" thickBot="1" x14ac:dyDescent="0.3">
      <c r="A61" s="35" t="s">
        <v>118</v>
      </c>
      <c r="B61" s="40" t="s">
        <v>237</v>
      </c>
      <c r="C61" s="41" t="s">
        <v>238</v>
      </c>
      <c r="D61" s="30" t="e">
        <f>VLOOKUP(Table13[[#This Row],[kbli5]],Table1[[#All],[kbli5]:[digital_hijau]],3,)</f>
        <v>#N/A</v>
      </c>
      <c r="E61" s="35" t="e">
        <f>VLOOKUP(Table13[[#This Row],[kbli5]],kata_kunci!$B:$H,4,FALSE)</f>
        <v>#N/A</v>
      </c>
      <c r="F61" s="35" t="e">
        <f>VLOOKUP(Table13[[#This Row],[kbli5]],Table1[[#All],[kbli5]:[digital_hijau]],5,)</f>
        <v>#N/A</v>
      </c>
      <c r="G61" s="35" t="e">
        <f>VLOOKUP(Table13[[#This Row],[kbli5]],Table1[[#All],[kbli5]:[digital_hijau]],6,)</f>
        <v>#N/A</v>
      </c>
      <c r="H61" s="38" t="e">
        <f>VLOOKUP(Table13[[#This Row],[kbli5]],kata_kunci!$B:$H,3,FALSE)</f>
        <v>#N/A</v>
      </c>
      <c r="I61" s="84" t="e">
        <f>VLOOKUP(Table13[[#This Row],[kbli5]],kata_kunci!$B:$H,5,FALSE)</f>
        <v>#N/A</v>
      </c>
      <c r="J61" s="84" t="e">
        <f>VLOOKUP(Table13[[#This Row],[kbli5]],kata_kunci!$B:$H,6,FALSE)</f>
        <v>#N/A</v>
      </c>
      <c r="K61" s="84" t="e">
        <f>VLOOKUP(Table13[[#This Row],[kbli5]],kata_kunci!$B:$H,7,FALSE)</f>
        <v>#N/A</v>
      </c>
    </row>
    <row r="62" spans="1:11" ht="30.75" thickBot="1" x14ac:dyDescent="0.3">
      <c r="A62" s="35" t="s">
        <v>118</v>
      </c>
      <c r="B62" s="40" t="s">
        <v>239</v>
      </c>
      <c r="C62" s="41" t="s">
        <v>240</v>
      </c>
      <c r="D62" s="30" t="e">
        <f>VLOOKUP(Table13[[#This Row],[kbli5]],Table1[[#All],[kbli5]:[digital_hijau]],3,)</f>
        <v>#N/A</v>
      </c>
      <c r="E62" s="35" t="e">
        <f>VLOOKUP(Table13[[#This Row],[kbli5]],kata_kunci!$B:$H,4,FALSE)</f>
        <v>#N/A</v>
      </c>
      <c r="F62" s="35" t="e">
        <f>VLOOKUP(Table13[[#This Row],[kbli5]],Table1[[#All],[kbli5]:[digital_hijau]],5,)</f>
        <v>#N/A</v>
      </c>
      <c r="G62" s="35" t="e">
        <f>VLOOKUP(Table13[[#This Row],[kbli5]],Table1[[#All],[kbli5]:[digital_hijau]],6,)</f>
        <v>#N/A</v>
      </c>
      <c r="H62" s="38" t="e">
        <f>VLOOKUP(Table13[[#This Row],[kbli5]],kata_kunci!$B:$H,3,FALSE)</f>
        <v>#N/A</v>
      </c>
      <c r="I62" s="84" t="e">
        <f>VLOOKUP(Table13[[#This Row],[kbli5]],kata_kunci!$B:$H,5,FALSE)</f>
        <v>#N/A</v>
      </c>
      <c r="J62" s="84" t="e">
        <f>VLOOKUP(Table13[[#This Row],[kbli5]],kata_kunci!$B:$H,6,FALSE)</f>
        <v>#N/A</v>
      </c>
      <c r="K62" s="84" t="e">
        <f>VLOOKUP(Table13[[#This Row],[kbli5]],kata_kunci!$B:$H,7,FALSE)</f>
        <v>#N/A</v>
      </c>
    </row>
    <row r="63" spans="1:11" ht="45.75" thickBot="1" x14ac:dyDescent="0.3">
      <c r="A63" s="35" t="s">
        <v>118</v>
      </c>
      <c r="B63" s="40" t="s">
        <v>241</v>
      </c>
      <c r="C63" s="41" t="s">
        <v>242</v>
      </c>
      <c r="D63" s="30" t="e">
        <f>VLOOKUP(Table13[[#This Row],[kbli5]],Table1[[#All],[kbli5]:[digital_hijau]],3,)</f>
        <v>#N/A</v>
      </c>
      <c r="E63" s="35" t="e">
        <f>VLOOKUP(Table13[[#This Row],[kbli5]],kata_kunci!$B:$H,4,FALSE)</f>
        <v>#N/A</v>
      </c>
      <c r="F63" s="35" t="e">
        <f>VLOOKUP(Table13[[#This Row],[kbli5]],Table1[[#All],[kbli5]:[digital_hijau]],5,)</f>
        <v>#N/A</v>
      </c>
      <c r="G63" s="35" t="e">
        <f>VLOOKUP(Table13[[#This Row],[kbli5]],Table1[[#All],[kbli5]:[digital_hijau]],6,)</f>
        <v>#N/A</v>
      </c>
      <c r="H63" s="38" t="e">
        <f>VLOOKUP(Table13[[#This Row],[kbli5]],kata_kunci!$B:$H,3,FALSE)</f>
        <v>#N/A</v>
      </c>
      <c r="I63" s="84" t="e">
        <f>VLOOKUP(Table13[[#This Row],[kbli5]],kata_kunci!$B:$H,5,FALSE)</f>
        <v>#N/A</v>
      </c>
      <c r="J63" s="84" t="e">
        <f>VLOOKUP(Table13[[#This Row],[kbli5]],kata_kunci!$B:$H,6,FALSE)</f>
        <v>#N/A</v>
      </c>
      <c r="K63" s="84" t="e">
        <f>VLOOKUP(Table13[[#This Row],[kbli5]],kata_kunci!$B:$H,7,FALSE)</f>
        <v>#N/A</v>
      </c>
    </row>
    <row r="64" spans="1:11" ht="45.75" thickBot="1" x14ac:dyDescent="0.3">
      <c r="A64" s="35" t="s">
        <v>118</v>
      </c>
      <c r="B64" s="40" t="s">
        <v>243</v>
      </c>
      <c r="C64" s="41" t="s">
        <v>244</v>
      </c>
      <c r="D64" s="30" t="e">
        <f>VLOOKUP(Table13[[#This Row],[kbli5]],Table1[[#All],[kbli5]:[digital_hijau]],3,)</f>
        <v>#N/A</v>
      </c>
      <c r="E64" s="35" t="e">
        <f>VLOOKUP(Table13[[#This Row],[kbli5]],kata_kunci!$B:$H,4,FALSE)</f>
        <v>#N/A</v>
      </c>
      <c r="F64" s="35" t="e">
        <f>VLOOKUP(Table13[[#This Row],[kbli5]],Table1[[#All],[kbli5]:[digital_hijau]],5,)</f>
        <v>#N/A</v>
      </c>
      <c r="G64" s="35" t="e">
        <f>VLOOKUP(Table13[[#This Row],[kbli5]],Table1[[#All],[kbli5]:[digital_hijau]],6,)</f>
        <v>#N/A</v>
      </c>
      <c r="H64" s="38" t="e">
        <f>VLOOKUP(Table13[[#This Row],[kbli5]],kata_kunci!$B:$H,3,FALSE)</f>
        <v>#N/A</v>
      </c>
      <c r="I64" s="84" t="e">
        <f>VLOOKUP(Table13[[#This Row],[kbli5]],kata_kunci!$B:$H,5,FALSE)</f>
        <v>#N/A</v>
      </c>
      <c r="J64" s="84" t="e">
        <f>VLOOKUP(Table13[[#This Row],[kbli5]],kata_kunci!$B:$H,6,FALSE)</f>
        <v>#N/A</v>
      </c>
      <c r="K64" s="84" t="e">
        <f>VLOOKUP(Table13[[#This Row],[kbli5]],kata_kunci!$B:$H,7,FALSE)</f>
        <v>#N/A</v>
      </c>
    </row>
    <row r="65" spans="1:11" ht="45.75" thickBot="1" x14ac:dyDescent="0.3">
      <c r="A65" s="35" t="s">
        <v>118</v>
      </c>
      <c r="B65" s="40" t="s">
        <v>245</v>
      </c>
      <c r="C65" s="41" t="s">
        <v>246</v>
      </c>
      <c r="D65" s="30" t="e">
        <f>VLOOKUP(Table13[[#This Row],[kbli5]],Table1[[#All],[kbli5]:[digital_hijau]],3,)</f>
        <v>#N/A</v>
      </c>
      <c r="E65" s="35" t="e">
        <f>VLOOKUP(Table13[[#This Row],[kbli5]],kata_kunci!$B:$H,4,FALSE)</f>
        <v>#N/A</v>
      </c>
      <c r="F65" s="35" t="e">
        <f>VLOOKUP(Table13[[#This Row],[kbli5]],Table1[[#All],[kbli5]:[digital_hijau]],5,)</f>
        <v>#N/A</v>
      </c>
      <c r="G65" s="35" t="e">
        <f>VLOOKUP(Table13[[#This Row],[kbli5]],Table1[[#All],[kbli5]:[digital_hijau]],6,)</f>
        <v>#N/A</v>
      </c>
      <c r="H65" s="38" t="e">
        <f>VLOOKUP(Table13[[#This Row],[kbli5]],kata_kunci!$B:$H,3,FALSE)</f>
        <v>#N/A</v>
      </c>
      <c r="I65" s="84" t="e">
        <f>VLOOKUP(Table13[[#This Row],[kbli5]],kata_kunci!$B:$H,5,FALSE)</f>
        <v>#N/A</v>
      </c>
      <c r="J65" s="84" t="e">
        <f>VLOOKUP(Table13[[#This Row],[kbli5]],kata_kunci!$B:$H,6,FALSE)</f>
        <v>#N/A</v>
      </c>
      <c r="K65" s="84" t="e">
        <f>VLOOKUP(Table13[[#This Row],[kbli5]],kata_kunci!$B:$H,7,FALSE)</f>
        <v>#N/A</v>
      </c>
    </row>
    <row r="66" spans="1:11" ht="30.75" thickBot="1" x14ac:dyDescent="0.3">
      <c r="A66" s="35" t="s">
        <v>118</v>
      </c>
      <c r="B66" s="40" t="s">
        <v>247</v>
      </c>
      <c r="C66" s="41" t="s">
        <v>248</v>
      </c>
      <c r="D66" s="30" t="e">
        <f>VLOOKUP(Table13[[#This Row],[kbli5]],Table1[[#All],[kbli5]:[digital_hijau]],3,)</f>
        <v>#N/A</v>
      </c>
      <c r="E66" s="35" t="e">
        <f>VLOOKUP(Table13[[#This Row],[kbli5]],kata_kunci!$B:$H,4,FALSE)</f>
        <v>#N/A</v>
      </c>
      <c r="F66" s="35" t="e">
        <f>VLOOKUP(Table13[[#This Row],[kbli5]],Table1[[#All],[kbli5]:[digital_hijau]],5,)</f>
        <v>#N/A</v>
      </c>
      <c r="G66" s="35" t="e">
        <f>VLOOKUP(Table13[[#This Row],[kbli5]],Table1[[#All],[kbli5]:[digital_hijau]],6,)</f>
        <v>#N/A</v>
      </c>
      <c r="H66" s="38" t="e">
        <f>VLOOKUP(Table13[[#This Row],[kbli5]],kata_kunci!$B:$H,3,FALSE)</f>
        <v>#N/A</v>
      </c>
      <c r="I66" s="84" t="e">
        <f>VLOOKUP(Table13[[#This Row],[kbli5]],kata_kunci!$B:$H,5,FALSE)</f>
        <v>#N/A</v>
      </c>
      <c r="J66" s="84" t="e">
        <f>VLOOKUP(Table13[[#This Row],[kbli5]],kata_kunci!$B:$H,6,FALSE)</f>
        <v>#N/A</v>
      </c>
      <c r="K66" s="84" t="e">
        <f>VLOOKUP(Table13[[#This Row],[kbli5]],kata_kunci!$B:$H,7,FALSE)</f>
        <v>#N/A</v>
      </c>
    </row>
    <row r="67" spans="1:11" ht="30.75" thickBot="1" x14ac:dyDescent="0.3">
      <c r="A67" s="35" t="s">
        <v>118</v>
      </c>
      <c r="B67" s="40" t="s">
        <v>249</v>
      </c>
      <c r="C67" s="41" t="s">
        <v>250</v>
      </c>
      <c r="D67" s="30" t="e">
        <f>VLOOKUP(Table13[[#This Row],[kbli5]],Table1[[#All],[kbli5]:[digital_hijau]],3,)</f>
        <v>#N/A</v>
      </c>
      <c r="E67" s="35" t="e">
        <f>VLOOKUP(Table13[[#This Row],[kbli5]],kata_kunci!$B:$H,4,FALSE)</f>
        <v>#N/A</v>
      </c>
      <c r="F67" s="35" t="e">
        <f>VLOOKUP(Table13[[#This Row],[kbli5]],Table1[[#All],[kbli5]:[digital_hijau]],5,)</f>
        <v>#N/A</v>
      </c>
      <c r="G67" s="35" t="e">
        <f>VLOOKUP(Table13[[#This Row],[kbli5]],Table1[[#All],[kbli5]:[digital_hijau]],6,)</f>
        <v>#N/A</v>
      </c>
      <c r="H67" s="38" t="e">
        <f>VLOOKUP(Table13[[#This Row],[kbli5]],kata_kunci!$B:$H,3,FALSE)</f>
        <v>#N/A</v>
      </c>
      <c r="I67" s="84" t="e">
        <f>VLOOKUP(Table13[[#This Row],[kbli5]],kata_kunci!$B:$H,5,FALSE)</f>
        <v>#N/A</v>
      </c>
      <c r="J67" s="84" t="e">
        <f>VLOOKUP(Table13[[#This Row],[kbli5]],kata_kunci!$B:$H,6,FALSE)</f>
        <v>#N/A</v>
      </c>
      <c r="K67" s="84" t="e">
        <f>VLOOKUP(Table13[[#This Row],[kbli5]],kata_kunci!$B:$H,7,FALSE)</f>
        <v>#N/A</v>
      </c>
    </row>
    <row r="68" spans="1:11" ht="15.75" thickBot="1" x14ac:dyDescent="0.3">
      <c r="A68" s="35" t="s">
        <v>118</v>
      </c>
      <c r="B68" s="40" t="s">
        <v>251</v>
      </c>
      <c r="C68" s="41" t="s">
        <v>252</v>
      </c>
      <c r="D68" s="30" t="e">
        <f>VLOOKUP(Table13[[#This Row],[kbli5]],Table1[[#All],[kbli5]:[digital_hijau]],3,)</f>
        <v>#N/A</v>
      </c>
      <c r="E68" s="35" t="e">
        <f>VLOOKUP(Table13[[#This Row],[kbli5]],kata_kunci!$B:$H,4,FALSE)</f>
        <v>#N/A</v>
      </c>
      <c r="F68" s="35" t="e">
        <f>VLOOKUP(Table13[[#This Row],[kbli5]],Table1[[#All],[kbli5]:[digital_hijau]],5,)</f>
        <v>#N/A</v>
      </c>
      <c r="G68" s="35" t="e">
        <f>VLOOKUP(Table13[[#This Row],[kbli5]],Table1[[#All],[kbli5]:[digital_hijau]],6,)</f>
        <v>#N/A</v>
      </c>
      <c r="H68" s="38" t="e">
        <f>VLOOKUP(Table13[[#This Row],[kbli5]],kata_kunci!$B:$H,3,FALSE)</f>
        <v>#N/A</v>
      </c>
      <c r="I68" s="84" t="e">
        <f>VLOOKUP(Table13[[#This Row],[kbli5]],kata_kunci!$B:$H,5,FALSE)</f>
        <v>#N/A</v>
      </c>
      <c r="J68" s="84" t="e">
        <f>VLOOKUP(Table13[[#This Row],[kbli5]],kata_kunci!$B:$H,6,FALSE)</f>
        <v>#N/A</v>
      </c>
      <c r="K68" s="84" t="e">
        <f>VLOOKUP(Table13[[#This Row],[kbli5]],kata_kunci!$B:$H,7,FALSE)</f>
        <v>#N/A</v>
      </c>
    </row>
    <row r="69" spans="1:11" ht="30.75" thickBot="1" x14ac:dyDescent="0.3">
      <c r="A69" s="35" t="s">
        <v>118</v>
      </c>
      <c r="B69" s="40" t="s">
        <v>253</v>
      </c>
      <c r="C69" s="41" t="s">
        <v>254</v>
      </c>
      <c r="D69" s="30" t="e">
        <f>VLOOKUP(Table13[[#This Row],[kbli5]],Table1[[#All],[kbli5]:[digital_hijau]],3,)</f>
        <v>#N/A</v>
      </c>
      <c r="E69" s="35" t="e">
        <f>VLOOKUP(Table13[[#This Row],[kbli5]],kata_kunci!$B:$H,4,FALSE)</f>
        <v>#N/A</v>
      </c>
      <c r="F69" s="35" t="e">
        <f>VLOOKUP(Table13[[#This Row],[kbli5]],Table1[[#All],[kbli5]:[digital_hijau]],5,)</f>
        <v>#N/A</v>
      </c>
      <c r="G69" s="35" t="e">
        <f>VLOOKUP(Table13[[#This Row],[kbli5]],Table1[[#All],[kbli5]:[digital_hijau]],6,)</f>
        <v>#N/A</v>
      </c>
      <c r="H69" s="38" t="e">
        <f>VLOOKUP(Table13[[#This Row],[kbli5]],kata_kunci!$B:$H,3,FALSE)</f>
        <v>#N/A</v>
      </c>
      <c r="I69" s="84" t="e">
        <f>VLOOKUP(Table13[[#This Row],[kbli5]],kata_kunci!$B:$H,5,FALSE)</f>
        <v>#N/A</v>
      </c>
      <c r="J69" s="84" t="e">
        <f>VLOOKUP(Table13[[#This Row],[kbli5]],kata_kunci!$B:$H,6,FALSE)</f>
        <v>#N/A</v>
      </c>
      <c r="K69" s="84" t="e">
        <f>VLOOKUP(Table13[[#This Row],[kbli5]],kata_kunci!$B:$H,7,FALSE)</f>
        <v>#N/A</v>
      </c>
    </row>
    <row r="70" spans="1:11" ht="30.75" thickBot="1" x14ac:dyDescent="0.3">
      <c r="A70" s="35" t="s">
        <v>118</v>
      </c>
      <c r="B70" s="40" t="s">
        <v>255</v>
      </c>
      <c r="C70" s="41" t="s">
        <v>256</v>
      </c>
      <c r="D70" s="30" t="e">
        <f>VLOOKUP(Table13[[#This Row],[kbli5]],Table1[[#All],[kbli5]:[digital_hijau]],3,)</f>
        <v>#N/A</v>
      </c>
      <c r="E70" s="35" t="e">
        <f>VLOOKUP(Table13[[#This Row],[kbli5]],kata_kunci!$B:$H,4,FALSE)</f>
        <v>#N/A</v>
      </c>
      <c r="F70" s="35" t="e">
        <f>VLOOKUP(Table13[[#This Row],[kbli5]],Table1[[#All],[kbli5]:[digital_hijau]],5,)</f>
        <v>#N/A</v>
      </c>
      <c r="G70" s="35" t="e">
        <f>VLOOKUP(Table13[[#This Row],[kbli5]],Table1[[#All],[kbli5]:[digital_hijau]],6,)</f>
        <v>#N/A</v>
      </c>
      <c r="H70" s="38" t="e">
        <f>VLOOKUP(Table13[[#This Row],[kbli5]],kata_kunci!$B:$H,3,FALSE)</f>
        <v>#N/A</v>
      </c>
      <c r="I70" s="84" t="e">
        <f>VLOOKUP(Table13[[#This Row],[kbli5]],kata_kunci!$B:$H,5,FALSE)</f>
        <v>#N/A</v>
      </c>
      <c r="J70" s="84" t="e">
        <f>VLOOKUP(Table13[[#This Row],[kbli5]],kata_kunci!$B:$H,6,FALSE)</f>
        <v>#N/A</v>
      </c>
      <c r="K70" s="84" t="e">
        <f>VLOOKUP(Table13[[#This Row],[kbli5]],kata_kunci!$B:$H,7,FALSE)</f>
        <v>#N/A</v>
      </c>
    </row>
    <row r="71" spans="1:11" ht="30.75" thickBot="1" x14ac:dyDescent="0.3">
      <c r="A71" s="35" t="s">
        <v>118</v>
      </c>
      <c r="B71" s="40" t="s">
        <v>257</v>
      </c>
      <c r="C71" s="41" t="s">
        <v>258</v>
      </c>
      <c r="D71" s="30" t="e">
        <f>VLOOKUP(Table13[[#This Row],[kbli5]],Table1[[#All],[kbli5]:[digital_hijau]],3,)</f>
        <v>#N/A</v>
      </c>
      <c r="E71" s="35" t="e">
        <f>VLOOKUP(Table13[[#This Row],[kbli5]],kata_kunci!$B:$H,4,FALSE)</f>
        <v>#N/A</v>
      </c>
      <c r="F71" s="35" t="e">
        <f>VLOOKUP(Table13[[#This Row],[kbli5]],Table1[[#All],[kbli5]:[digital_hijau]],5,)</f>
        <v>#N/A</v>
      </c>
      <c r="G71" s="35" t="e">
        <f>VLOOKUP(Table13[[#This Row],[kbli5]],Table1[[#All],[kbli5]:[digital_hijau]],6,)</f>
        <v>#N/A</v>
      </c>
      <c r="H71" s="38" t="e">
        <f>VLOOKUP(Table13[[#This Row],[kbli5]],kata_kunci!$B:$H,3,FALSE)</f>
        <v>#N/A</v>
      </c>
      <c r="I71" s="84" t="e">
        <f>VLOOKUP(Table13[[#This Row],[kbli5]],kata_kunci!$B:$H,5,FALSE)</f>
        <v>#N/A</v>
      </c>
      <c r="J71" s="84" t="e">
        <f>VLOOKUP(Table13[[#This Row],[kbli5]],kata_kunci!$B:$H,6,FALSE)</f>
        <v>#N/A</v>
      </c>
      <c r="K71" s="84" t="e">
        <f>VLOOKUP(Table13[[#This Row],[kbli5]],kata_kunci!$B:$H,7,FALSE)</f>
        <v>#N/A</v>
      </c>
    </row>
    <row r="72" spans="1:11" ht="30.75" thickBot="1" x14ac:dyDescent="0.3">
      <c r="A72" s="35" t="s">
        <v>118</v>
      </c>
      <c r="B72" s="40" t="s">
        <v>259</v>
      </c>
      <c r="C72" s="41" t="s">
        <v>260</v>
      </c>
      <c r="D72" s="30" t="e">
        <f>VLOOKUP(Table13[[#This Row],[kbli5]],Table1[[#All],[kbli5]:[digital_hijau]],3,)</f>
        <v>#N/A</v>
      </c>
      <c r="E72" s="35" t="e">
        <f>VLOOKUP(Table13[[#This Row],[kbli5]],kata_kunci!$B:$H,4,FALSE)</f>
        <v>#N/A</v>
      </c>
      <c r="F72" s="35" t="e">
        <f>VLOOKUP(Table13[[#This Row],[kbli5]],Table1[[#All],[kbli5]:[digital_hijau]],5,)</f>
        <v>#N/A</v>
      </c>
      <c r="G72" s="35" t="e">
        <f>VLOOKUP(Table13[[#This Row],[kbli5]],Table1[[#All],[kbli5]:[digital_hijau]],6,)</f>
        <v>#N/A</v>
      </c>
      <c r="H72" s="38" t="e">
        <f>VLOOKUP(Table13[[#This Row],[kbli5]],kata_kunci!$B:$H,3,FALSE)</f>
        <v>#N/A</v>
      </c>
      <c r="I72" s="84" t="e">
        <f>VLOOKUP(Table13[[#This Row],[kbli5]],kata_kunci!$B:$H,5,FALSE)</f>
        <v>#N/A</v>
      </c>
      <c r="J72" s="84" t="e">
        <f>VLOOKUP(Table13[[#This Row],[kbli5]],kata_kunci!$B:$H,6,FALSE)</f>
        <v>#N/A</v>
      </c>
      <c r="K72" s="84" t="e">
        <f>VLOOKUP(Table13[[#This Row],[kbli5]],kata_kunci!$B:$H,7,FALSE)</f>
        <v>#N/A</v>
      </c>
    </row>
    <row r="73" spans="1:11" ht="30.75" thickBot="1" x14ac:dyDescent="0.3">
      <c r="A73" s="35" t="s">
        <v>118</v>
      </c>
      <c r="B73" s="40" t="s">
        <v>261</v>
      </c>
      <c r="C73" s="41" t="s">
        <v>262</v>
      </c>
      <c r="D73" s="30" t="e">
        <f>VLOOKUP(Table13[[#This Row],[kbli5]],Table1[[#All],[kbli5]:[digital_hijau]],3,)</f>
        <v>#N/A</v>
      </c>
      <c r="E73" s="35" t="e">
        <f>VLOOKUP(Table13[[#This Row],[kbli5]],kata_kunci!$B:$H,4,FALSE)</f>
        <v>#N/A</v>
      </c>
      <c r="F73" s="35" t="e">
        <f>VLOOKUP(Table13[[#This Row],[kbli5]],Table1[[#All],[kbli5]:[digital_hijau]],5,)</f>
        <v>#N/A</v>
      </c>
      <c r="G73" s="35" t="e">
        <f>VLOOKUP(Table13[[#This Row],[kbli5]],Table1[[#All],[kbli5]:[digital_hijau]],6,)</f>
        <v>#N/A</v>
      </c>
      <c r="H73" s="38" t="e">
        <f>VLOOKUP(Table13[[#This Row],[kbli5]],kata_kunci!$B:$H,3,FALSE)</f>
        <v>#N/A</v>
      </c>
      <c r="I73" s="84" t="e">
        <f>VLOOKUP(Table13[[#This Row],[kbli5]],kata_kunci!$B:$H,5,FALSE)</f>
        <v>#N/A</v>
      </c>
      <c r="J73" s="84" t="e">
        <f>VLOOKUP(Table13[[#This Row],[kbli5]],kata_kunci!$B:$H,6,FALSE)</f>
        <v>#N/A</v>
      </c>
      <c r="K73" s="84" t="e">
        <f>VLOOKUP(Table13[[#This Row],[kbli5]],kata_kunci!$B:$H,7,FALSE)</f>
        <v>#N/A</v>
      </c>
    </row>
    <row r="74" spans="1:11" ht="45.75" thickBot="1" x14ac:dyDescent="0.3">
      <c r="A74" s="35" t="s">
        <v>118</v>
      </c>
      <c r="B74" s="40" t="s">
        <v>263</v>
      </c>
      <c r="C74" s="41" t="s">
        <v>264</v>
      </c>
      <c r="D74" s="30" t="e">
        <f>VLOOKUP(Table13[[#This Row],[kbli5]],Table1[[#All],[kbli5]:[digital_hijau]],3,)</f>
        <v>#N/A</v>
      </c>
      <c r="E74" s="35" t="e">
        <f>VLOOKUP(Table13[[#This Row],[kbli5]],kata_kunci!$B:$H,4,FALSE)</f>
        <v>#N/A</v>
      </c>
      <c r="F74" s="35" t="e">
        <f>VLOOKUP(Table13[[#This Row],[kbli5]],Table1[[#All],[kbli5]:[digital_hijau]],5,)</f>
        <v>#N/A</v>
      </c>
      <c r="G74" s="35" t="e">
        <f>VLOOKUP(Table13[[#This Row],[kbli5]],Table1[[#All],[kbli5]:[digital_hijau]],6,)</f>
        <v>#N/A</v>
      </c>
      <c r="H74" s="38" t="e">
        <f>VLOOKUP(Table13[[#This Row],[kbli5]],kata_kunci!$B:$H,3,FALSE)</f>
        <v>#N/A</v>
      </c>
      <c r="I74" s="84" t="e">
        <f>VLOOKUP(Table13[[#This Row],[kbli5]],kata_kunci!$B:$H,5,FALSE)</f>
        <v>#N/A</v>
      </c>
      <c r="J74" s="84" t="e">
        <f>VLOOKUP(Table13[[#This Row],[kbli5]],kata_kunci!$B:$H,6,FALSE)</f>
        <v>#N/A</v>
      </c>
      <c r="K74" s="84" t="e">
        <f>VLOOKUP(Table13[[#This Row],[kbli5]],kata_kunci!$B:$H,7,FALSE)</f>
        <v>#N/A</v>
      </c>
    </row>
    <row r="75" spans="1:11" ht="45.75" thickBot="1" x14ac:dyDescent="0.3">
      <c r="A75" s="35" t="s">
        <v>118</v>
      </c>
      <c r="B75" s="40" t="s">
        <v>265</v>
      </c>
      <c r="C75" s="41" t="s">
        <v>266</v>
      </c>
      <c r="D75" s="30" t="e">
        <f>VLOOKUP(Table13[[#This Row],[kbli5]],Table1[[#All],[kbli5]:[digital_hijau]],3,)</f>
        <v>#N/A</v>
      </c>
      <c r="E75" s="35" t="e">
        <f>VLOOKUP(Table13[[#This Row],[kbli5]],kata_kunci!$B:$H,4,FALSE)</f>
        <v>#N/A</v>
      </c>
      <c r="F75" s="35" t="e">
        <f>VLOOKUP(Table13[[#This Row],[kbli5]],Table1[[#All],[kbli5]:[digital_hijau]],5,)</f>
        <v>#N/A</v>
      </c>
      <c r="G75" s="35" t="e">
        <f>VLOOKUP(Table13[[#This Row],[kbli5]],Table1[[#All],[kbli5]:[digital_hijau]],6,)</f>
        <v>#N/A</v>
      </c>
      <c r="H75" s="38" t="e">
        <f>VLOOKUP(Table13[[#This Row],[kbli5]],kata_kunci!$B:$H,3,FALSE)</f>
        <v>#N/A</v>
      </c>
      <c r="I75" s="84" t="e">
        <f>VLOOKUP(Table13[[#This Row],[kbli5]],kata_kunci!$B:$H,5,FALSE)</f>
        <v>#N/A</v>
      </c>
      <c r="J75" s="84" t="e">
        <f>VLOOKUP(Table13[[#This Row],[kbli5]],kata_kunci!$B:$H,6,FALSE)</f>
        <v>#N/A</v>
      </c>
      <c r="K75" s="84" t="e">
        <f>VLOOKUP(Table13[[#This Row],[kbli5]],kata_kunci!$B:$H,7,FALSE)</f>
        <v>#N/A</v>
      </c>
    </row>
    <row r="76" spans="1:11" ht="15.75" thickBot="1" x14ac:dyDescent="0.3">
      <c r="A76" s="35" t="s">
        <v>118</v>
      </c>
      <c r="B76" s="40" t="s">
        <v>267</v>
      </c>
      <c r="C76" s="41" t="s">
        <v>268</v>
      </c>
      <c r="D76" s="30" t="e">
        <f>VLOOKUP(Table13[[#This Row],[kbli5]],Table1[[#All],[kbli5]:[digital_hijau]],3,)</f>
        <v>#N/A</v>
      </c>
      <c r="E76" s="35" t="e">
        <f>VLOOKUP(Table13[[#This Row],[kbli5]],kata_kunci!$B:$H,4,FALSE)</f>
        <v>#N/A</v>
      </c>
      <c r="F76" s="35" t="e">
        <f>VLOOKUP(Table13[[#This Row],[kbli5]],Table1[[#All],[kbli5]:[digital_hijau]],5,)</f>
        <v>#N/A</v>
      </c>
      <c r="G76" s="35" t="e">
        <f>VLOOKUP(Table13[[#This Row],[kbli5]],Table1[[#All],[kbli5]:[digital_hijau]],6,)</f>
        <v>#N/A</v>
      </c>
      <c r="H76" s="38" t="e">
        <f>VLOOKUP(Table13[[#This Row],[kbli5]],kata_kunci!$B:$H,3,FALSE)</f>
        <v>#N/A</v>
      </c>
      <c r="I76" s="84" t="e">
        <f>VLOOKUP(Table13[[#This Row],[kbli5]],kata_kunci!$B:$H,5,FALSE)</f>
        <v>#N/A</v>
      </c>
      <c r="J76" s="84" t="e">
        <f>VLOOKUP(Table13[[#This Row],[kbli5]],kata_kunci!$B:$H,6,FALSE)</f>
        <v>#N/A</v>
      </c>
      <c r="K76" s="84" t="e">
        <f>VLOOKUP(Table13[[#This Row],[kbli5]],kata_kunci!$B:$H,7,FALSE)</f>
        <v>#N/A</v>
      </c>
    </row>
    <row r="77" spans="1:11" ht="45.75" thickBot="1" x14ac:dyDescent="0.3">
      <c r="A77" s="35" t="s">
        <v>118</v>
      </c>
      <c r="B77" s="40" t="s">
        <v>269</v>
      </c>
      <c r="C77" s="41" t="s">
        <v>270</v>
      </c>
      <c r="D77" s="30" t="e">
        <f>VLOOKUP(Table13[[#This Row],[kbli5]],Table1[[#All],[kbli5]:[digital_hijau]],3,)</f>
        <v>#N/A</v>
      </c>
      <c r="E77" s="35" t="e">
        <f>VLOOKUP(Table13[[#This Row],[kbli5]],kata_kunci!$B:$H,4,FALSE)</f>
        <v>#N/A</v>
      </c>
      <c r="F77" s="35" t="e">
        <f>VLOOKUP(Table13[[#This Row],[kbli5]],Table1[[#All],[kbli5]:[digital_hijau]],5,)</f>
        <v>#N/A</v>
      </c>
      <c r="G77" s="35" t="e">
        <f>VLOOKUP(Table13[[#This Row],[kbli5]],Table1[[#All],[kbli5]:[digital_hijau]],6,)</f>
        <v>#N/A</v>
      </c>
      <c r="H77" s="38" t="e">
        <f>VLOOKUP(Table13[[#This Row],[kbli5]],kata_kunci!$B:$H,3,FALSE)</f>
        <v>#N/A</v>
      </c>
      <c r="I77" s="84" t="e">
        <f>VLOOKUP(Table13[[#This Row],[kbli5]],kata_kunci!$B:$H,5,FALSE)</f>
        <v>#N/A</v>
      </c>
      <c r="J77" s="84" t="e">
        <f>VLOOKUP(Table13[[#This Row],[kbli5]],kata_kunci!$B:$H,6,FALSE)</f>
        <v>#N/A</v>
      </c>
      <c r="K77" s="84" t="e">
        <f>VLOOKUP(Table13[[#This Row],[kbli5]],kata_kunci!$B:$H,7,FALSE)</f>
        <v>#N/A</v>
      </c>
    </row>
    <row r="78" spans="1:11" ht="30.75" thickBot="1" x14ac:dyDescent="0.3">
      <c r="A78" s="35" t="s">
        <v>118</v>
      </c>
      <c r="B78" s="40" t="s">
        <v>271</v>
      </c>
      <c r="C78" s="41" t="s">
        <v>272</v>
      </c>
      <c r="D78" s="30" t="e">
        <f>VLOOKUP(Table13[[#This Row],[kbli5]],Table1[[#All],[kbli5]:[digital_hijau]],3,)</f>
        <v>#N/A</v>
      </c>
      <c r="E78" s="35" t="e">
        <f>VLOOKUP(Table13[[#This Row],[kbli5]],kata_kunci!$B:$H,4,FALSE)</f>
        <v>#N/A</v>
      </c>
      <c r="F78" s="35" t="e">
        <f>VLOOKUP(Table13[[#This Row],[kbli5]],Table1[[#All],[kbli5]:[digital_hijau]],5,)</f>
        <v>#N/A</v>
      </c>
      <c r="G78" s="35" t="e">
        <f>VLOOKUP(Table13[[#This Row],[kbli5]],Table1[[#All],[kbli5]:[digital_hijau]],6,)</f>
        <v>#N/A</v>
      </c>
      <c r="H78" s="38" t="e">
        <f>VLOOKUP(Table13[[#This Row],[kbli5]],kata_kunci!$B:$H,3,FALSE)</f>
        <v>#N/A</v>
      </c>
      <c r="I78" s="84" t="e">
        <f>VLOOKUP(Table13[[#This Row],[kbli5]],kata_kunci!$B:$H,5,FALSE)</f>
        <v>#N/A</v>
      </c>
      <c r="J78" s="84" t="e">
        <f>VLOOKUP(Table13[[#This Row],[kbli5]],kata_kunci!$B:$H,6,FALSE)</f>
        <v>#N/A</v>
      </c>
      <c r="K78" s="84" t="e">
        <f>VLOOKUP(Table13[[#This Row],[kbli5]],kata_kunci!$B:$H,7,FALSE)</f>
        <v>#N/A</v>
      </c>
    </row>
    <row r="79" spans="1:11" ht="30.75" thickBot="1" x14ac:dyDescent="0.3">
      <c r="A79" s="35" t="s">
        <v>118</v>
      </c>
      <c r="B79" s="40" t="s">
        <v>273</v>
      </c>
      <c r="C79" s="41" t="s">
        <v>274</v>
      </c>
      <c r="D79" s="30" t="e">
        <f>VLOOKUP(Table13[[#This Row],[kbli5]],Table1[[#All],[kbli5]:[digital_hijau]],3,)</f>
        <v>#N/A</v>
      </c>
      <c r="E79" s="35" t="e">
        <f>VLOOKUP(Table13[[#This Row],[kbli5]],kata_kunci!$B:$H,4,FALSE)</f>
        <v>#N/A</v>
      </c>
      <c r="F79" s="35" t="e">
        <f>VLOOKUP(Table13[[#This Row],[kbli5]],Table1[[#All],[kbli5]:[digital_hijau]],5,)</f>
        <v>#N/A</v>
      </c>
      <c r="G79" s="35" t="e">
        <f>VLOOKUP(Table13[[#This Row],[kbli5]],Table1[[#All],[kbli5]:[digital_hijau]],6,)</f>
        <v>#N/A</v>
      </c>
      <c r="H79" s="38" t="e">
        <f>VLOOKUP(Table13[[#This Row],[kbli5]],kata_kunci!$B:$H,3,FALSE)</f>
        <v>#N/A</v>
      </c>
      <c r="I79" s="84" t="e">
        <f>VLOOKUP(Table13[[#This Row],[kbli5]],kata_kunci!$B:$H,5,FALSE)</f>
        <v>#N/A</v>
      </c>
      <c r="J79" s="84" t="e">
        <f>VLOOKUP(Table13[[#This Row],[kbli5]],kata_kunci!$B:$H,6,FALSE)</f>
        <v>#N/A</v>
      </c>
      <c r="K79" s="84" t="e">
        <f>VLOOKUP(Table13[[#This Row],[kbli5]],kata_kunci!$B:$H,7,FALSE)</f>
        <v>#N/A</v>
      </c>
    </row>
    <row r="80" spans="1:11" ht="30.75" thickBot="1" x14ac:dyDescent="0.3">
      <c r="A80" s="35" t="s">
        <v>118</v>
      </c>
      <c r="B80" s="40" t="s">
        <v>275</v>
      </c>
      <c r="C80" s="41" t="s">
        <v>276</v>
      </c>
      <c r="D80" s="30" t="e">
        <f>VLOOKUP(Table13[[#This Row],[kbli5]],Table1[[#All],[kbli5]:[digital_hijau]],3,)</f>
        <v>#N/A</v>
      </c>
      <c r="E80" s="35" t="e">
        <f>VLOOKUP(Table13[[#This Row],[kbli5]],kata_kunci!$B:$H,4,FALSE)</f>
        <v>#N/A</v>
      </c>
      <c r="F80" s="35" t="e">
        <f>VLOOKUP(Table13[[#This Row],[kbli5]],Table1[[#All],[kbli5]:[digital_hijau]],5,)</f>
        <v>#N/A</v>
      </c>
      <c r="G80" s="35" t="e">
        <f>VLOOKUP(Table13[[#This Row],[kbli5]],Table1[[#All],[kbli5]:[digital_hijau]],6,)</f>
        <v>#N/A</v>
      </c>
      <c r="H80" s="38" t="e">
        <f>VLOOKUP(Table13[[#This Row],[kbli5]],kata_kunci!$B:$H,3,FALSE)</f>
        <v>#N/A</v>
      </c>
      <c r="I80" s="84" t="e">
        <f>VLOOKUP(Table13[[#This Row],[kbli5]],kata_kunci!$B:$H,5,FALSE)</f>
        <v>#N/A</v>
      </c>
      <c r="J80" s="84" t="e">
        <f>VLOOKUP(Table13[[#This Row],[kbli5]],kata_kunci!$B:$H,6,FALSE)</f>
        <v>#N/A</v>
      </c>
      <c r="K80" s="84" t="e">
        <f>VLOOKUP(Table13[[#This Row],[kbli5]],kata_kunci!$B:$H,7,FALSE)</f>
        <v>#N/A</v>
      </c>
    </row>
    <row r="81" spans="1:11" ht="30.75" thickBot="1" x14ac:dyDescent="0.3">
      <c r="A81" s="35" t="s">
        <v>118</v>
      </c>
      <c r="B81" s="40" t="s">
        <v>277</v>
      </c>
      <c r="C81" s="41" t="s">
        <v>278</v>
      </c>
      <c r="D81" s="30" t="e">
        <f>VLOOKUP(Table13[[#This Row],[kbli5]],Table1[[#All],[kbli5]:[digital_hijau]],3,)</f>
        <v>#N/A</v>
      </c>
      <c r="E81" s="35" t="e">
        <f>VLOOKUP(Table13[[#This Row],[kbli5]],kata_kunci!$B:$H,4,FALSE)</f>
        <v>#N/A</v>
      </c>
      <c r="F81" s="35" t="e">
        <f>VLOOKUP(Table13[[#This Row],[kbli5]],Table1[[#All],[kbli5]:[digital_hijau]],5,)</f>
        <v>#N/A</v>
      </c>
      <c r="G81" s="35" t="e">
        <f>VLOOKUP(Table13[[#This Row],[kbli5]],Table1[[#All],[kbli5]:[digital_hijau]],6,)</f>
        <v>#N/A</v>
      </c>
      <c r="H81" s="38" t="e">
        <f>VLOOKUP(Table13[[#This Row],[kbli5]],kata_kunci!$B:$H,3,FALSE)</f>
        <v>#N/A</v>
      </c>
      <c r="I81" s="84" t="e">
        <f>VLOOKUP(Table13[[#This Row],[kbli5]],kata_kunci!$B:$H,5,FALSE)</f>
        <v>#N/A</v>
      </c>
      <c r="J81" s="84" t="e">
        <f>VLOOKUP(Table13[[#This Row],[kbli5]],kata_kunci!$B:$H,6,FALSE)</f>
        <v>#N/A</v>
      </c>
      <c r="K81" s="84" t="e">
        <f>VLOOKUP(Table13[[#This Row],[kbli5]],kata_kunci!$B:$H,7,FALSE)</f>
        <v>#N/A</v>
      </c>
    </row>
    <row r="82" spans="1:11" ht="30.75" thickBot="1" x14ac:dyDescent="0.3">
      <c r="A82" s="35" t="s">
        <v>118</v>
      </c>
      <c r="B82" s="40" t="s">
        <v>279</v>
      </c>
      <c r="C82" s="41" t="s">
        <v>280</v>
      </c>
      <c r="D82" s="30" t="e">
        <f>VLOOKUP(Table13[[#This Row],[kbli5]],Table1[[#All],[kbli5]:[digital_hijau]],3,)</f>
        <v>#N/A</v>
      </c>
      <c r="E82" s="35" t="e">
        <f>VLOOKUP(Table13[[#This Row],[kbli5]],kata_kunci!$B:$H,4,FALSE)</f>
        <v>#N/A</v>
      </c>
      <c r="F82" s="35" t="e">
        <f>VLOOKUP(Table13[[#This Row],[kbli5]],Table1[[#All],[kbli5]:[digital_hijau]],5,)</f>
        <v>#N/A</v>
      </c>
      <c r="G82" s="35" t="e">
        <f>VLOOKUP(Table13[[#This Row],[kbli5]],Table1[[#All],[kbli5]:[digital_hijau]],6,)</f>
        <v>#N/A</v>
      </c>
      <c r="H82" s="38" t="e">
        <f>VLOOKUP(Table13[[#This Row],[kbli5]],kata_kunci!$B:$H,3,FALSE)</f>
        <v>#N/A</v>
      </c>
      <c r="I82" s="84" t="e">
        <f>VLOOKUP(Table13[[#This Row],[kbli5]],kata_kunci!$B:$H,5,FALSE)</f>
        <v>#N/A</v>
      </c>
      <c r="J82" s="84" t="e">
        <f>VLOOKUP(Table13[[#This Row],[kbli5]],kata_kunci!$B:$H,6,FALSE)</f>
        <v>#N/A</v>
      </c>
      <c r="K82" s="84" t="e">
        <f>VLOOKUP(Table13[[#This Row],[kbli5]],kata_kunci!$B:$H,7,FALSE)</f>
        <v>#N/A</v>
      </c>
    </row>
    <row r="83" spans="1:11" ht="30.75" thickBot="1" x14ac:dyDescent="0.3">
      <c r="A83" s="35" t="s">
        <v>118</v>
      </c>
      <c r="B83" s="40" t="s">
        <v>281</v>
      </c>
      <c r="C83" s="41" t="s">
        <v>282</v>
      </c>
      <c r="D83" s="30" t="e">
        <f>VLOOKUP(Table13[[#This Row],[kbli5]],Table1[[#All],[kbli5]:[digital_hijau]],3,)</f>
        <v>#N/A</v>
      </c>
      <c r="E83" s="35" t="e">
        <f>VLOOKUP(Table13[[#This Row],[kbli5]],kata_kunci!$B:$H,4,FALSE)</f>
        <v>#N/A</v>
      </c>
      <c r="F83" s="35" t="e">
        <f>VLOOKUP(Table13[[#This Row],[kbli5]],Table1[[#All],[kbli5]:[digital_hijau]],5,)</f>
        <v>#N/A</v>
      </c>
      <c r="G83" s="35" t="e">
        <f>VLOOKUP(Table13[[#This Row],[kbli5]],Table1[[#All],[kbli5]:[digital_hijau]],6,)</f>
        <v>#N/A</v>
      </c>
      <c r="H83" s="38" t="e">
        <f>VLOOKUP(Table13[[#This Row],[kbli5]],kata_kunci!$B:$H,3,FALSE)</f>
        <v>#N/A</v>
      </c>
      <c r="I83" s="84" t="e">
        <f>VLOOKUP(Table13[[#This Row],[kbli5]],kata_kunci!$B:$H,5,FALSE)</f>
        <v>#N/A</v>
      </c>
      <c r="J83" s="84" t="e">
        <f>VLOOKUP(Table13[[#This Row],[kbli5]],kata_kunci!$B:$H,6,FALSE)</f>
        <v>#N/A</v>
      </c>
      <c r="K83" s="84" t="e">
        <f>VLOOKUP(Table13[[#This Row],[kbli5]],kata_kunci!$B:$H,7,FALSE)</f>
        <v>#N/A</v>
      </c>
    </row>
    <row r="84" spans="1:11" ht="45.75" thickBot="1" x14ac:dyDescent="0.3">
      <c r="A84" s="35" t="s">
        <v>118</v>
      </c>
      <c r="B84" s="40" t="s">
        <v>283</v>
      </c>
      <c r="C84" s="41" t="s">
        <v>284</v>
      </c>
      <c r="D84" s="30" t="e">
        <f>VLOOKUP(Table13[[#This Row],[kbli5]],Table1[[#All],[kbli5]:[digital_hijau]],3,)</f>
        <v>#N/A</v>
      </c>
      <c r="E84" s="35" t="e">
        <f>VLOOKUP(Table13[[#This Row],[kbli5]],kata_kunci!$B:$H,4,FALSE)</f>
        <v>#N/A</v>
      </c>
      <c r="F84" s="35" t="e">
        <f>VLOOKUP(Table13[[#This Row],[kbli5]],Table1[[#All],[kbli5]:[digital_hijau]],5,)</f>
        <v>#N/A</v>
      </c>
      <c r="G84" s="35" t="e">
        <f>VLOOKUP(Table13[[#This Row],[kbli5]],Table1[[#All],[kbli5]:[digital_hijau]],6,)</f>
        <v>#N/A</v>
      </c>
      <c r="H84" s="38" t="e">
        <f>VLOOKUP(Table13[[#This Row],[kbli5]],kata_kunci!$B:$H,3,FALSE)</f>
        <v>#N/A</v>
      </c>
      <c r="I84" s="84" t="e">
        <f>VLOOKUP(Table13[[#This Row],[kbli5]],kata_kunci!$B:$H,5,FALSE)</f>
        <v>#N/A</v>
      </c>
      <c r="J84" s="84" t="e">
        <f>VLOOKUP(Table13[[#This Row],[kbli5]],kata_kunci!$B:$H,6,FALSE)</f>
        <v>#N/A</v>
      </c>
      <c r="K84" s="84" t="e">
        <f>VLOOKUP(Table13[[#This Row],[kbli5]],kata_kunci!$B:$H,7,FALSE)</f>
        <v>#N/A</v>
      </c>
    </row>
    <row r="85" spans="1:11" ht="15.75" thickBot="1" x14ac:dyDescent="0.3">
      <c r="A85" s="35" t="s">
        <v>118</v>
      </c>
      <c r="B85" s="40" t="s">
        <v>285</v>
      </c>
      <c r="C85" s="41" t="s">
        <v>286</v>
      </c>
      <c r="D85" s="30" t="e">
        <f>VLOOKUP(Table13[[#This Row],[kbli5]],Table1[[#All],[kbli5]:[digital_hijau]],3,)</f>
        <v>#N/A</v>
      </c>
      <c r="E85" s="35" t="e">
        <f>VLOOKUP(Table13[[#This Row],[kbli5]],kata_kunci!$B:$H,4,FALSE)</f>
        <v>#N/A</v>
      </c>
      <c r="F85" s="35" t="e">
        <f>VLOOKUP(Table13[[#This Row],[kbli5]],Table1[[#All],[kbli5]:[digital_hijau]],5,)</f>
        <v>#N/A</v>
      </c>
      <c r="G85" s="35" t="e">
        <f>VLOOKUP(Table13[[#This Row],[kbli5]],Table1[[#All],[kbli5]:[digital_hijau]],6,)</f>
        <v>#N/A</v>
      </c>
      <c r="H85" s="38" t="e">
        <f>VLOOKUP(Table13[[#This Row],[kbli5]],kata_kunci!$B:$H,3,FALSE)</f>
        <v>#N/A</v>
      </c>
      <c r="I85" s="84" t="e">
        <f>VLOOKUP(Table13[[#This Row],[kbli5]],kata_kunci!$B:$H,5,FALSE)</f>
        <v>#N/A</v>
      </c>
      <c r="J85" s="84" t="e">
        <f>VLOOKUP(Table13[[#This Row],[kbli5]],kata_kunci!$B:$H,6,FALSE)</f>
        <v>#N/A</v>
      </c>
      <c r="K85" s="84" t="e">
        <f>VLOOKUP(Table13[[#This Row],[kbli5]],kata_kunci!$B:$H,7,FALSE)</f>
        <v>#N/A</v>
      </c>
    </row>
    <row r="86" spans="1:11" ht="45.75" thickBot="1" x14ac:dyDescent="0.3">
      <c r="A86" s="35" t="s">
        <v>118</v>
      </c>
      <c r="B86" s="40" t="s">
        <v>287</v>
      </c>
      <c r="C86" s="41" t="s">
        <v>288</v>
      </c>
      <c r="D86" s="30" t="e">
        <f>VLOOKUP(Table13[[#This Row],[kbli5]],Table1[[#All],[kbli5]:[digital_hijau]],3,)</f>
        <v>#N/A</v>
      </c>
      <c r="E86" s="35" t="e">
        <f>VLOOKUP(Table13[[#This Row],[kbli5]],kata_kunci!$B:$H,4,FALSE)</f>
        <v>#N/A</v>
      </c>
      <c r="F86" s="35" t="e">
        <f>VLOOKUP(Table13[[#This Row],[kbli5]],Table1[[#All],[kbli5]:[digital_hijau]],5,)</f>
        <v>#N/A</v>
      </c>
      <c r="G86" s="35" t="e">
        <f>VLOOKUP(Table13[[#This Row],[kbli5]],Table1[[#All],[kbli5]:[digital_hijau]],6,)</f>
        <v>#N/A</v>
      </c>
      <c r="H86" s="38" t="e">
        <f>VLOOKUP(Table13[[#This Row],[kbli5]],kata_kunci!$B:$H,3,FALSE)</f>
        <v>#N/A</v>
      </c>
      <c r="I86" s="84" t="e">
        <f>VLOOKUP(Table13[[#This Row],[kbli5]],kata_kunci!$B:$H,5,FALSE)</f>
        <v>#N/A</v>
      </c>
      <c r="J86" s="84" t="e">
        <f>VLOOKUP(Table13[[#This Row],[kbli5]],kata_kunci!$B:$H,6,FALSE)</f>
        <v>#N/A</v>
      </c>
      <c r="K86" s="84" t="e">
        <f>VLOOKUP(Table13[[#This Row],[kbli5]],kata_kunci!$B:$H,7,FALSE)</f>
        <v>#N/A</v>
      </c>
    </row>
    <row r="87" spans="1:11" ht="15.75" thickBot="1" x14ac:dyDescent="0.3">
      <c r="A87" s="35" t="s">
        <v>118</v>
      </c>
      <c r="B87" s="40" t="s">
        <v>289</v>
      </c>
      <c r="C87" s="41" t="s">
        <v>290</v>
      </c>
      <c r="D87" s="30" t="e">
        <f>VLOOKUP(Table13[[#This Row],[kbli5]],Table1[[#All],[kbli5]:[digital_hijau]],3,)</f>
        <v>#N/A</v>
      </c>
      <c r="E87" s="35" t="e">
        <f>VLOOKUP(Table13[[#This Row],[kbli5]],kata_kunci!$B:$H,4,FALSE)</f>
        <v>#N/A</v>
      </c>
      <c r="F87" s="35" t="e">
        <f>VLOOKUP(Table13[[#This Row],[kbli5]],Table1[[#All],[kbli5]:[digital_hijau]],5,)</f>
        <v>#N/A</v>
      </c>
      <c r="G87" s="35" t="e">
        <f>VLOOKUP(Table13[[#This Row],[kbli5]],Table1[[#All],[kbli5]:[digital_hijau]],6,)</f>
        <v>#N/A</v>
      </c>
      <c r="H87" s="38" t="e">
        <f>VLOOKUP(Table13[[#This Row],[kbli5]],kata_kunci!$B:$H,3,FALSE)</f>
        <v>#N/A</v>
      </c>
      <c r="I87" s="84" t="e">
        <f>VLOOKUP(Table13[[#This Row],[kbli5]],kata_kunci!$B:$H,5,FALSE)</f>
        <v>#N/A</v>
      </c>
      <c r="J87" s="84" t="e">
        <f>VLOOKUP(Table13[[#This Row],[kbli5]],kata_kunci!$B:$H,6,FALSE)</f>
        <v>#N/A</v>
      </c>
      <c r="K87" s="84" t="e">
        <f>VLOOKUP(Table13[[#This Row],[kbli5]],kata_kunci!$B:$H,7,FALSE)</f>
        <v>#N/A</v>
      </c>
    </row>
    <row r="88" spans="1:11" ht="15.75" thickBot="1" x14ac:dyDescent="0.3">
      <c r="A88" s="35" t="s">
        <v>118</v>
      </c>
      <c r="B88" s="40" t="s">
        <v>291</v>
      </c>
      <c r="C88" s="41" t="s">
        <v>292</v>
      </c>
      <c r="D88" s="30" t="e">
        <f>VLOOKUP(Table13[[#This Row],[kbli5]],Table1[[#All],[kbli5]:[digital_hijau]],3,)</f>
        <v>#N/A</v>
      </c>
      <c r="E88" s="35" t="e">
        <f>VLOOKUP(Table13[[#This Row],[kbli5]],kata_kunci!$B:$H,4,FALSE)</f>
        <v>#N/A</v>
      </c>
      <c r="F88" s="35" t="e">
        <f>VLOOKUP(Table13[[#This Row],[kbli5]],Table1[[#All],[kbli5]:[digital_hijau]],5,)</f>
        <v>#N/A</v>
      </c>
      <c r="G88" s="35" t="e">
        <f>VLOOKUP(Table13[[#This Row],[kbli5]],Table1[[#All],[kbli5]:[digital_hijau]],6,)</f>
        <v>#N/A</v>
      </c>
      <c r="H88" s="38" t="e">
        <f>VLOOKUP(Table13[[#This Row],[kbli5]],kata_kunci!$B:$H,3,FALSE)</f>
        <v>#N/A</v>
      </c>
      <c r="I88" s="84" t="e">
        <f>VLOOKUP(Table13[[#This Row],[kbli5]],kata_kunci!$B:$H,5,FALSE)</f>
        <v>#N/A</v>
      </c>
      <c r="J88" s="84" t="e">
        <f>VLOOKUP(Table13[[#This Row],[kbli5]],kata_kunci!$B:$H,6,FALSE)</f>
        <v>#N/A</v>
      </c>
      <c r="K88" s="84" t="e">
        <f>VLOOKUP(Table13[[#This Row],[kbli5]],kata_kunci!$B:$H,7,FALSE)</f>
        <v>#N/A</v>
      </c>
    </row>
    <row r="89" spans="1:11" ht="15.75" thickBot="1" x14ac:dyDescent="0.3">
      <c r="A89" s="35" t="s">
        <v>118</v>
      </c>
      <c r="B89" s="40" t="s">
        <v>293</v>
      </c>
      <c r="C89" s="41" t="s">
        <v>294</v>
      </c>
      <c r="D89" s="30" t="e">
        <f>VLOOKUP(Table13[[#This Row],[kbli5]],Table1[[#All],[kbli5]:[digital_hijau]],3,)</f>
        <v>#N/A</v>
      </c>
      <c r="E89" s="35" t="e">
        <f>VLOOKUP(Table13[[#This Row],[kbli5]],kata_kunci!$B:$H,4,FALSE)</f>
        <v>#N/A</v>
      </c>
      <c r="F89" s="35" t="e">
        <f>VLOOKUP(Table13[[#This Row],[kbli5]],Table1[[#All],[kbli5]:[digital_hijau]],5,)</f>
        <v>#N/A</v>
      </c>
      <c r="G89" s="35" t="e">
        <f>VLOOKUP(Table13[[#This Row],[kbli5]],Table1[[#All],[kbli5]:[digital_hijau]],6,)</f>
        <v>#N/A</v>
      </c>
      <c r="H89" s="38" t="e">
        <f>VLOOKUP(Table13[[#This Row],[kbli5]],kata_kunci!$B:$H,3,FALSE)</f>
        <v>#N/A</v>
      </c>
      <c r="I89" s="84" t="e">
        <f>VLOOKUP(Table13[[#This Row],[kbli5]],kata_kunci!$B:$H,5,FALSE)</f>
        <v>#N/A</v>
      </c>
      <c r="J89" s="84" t="e">
        <f>VLOOKUP(Table13[[#This Row],[kbli5]],kata_kunci!$B:$H,6,FALSE)</f>
        <v>#N/A</v>
      </c>
      <c r="K89" s="84" t="e">
        <f>VLOOKUP(Table13[[#This Row],[kbli5]],kata_kunci!$B:$H,7,FALSE)</f>
        <v>#N/A</v>
      </c>
    </row>
    <row r="90" spans="1:11" ht="45.75" thickBot="1" x14ac:dyDescent="0.3">
      <c r="A90" s="35" t="s">
        <v>118</v>
      </c>
      <c r="B90" s="40" t="s">
        <v>295</v>
      </c>
      <c r="C90" s="41" t="s">
        <v>296</v>
      </c>
      <c r="D90" s="30" t="e">
        <f>VLOOKUP(Table13[[#This Row],[kbli5]],Table1[[#All],[kbli5]:[digital_hijau]],3,)</f>
        <v>#N/A</v>
      </c>
      <c r="E90" s="35" t="e">
        <f>VLOOKUP(Table13[[#This Row],[kbli5]],kata_kunci!$B:$H,4,FALSE)</f>
        <v>#N/A</v>
      </c>
      <c r="F90" s="35" t="e">
        <f>VLOOKUP(Table13[[#This Row],[kbli5]],Table1[[#All],[kbli5]:[digital_hijau]],5,)</f>
        <v>#N/A</v>
      </c>
      <c r="G90" s="35" t="e">
        <f>VLOOKUP(Table13[[#This Row],[kbli5]],Table1[[#All],[kbli5]:[digital_hijau]],6,)</f>
        <v>#N/A</v>
      </c>
      <c r="H90" s="38" t="e">
        <f>VLOOKUP(Table13[[#This Row],[kbli5]],kata_kunci!$B:$H,3,FALSE)</f>
        <v>#N/A</v>
      </c>
      <c r="I90" s="84" t="e">
        <f>VLOOKUP(Table13[[#This Row],[kbli5]],kata_kunci!$B:$H,5,FALSE)</f>
        <v>#N/A</v>
      </c>
      <c r="J90" s="84" t="e">
        <f>VLOOKUP(Table13[[#This Row],[kbli5]],kata_kunci!$B:$H,6,FALSE)</f>
        <v>#N/A</v>
      </c>
      <c r="K90" s="84" t="e">
        <f>VLOOKUP(Table13[[#This Row],[kbli5]],kata_kunci!$B:$H,7,FALSE)</f>
        <v>#N/A</v>
      </c>
    </row>
    <row r="91" spans="1:11" ht="45.75" thickBot="1" x14ac:dyDescent="0.3">
      <c r="A91" s="35" t="s">
        <v>118</v>
      </c>
      <c r="B91" s="40" t="s">
        <v>297</v>
      </c>
      <c r="C91" s="41" t="s">
        <v>298</v>
      </c>
      <c r="D91" s="30" t="e">
        <f>VLOOKUP(Table13[[#This Row],[kbli5]],Table1[[#All],[kbli5]:[digital_hijau]],3,)</f>
        <v>#N/A</v>
      </c>
      <c r="E91" s="35" t="e">
        <f>VLOOKUP(Table13[[#This Row],[kbli5]],kata_kunci!$B:$H,4,FALSE)</f>
        <v>#N/A</v>
      </c>
      <c r="F91" s="35" t="e">
        <f>VLOOKUP(Table13[[#This Row],[kbli5]],Table1[[#All],[kbli5]:[digital_hijau]],5,)</f>
        <v>#N/A</v>
      </c>
      <c r="G91" s="35" t="e">
        <f>VLOOKUP(Table13[[#This Row],[kbli5]],Table1[[#All],[kbli5]:[digital_hijau]],6,)</f>
        <v>#N/A</v>
      </c>
      <c r="H91" s="38" t="e">
        <f>VLOOKUP(Table13[[#This Row],[kbli5]],kata_kunci!$B:$H,3,FALSE)</f>
        <v>#N/A</v>
      </c>
      <c r="I91" s="84" t="e">
        <f>VLOOKUP(Table13[[#This Row],[kbli5]],kata_kunci!$B:$H,5,FALSE)</f>
        <v>#N/A</v>
      </c>
      <c r="J91" s="84" t="e">
        <f>VLOOKUP(Table13[[#This Row],[kbli5]],kata_kunci!$B:$H,6,FALSE)</f>
        <v>#N/A</v>
      </c>
      <c r="K91" s="84" t="e">
        <f>VLOOKUP(Table13[[#This Row],[kbli5]],kata_kunci!$B:$H,7,FALSE)</f>
        <v>#N/A</v>
      </c>
    </row>
    <row r="92" spans="1:11" ht="15.75" thickBot="1" x14ac:dyDescent="0.3">
      <c r="A92" s="35" t="s">
        <v>118</v>
      </c>
      <c r="B92" s="40" t="s">
        <v>299</v>
      </c>
      <c r="C92" s="41" t="s">
        <v>300</v>
      </c>
      <c r="D92" s="30" t="e">
        <f>VLOOKUP(Table13[[#This Row],[kbli5]],Table1[[#All],[kbli5]:[digital_hijau]],3,)</f>
        <v>#N/A</v>
      </c>
      <c r="E92" s="35" t="e">
        <f>VLOOKUP(Table13[[#This Row],[kbli5]],kata_kunci!$B:$H,4,FALSE)</f>
        <v>#N/A</v>
      </c>
      <c r="F92" s="35" t="e">
        <f>VLOOKUP(Table13[[#This Row],[kbli5]],Table1[[#All],[kbli5]:[digital_hijau]],5,)</f>
        <v>#N/A</v>
      </c>
      <c r="G92" s="35" t="e">
        <f>VLOOKUP(Table13[[#This Row],[kbli5]],Table1[[#All],[kbli5]:[digital_hijau]],6,)</f>
        <v>#N/A</v>
      </c>
      <c r="H92" s="38" t="e">
        <f>VLOOKUP(Table13[[#This Row],[kbli5]],kata_kunci!$B:$H,3,FALSE)</f>
        <v>#N/A</v>
      </c>
      <c r="I92" s="84" t="e">
        <f>VLOOKUP(Table13[[#This Row],[kbli5]],kata_kunci!$B:$H,5,FALSE)</f>
        <v>#N/A</v>
      </c>
      <c r="J92" s="84" t="e">
        <f>VLOOKUP(Table13[[#This Row],[kbli5]],kata_kunci!$B:$H,6,FALSE)</f>
        <v>#N/A</v>
      </c>
      <c r="K92" s="84" t="e">
        <f>VLOOKUP(Table13[[#This Row],[kbli5]],kata_kunci!$B:$H,7,FALSE)</f>
        <v>#N/A</v>
      </c>
    </row>
    <row r="93" spans="1:11" ht="30.75" thickBot="1" x14ac:dyDescent="0.3">
      <c r="A93" s="35" t="s">
        <v>118</v>
      </c>
      <c r="B93" s="40" t="s">
        <v>301</v>
      </c>
      <c r="C93" s="41" t="s">
        <v>302</v>
      </c>
      <c r="D93" s="30" t="e">
        <f>VLOOKUP(Table13[[#This Row],[kbli5]],Table1[[#All],[kbli5]:[digital_hijau]],3,)</f>
        <v>#N/A</v>
      </c>
      <c r="E93" s="35" t="e">
        <f>VLOOKUP(Table13[[#This Row],[kbli5]],kata_kunci!$B:$H,4,FALSE)</f>
        <v>#N/A</v>
      </c>
      <c r="F93" s="35" t="e">
        <f>VLOOKUP(Table13[[#This Row],[kbli5]],Table1[[#All],[kbli5]:[digital_hijau]],5,)</f>
        <v>#N/A</v>
      </c>
      <c r="G93" s="35" t="e">
        <f>VLOOKUP(Table13[[#This Row],[kbli5]],Table1[[#All],[kbli5]:[digital_hijau]],6,)</f>
        <v>#N/A</v>
      </c>
      <c r="H93" s="38" t="e">
        <f>VLOOKUP(Table13[[#This Row],[kbli5]],kata_kunci!$B:$H,3,FALSE)</f>
        <v>#N/A</v>
      </c>
      <c r="I93" s="84" t="e">
        <f>VLOOKUP(Table13[[#This Row],[kbli5]],kata_kunci!$B:$H,5,FALSE)</f>
        <v>#N/A</v>
      </c>
      <c r="J93" s="84" t="e">
        <f>VLOOKUP(Table13[[#This Row],[kbli5]],kata_kunci!$B:$H,6,FALSE)</f>
        <v>#N/A</v>
      </c>
      <c r="K93" s="84" t="e">
        <f>VLOOKUP(Table13[[#This Row],[kbli5]],kata_kunci!$B:$H,7,FALSE)</f>
        <v>#N/A</v>
      </c>
    </row>
    <row r="94" spans="1:11" ht="15.75" thickBot="1" x14ac:dyDescent="0.3">
      <c r="A94" s="35" t="s">
        <v>118</v>
      </c>
      <c r="B94" s="40" t="s">
        <v>303</v>
      </c>
      <c r="C94" s="41" t="s">
        <v>304</v>
      </c>
      <c r="D94" s="30" t="e">
        <f>VLOOKUP(Table13[[#This Row],[kbli5]],Table1[[#All],[kbli5]:[digital_hijau]],3,)</f>
        <v>#N/A</v>
      </c>
      <c r="E94" s="35" t="e">
        <f>VLOOKUP(Table13[[#This Row],[kbli5]],kata_kunci!$B:$H,4,FALSE)</f>
        <v>#N/A</v>
      </c>
      <c r="F94" s="35" t="e">
        <f>VLOOKUP(Table13[[#This Row],[kbli5]],Table1[[#All],[kbli5]:[digital_hijau]],5,)</f>
        <v>#N/A</v>
      </c>
      <c r="G94" s="35" t="e">
        <f>VLOOKUP(Table13[[#This Row],[kbli5]],Table1[[#All],[kbli5]:[digital_hijau]],6,)</f>
        <v>#N/A</v>
      </c>
      <c r="H94" s="38" t="e">
        <f>VLOOKUP(Table13[[#This Row],[kbli5]],kata_kunci!$B:$H,3,FALSE)</f>
        <v>#N/A</v>
      </c>
      <c r="I94" s="84" t="e">
        <f>VLOOKUP(Table13[[#This Row],[kbli5]],kata_kunci!$B:$H,5,FALSE)</f>
        <v>#N/A</v>
      </c>
      <c r="J94" s="84" t="e">
        <f>VLOOKUP(Table13[[#This Row],[kbli5]],kata_kunci!$B:$H,6,FALSE)</f>
        <v>#N/A</v>
      </c>
      <c r="K94" s="84" t="e">
        <f>VLOOKUP(Table13[[#This Row],[kbli5]],kata_kunci!$B:$H,7,FALSE)</f>
        <v>#N/A</v>
      </c>
    </row>
    <row r="95" spans="1:11" ht="15.75" thickBot="1" x14ac:dyDescent="0.3">
      <c r="A95" s="35" t="s">
        <v>118</v>
      </c>
      <c r="B95" s="40" t="s">
        <v>305</v>
      </c>
      <c r="C95" s="41" t="s">
        <v>306</v>
      </c>
      <c r="D95" s="30" t="e">
        <f>VLOOKUP(Table13[[#This Row],[kbli5]],Table1[[#All],[kbli5]:[digital_hijau]],3,)</f>
        <v>#N/A</v>
      </c>
      <c r="E95" s="35" t="e">
        <f>VLOOKUP(Table13[[#This Row],[kbli5]],kata_kunci!$B:$H,4,FALSE)</f>
        <v>#N/A</v>
      </c>
      <c r="F95" s="35" t="e">
        <f>VLOOKUP(Table13[[#This Row],[kbli5]],Table1[[#All],[kbli5]:[digital_hijau]],5,)</f>
        <v>#N/A</v>
      </c>
      <c r="G95" s="35" t="e">
        <f>VLOOKUP(Table13[[#This Row],[kbli5]],Table1[[#All],[kbli5]:[digital_hijau]],6,)</f>
        <v>#N/A</v>
      </c>
      <c r="H95" s="38" t="e">
        <f>VLOOKUP(Table13[[#This Row],[kbli5]],kata_kunci!$B:$H,3,FALSE)</f>
        <v>#N/A</v>
      </c>
      <c r="I95" s="84" t="e">
        <f>VLOOKUP(Table13[[#This Row],[kbli5]],kata_kunci!$B:$H,5,FALSE)</f>
        <v>#N/A</v>
      </c>
      <c r="J95" s="84" t="e">
        <f>VLOOKUP(Table13[[#This Row],[kbli5]],kata_kunci!$B:$H,6,FALSE)</f>
        <v>#N/A</v>
      </c>
      <c r="K95" s="84" t="e">
        <f>VLOOKUP(Table13[[#This Row],[kbli5]],kata_kunci!$B:$H,7,FALSE)</f>
        <v>#N/A</v>
      </c>
    </row>
    <row r="96" spans="1:11" ht="30.75" thickBot="1" x14ac:dyDescent="0.3">
      <c r="A96" s="35" t="s">
        <v>118</v>
      </c>
      <c r="B96" s="40" t="s">
        <v>307</v>
      </c>
      <c r="C96" s="41" t="s">
        <v>308</v>
      </c>
      <c r="D96" s="30" t="e">
        <f>VLOOKUP(Table13[[#This Row],[kbli5]],Table1[[#All],[kbli5]:[digital_hijau]],3,)</f>
        <v>#N/A</v>
      </c>
      <c r="E96" s="35" t="e">
        <f>VLOOKUP(Table13[[#This Row],[kbli5]],kata_kunci!$B:$H,4,FALSE)</f>
        <v>#N/A</v>
      </c>
      <c r="F96" s="35" t="e">
        <f>VLOOKUP(Table13[[#This Row],[kbli5]],Table1[[#All],[kbli5]:[digital_hijau]],5,)</f>
        <v>#N/A</v>
      </c>
      <c r="G96" s="35" t="e">
        <f>VLOOKUP(Table13[[#This Row],[kbli5]],Table1[[#All],[kbli5]:[digital_hijau]],6,)</f>
        <v>#N/A</v>
      </c>
      <c r="H96" s="38" t="e">
        <f>VLOOKUP(Table13[[#This Row],[kbli5]],kata_kunci!$B:$H,3,FALSE)</f>
        <v>#N/A</v>
      </c>
      <c r="I96" s="84" t="e">
        <f>VLOOKUP(Table13[[#This Row],[kbli5]],kata_kunci!$B:$H,5,FALSE)</f>
        <v>#N/A</v>
      </c>
      <c r="J96" s="84" t="e">
        <f>VLOOKUP(Table13[[#This Row],[kbli5]],kata_kunci!$B:$H,6,FALSE)</f>
        <v>#N/A</v>
      </c>
      <c r="K96" s="84" t="e">
        <f>VLOOKUP(Table13[[#This Row],[kbli5]],kata_kunci!$B:$H,7,FALSE)</f>
        <v>#N/A</v>
      </c>
    </row>
    <row r="97" spans="1:11" ht="15.75" thickBot="1" x14ac:dyDescent="0.3">
      <c r="A97" s="35" t="s">
        <v>118</v>
      </c>
      <c r="B97" s="40" t="s">
        <v>309</v>
      </c>
      <c r="C97" s="41" t="s">
        <v>310</v>
      </c>
      <c r="D97" s="30" t="e">
        <f>VLOOKUP(Table13[[#This Row],[kbli5]],Table1[[#All],[kbli5]:[digital_hijau]],3,)</f>
        <v>#N/A</v>
      </c>
      <c r="E97" s="35" t="e">
        <f>VLOOKUP(Table13[[#This Row],[kbli5]],kata_kunci!$B:$H,4,FALSE)</f>
        <v>#N/A</v>
      </c>
      <c r="F97" s="35" t="e">
        <f>VLOOKUP(Table13[[#This Row],[kbli5]],Table1[[#All],[kbli5]:[digital_hijau]],5,)</f>
        <v>#N/A</v>
      </c>
      <c r="G97" s="35" t="e">
        <f>VLOOKUP(Table13[[#This Row],[kbli5]],Table1[[#All],[kbli5]:[digital_hijau]],6,)</f>
        <v>#N/A</v>
      </c>
      <c r="H97" s="38" t="e">
        <f>VLOOKUP(Table13[[#This Row],[kbli5]],kata_kunci!$B:$H,3,FALSE)</f>
        <v>#N/A</v>
      </c>
      <c r="I97" s="84" t="e">
        <f>VLOOKUP(Table13[[#This Row],[kbli5]],kata_kunci!$B:$H,5,FALSE)</f>
        <v>#N/A</v>
      </c>
      <c r="J97" s="84" t="e">
        <f>VLOOKUP(Table13[[#This Row],[kbli5]],kata_kunci!$B:$H,6,FALSE)</f>
        <v>#N/A</v>
      </c>
      <c r="K97" s="84" t="e">
        <f>VLOOKUP(Table13[[#This Row],[kbli5]],kata_kunci!$B:$H,7,FALSE)</f>
        <v>#N/A</v>
      </c>
    </row>
    <row r="98" spans="1:11" ht="45.75" thickBot="1" x14ac:dyDescent="0.3">
      <c r="A98" s="35" t="s">
        <v>118</v>
      </c>
      <c r="B98" s="40" t="s">
        <v>311</v>
      </c>
      <c r="C98" s="41" t="s">
        <v>312</v>
      </c>
      <c r="D98" s="30" t="e">
        <f>VLOOKUP(Table13[[#This Row],[kbli5]],Table1[[#All],[kbli5]:[digital_hijau]],3,)</f>
        <v>#N/A</v>
      </c>
      <c r="E98" s="35" t="e">
        <f>VLOOKUP(Table13[[#This Row],[kbli5]],kata_kunci!$B:$H,4,FALSE)</f>
        <v>#N/A</v>
      </c>
      <c r="F98" s="35" t="e">
        <f>VLOOKUP(Table13[[#This Row],[kbli5]],Table1[[#All],[kbli5]:[digital_hijau]],5,)</f>
        <v>#N/A</v>
      </c>
      <c r="G98" s="35" t="e">
        <f>VLOOKUP(Table13[[#This Row],[kbli5]],Table1[[#All],[kbli5]:[digital_hijau]],6,)</f>
        <v>#N/A</v>
      </c>
      <c r="H98" s="38" t="e">
        <f>VLOOKUP(Table13[[#This Row],[kbli5]],kata_kunci!$B:$H,3,FALSE)</f>
        <v>#N/A</v>
      </c>
      <c r="I98" s="84" t="e">
        <f>VLOOKUP(Table13[[#This Row],[kbli5]],kata_kunci!$B:$H,5,FALSE)</f>
        <v>#N/A</v>
      </c>
      <c r="J98" s="84" t="e">
        <f>VLOOKUP(Table13[[#This Row],[kbli5]],kata_kunci!$B:$H,6,FALSE)</f>
        <v>#N/A</v>
      </c>
      <c r="K98" s="84" t="e">
        <f>VLOOKUP(Table13[[#This Row],[kbli5]],kata_kunci!$B:$H,7,FALSE)</f>
        <v>#N/A</v>
      </c>
    </row>
    <row r="99" spans="1:11" ht="45.75" thickBot="1" x14ac:dyDescent="0.3">
      <c r="A99" s="35" t="s">
        <v>118</v>
      </c>
      <c r="B99" s="40" t="s">
        <v>313</v>
      </c>
      <c r="C99" s="41" t="s">
        <v>314</v>
      </c>
      <c r="D99" s="30" t="e">
        <f>VLOOKUP(Table13[[#This Row],[kbli5]],Table1[[#All],[kbli5]:[digital_hijau]],3,)</f>
        <v>#N/A</v>
      </c>
      <c r="E99" s="35" t="e">
        <f>VLOOKUP(Table13[[#This Row],[kbli5]],kata_kunci!$B:$H,4,FALSE)</f>
        <v>#N/A</v>
      </c>
      <c r="F99" s="35" t="e">
        <f>VLOOKUP(Table13[[#This Row],[kbli5]],Table1[[#All],[kbli5]:[digital_hijau]],5,)</f>
        <v>#N/A</v>
      </c>
      <c r="G99" s="35" t="e">
        <f>VLOOKUP(Table13[[#This Row],[kbli5]],Table1[[#All],[kbli5]:[digital_hijau]],6,)</f>
        <v>#N/A</v>
      </c>
      <c r="H99" s="38" t="e">
        <f>VLOOKUP(Table13[[#This Row],[kbli5]],kata_kunci!$B:$H,3,FALSE)</f>
        <v>#N/A</v>
      </c>
      <c r="I99" s="84" t="e">
        <f>VLOOKUP(Table13[[#This Row],[kbli5]],kata_kunci!$B:$H,5,FALSE)</f>
        <v>#N/A</v>
      </c>
      <c r="J99" s="84" t="e">
        <f>VLOOKUP(Table13[[#This Row],[kbli5]],kata_kunci!$B:$H,6,FALSE)</f>
        <v>#N/A</v>
      </c>
      <c r="K99" s="84" t="e">
        <f>VLOOKUP(Table13[[#This Row],[kbli5]],kata_kunci!$B:$H,7,FALSE)</f>
        <v>#N/A</v>
      </c>
    </row>
    <row r="100" spans="1:11" ht="15.75" thickBot="1" x14ac:dyDescent="0.3">
      <c r="A100" s="35" t="s">
        <v>118</v>
      </c>
      <c r="B100" s="40" t="s">
        <v>315</v>
      </c>
      <c r="C100" s="41" t="s">
        <v>316</v>
      </c>
      <c r="D100" s="30" t="e">
        <f>VLOOKUP(Table13[[#This Row],[kbli5]],Table1[[#All],[kbli5]:[digital_hijau]],3,)</f>
        <v>#N/A</v>
      </c>
      <c r="E100" s="35" t="e">
        <f>VLOOKUP(Table13[[#This Row],[kbli5]],kata_kunci!$B:$H,4,FALSE)</f>
        <v>#N/A</v>
      </c>
      <c r="F100" s="35" t="e">
        <f>VLOOKUP(Table13[[#This Row],[kbli5]],Table1[[#All],[kbli5]:[digital_hijau]],5,)</f>
        <v>#N/A</v>
      </c>
      <c r="G100" s="35" t="e">
        <f>VLOOKUP(Table13[[#This Row],[kbli5]],Table1[[#All],[kbli5]:[digital_hijau]],6,)</f>
        <v>#N/A</v>
      </c>
      <c r="H100" s="38" t="e">
        <f>VLOOKUP(Table13[[#This Row],[kbli5]],kata_kunci!$B:$H,3,FALSE)</f>
        <v>#N/A</v>
      </c>
      <c r="I100" s="84" t="e">
        <f>VLOOKUP(Table13[[#This Row],[kbli5]],kata_kunci!$B:$H,5,FALSE)</f>
        <v>#N/A</v>
      </c>
      <c r="J100" s="84" t="e">
        <f>VLOOKUP(Table13[[#This Row],[kbli5]],kata_kunci!$B:$H,6,FALSE)</f>
        <v>#N/A</v>
      </c>
      <c r="K100" s="84" t="e">
        <f>VLOOKUP(Table13[[#This Row],[kbli5]],kata_kunci!$B:$H,7,FALSE)</f>
        <v>#N/A</v>
      </c>
    </row>
    <row r="101" spans="1:11" ht="30.75" thickBot="1" x14ac:dyDescent="0.3">
      <c r="A101" s="35" t="s">
        <v>118</v>
      </c>
      <c r="B101" s="40" t="s">
        <v>317</v>
      </c>
      <c r="C101" s="41" t="s">
        <v>318</v>
      </c>
      <c r="D101" s="30" t="e">
        <f>VLOOKUP(Table13[[#This Row],[kbli5]],Table1[[#All],[kbli5]:[digital_hijau]],3,)</f>
        <v>#N/A</v>
      </c>
      <c r="E101" s="35" t="e">
        <f>VLOOKUP(Table13[[#This Row],[kbli5]],kata_kunci!$B:$H,4,FALSE)</f>
        <v>#N/A</v>
      </c>
      <c r="F101" s="35" t="e">
        <f>VLOOKUP(Table13[[#This Row],[kbli5]],Table1[[#All],[kbli5]:[digital_hijau]],5,)</f>
        <v>#N/A</v>
      </c>
      <c r="G101" s="35" t="e">
        <f>VLOOKUP(Table13[[#This Row],[kbli5]],Table1[[#All],[kbli5]:[digital_hijau]],6,)</f>
        <v>#N/A</v>
      </c>
      <c r="H101" s="38" t="e">
        <f>VLOOKUP(Table13[[#This Row],[kbli5]],kata_kunci!$B:$H,3,FALSE)</f>
        <v>#N/A</v>
      </c>
      <c r="I101" s="84" t="e">
        <f>VLOOKUP(Table13[[#This Row],[kbli5]],kata_kunci!$B:$H,5,FALSE)</f>
        <v>#N/A</v>
      </c>
      <c r="J101" s="84" t="e">
        <f>VLOOKUP(Table13[[#This Row],[kbli5]],kata_kunci!$B:$H,6,FALSE)</f>
        <v>#N/A</v>
      </c>
      <c r="K101" s="84" t="e">
        <f>VLOOKUP(Table13[[#This Row],[kbli5]],kata_kunci!$B:$H,7,FALSE)</f>
        <v>#N/A</v>
      </c>
    </row>
    <row r="102" spans="1:11" ht="30.75" thickBot="1" x14ac:dyDescent="0.3">
      <c r="A102" s="35" t="s">
        <v>118</v>
      </c>
      <c r="B102" s="40" t="s">
        <v>319</v>
      </c>
      <c r="C102" s="41" t="s">
        <v>320</v>
      </c>
      <c r="D102" s="30" t="e">
        <f>VLOOKUP(Table13[[#This Row],[kbli5]],Table1[[#All],[kbli5]:[digital_hijau]],3,)</f>
        <v>#N/A</v>
      </c>
      <c r="E102" s="35" t="e">
        <f>VLOOKUP(Table13[[#This Row],[kbli5]],kata_kunci!$B:$H,4,FALSE)</f>
        <v>#N/A</v>
      </c>
      <c r="F102" s="35" t="e">
        <f>VLOOKUP(Table13[[#This Row],[kbli5]],Table1[[#All],[kbli5]:[digital_hijau]],5,)</f>
        <v>#N/A</v>
      </c>
      <c r="G102" s="35" t="e">
        <f>VLOOKUP(Table13[[#This Row],[kbli5]],Table1[[#All],[kbli5]:[digital_hijau]],6,)</f>
        <v>#N/A</v>
      </c>
      <c r="H102" s="38" t="e">
        <f>VLOOKUP(Table13[[#This Row],[kbli5]],kata_kunci!$B:$H,3,FALSE)</f>
        <v>#N/A</v>
      </c>
      <c r="I102" s="84" t="e">
        <f>VLOOKUP(Table13[[#This Row],[kbli5]],kata_kunci!$B:$H,5,FALSE)</f>
        <v>#N/A</v>
      </c>
      <c r="J102" s="84" t="e">
        <f>VLOOKUP(Table13[[#This Row],[kbli5]],kata_kunci!$B:$H,6,FALSE)</f>
        <v>#N/A</v>
      </c>
      <c r="K102" s="84" t="e">
        <f>VLOOKUP(Table13[[#This Row],[kbli5]],kata_kunci!$B:$H,7,FALSE)</f>
        <v>#N/A</v>
      </c>
    </row>
    <row r="103" spans="1:11" ht="15.75" thickBot="1" x14ac:dyDescent="0.3">
      <c r="A103" s="35" t="s">
        <v>118</v>
      </c>
      <c r="B103" s="40" t="s">
        <v>321</v>
      </c>
      <c r="C103" s="41" t="s">
        <v>322</v>
      </c>
      <c r="D103" s="30" t="e">
        <f>VLOOKUP(Table13[[#This Row],[kbli5]],Table1[[#All],[kbli5]:[digital_hijau]],3,)</f>
        <v>#N/A</v>
      </c>
      <c r="E103" s="35" t="e">
        <f>VLOOKUP(Table13[[#This Row],[kbli5]],kata_kunci!$B:$H,4,FALSE)</f>
        <v>#N/A</v>
      </c>
      <c r="F103" s="35" t="e">
        <f>VLOOKUP(Table13[[#This Row],[kbli5]],Table1[[#All],[kbli5]:[digital_hijau]],5,)</f>
        <v>#N/A</v>
      </c>
      <c r="G103" s="35" t="e">
        <f>VLOOKUP(Table13[[#This Row],[kbli5]],Table1[[#All],[kbli5]:[digital_hijau]],6,)</f>
        <v>#N/A</v>
      </c>
      <c r="H103" s="38" t="e">
        <f>VLOOKUP(Table13[[#This Row],[kbli5]],kata_kunci!$B:$H,3,FALSE)</f>
        <v>#N/A</v>
      </c>
      <c r="I103" s="84" t="e">
        <f>VLOOKUP(Table13[[#This Row],[kbli5]],kata_kunci!$B:$H,5,FALSE)</f>
        <v>#N/A</v>
      </c>
      <c r="J103" s="84" t="e">
        <f>VLOOKUP(Table13[[#This Row],[kbli5]],kata_kunci!$B:$H,6,FALSE)</f>
        <v>#N/A</v>
      </c>
      <c r="K103" s="84" t="e">
        <f>VLOOKUP(Table13[[#This Row],[kbli5]],kata_kunci!$B:$H,7,FALSE)</f>
        <v>#N/A</v>
      </c>
    </row>
    <row r="104" spans="1:11" ht="15.75" thickBot="1" x14ac:dyDescent="0.3">
      <c r="A104" s="35" t="s">
        <v>118</v>
      </c>
      <c r="B104" s="40" t="s">
        <v>323</v>
      </c>
      <c r="C104" s="41" t="s">
        <v>324</v>
      </c>
      <c r="D104" s="30" t="e">
        <f>VLOOKUP(Table13[[#This Row],[kbli5]],Table1[[#All],[kbli5]:[digital_hijau]],3,)</f>
        <v>#N/A</v>
      </c>
      <c r="E104" s="35" t="e">
        <f>VLOOKUP(Table13[[#This Row],[kbli5]],kata_kunci!$B:$H,4,FALSE)</f>
        <v>#N/A</v>
      </c>
      <c r="F104" s="35" t="e">
        <f>VLOOKUP(Table13[[#This Row],[kbli5]],Table1[[#All],[kbli5]:[digital_hijau]],5,)</f>
        <v>#N/A</v>
      </c>
      <c r="G104" s="35" t="e">
        <f>VLOOKUP(Table13[[#This Row],[kbli5]],Table1[[#All],[kbli5]:[digital_hijau]],6,)</f>
        <v>#N/A</v>
      </c>
      <c r="H104" s="38" t="e">
        <f>VLOOKUP(Table13[[#This Row],[kbli5]],kata_kunci!$B:$H,3,FALSE)</f>
        <v>#N/A</v>
      </c>
      <c r="I104" s="84" t="e">
        <f>VLOOKUP(Table13[[#This Row],[kbli5]],kata_kunci!$B:$H,5,FALSE)</f>
        <v>#N/A</v>
      </c>
      <c r="J104" s="84" t="e">
        <f>VLOOKUP(Table13[[#This Row],[kbli5]],kata_kunci!$B:$H,6,FALSE)</f>
        <v>#N/A</v>
      </c>
      <c r="K104" s="84" t="e">
        <f>VLOOKUP(Table13[[#This Row],[kbli5]],kata_kunci!$B:$H,7,FALSE)</f>
        <v>#N/A</v>
      </c>
    </row>
    <row r="105" spans="1:11" ht="30.75" thickBot="1" x14ac:dyDescent="0.3">
      <c r="A105" s="35" t="s">
        <v>118</v>
      </c>
      <c r="B105" s="40" t="s">
        <v>325</v>
      </c>
      <c r="C105" s="41" t="s">
        <v>326</v>
      </c>
      <c r="D105" s="30" t="e">
        <f>VLOOKUP(Table13[[#This Row],[kbli5]],Table1[[#All],[kbli5]:[digital_hijau]],3,)</f>
        <v>#N/A</v>
      </c>
      <c r="E105" s="35" t="e">
        <f>VLOOKUP(Table13[[#This Row],[kbli5]],kata_kunci!$B:$H,4,FALSE)</f>
        <v>#N/A</v>
      </c>
      <c r="F105" s="35" t="e">
        <f>VLOOKUP(Table13[[#This Row],[kbli5]],Table1[[#All],[kbli5]:[digital_hijau]],5,)</f>
        <v>#N/A</v>
      </c>
      <c r="G105" s="35" t="e">
        <f>VLOOKUP(Table13[[#This Row],[kbli5]],Table1[[#All],[kbli5]:[digital_hijau]],6,)</f>
        <v>#N/A</v>
      </c>
      <c r="H105" s="38" t="e">
        <f>VLOOKUP(Table13[[#This Row],[kbli5]],kata_kunci!$B:$H,3,FALSE)</f>
        <v>#N/A</v>
      </c>
      <c r="I105" s="84" t="e">
        <f>VLOOKUP(Table13[[#This Row],[kbli5]],kata_kunci!$B:$H,5,FALSE)</f>
        <v>#N/A</v>
      </c>
      <c r="J105" s="84" t="e">
        <f>VLOOKUP(Table13[[#This Row],[kbli5]],kata_kunci!$B:$H,6,FALSE)</f>
        <v>#N/A</v>
      </c>
      <c r="K105" s="84" t="e">
        <f>VLOOKUP(Table13[[#This Row],[kbli5]],kata_kunci!$B:$H,7,FALSE)</f>
        <v>#N/A</v>
      </c>
    </row>
    <row r="106" spans="1:11" ht="15.75" thickBot="1" x14ac:dyDescent="0.3">
      <c r="A106" s="35" t="s">
        <v>118</v>
      </c>
      <c r="B106" s="40" t="s">
        <v>327</v>
      </c>
      <c r="C106" s="41" t="s">
        <v>328</v>
      </c>
      <c r="D106" s="30" t="e">
        <f>VLOOKUP(Table13[[#This Row],[kbli5]],Table1[[#All],[kbli5]:[digital_hijau]],3,)</f>
        <v>#N/A</v>
      </c>
      <c r="E106" s="35" t="e">
        <f>VLOOKUP(Table13[[#This Row],[kbli5]],kata_kunci!$B:$H,4,FALSE)</f>
        <v>#N/A</v>
      </c>
      <c r="F106" s="35" t="e">
        <f>VLOOKUP(Table13[[#This Row],[kbli5]],Table1[[#All],[kbli5]:[digital_hijau]],5,)</f>
        <v>#N/A</v>
      </c>
      <c r="G106" s="35" t="e">
        <f>VLOOKUP(Table13[[#This Row],[kbli5]],Table1[[#All],[kbli5]:[digital_hijau]],6,)</f>
        <v>#N/A</v>
      </c>
      <c r="H106" s="38" t="e">
        <f>VLOOKUP(Table13[[#This Row],[kbli5]],kata_kunci!$B:$H,3,FALSE)</f>
        <v>#N/A</v>
      </c>
      <c r="I106" s="84" t="e">
        <f>VLOOKUP(Table13[[#This Row],[kbli5]],kata_kunci!$B:$H,5,FALSE)</f>
        <v>#N/A</v>
      </c>
      <c r="J106" s="84" t="e">
        <f>VLOOKUP(Table13[[#This Row],[kbli5]],kata_kunci!$B:$H,6,FALSE)</f>
        <v>#N/A</v>
      </c>
      <c r="K106" s="84" t="e">
        <f>VLOOKUP(Table13[[#This Row],[kbli5]],kata_kunci!$B:$H,7,FALSE)</f>
        <v>#N/A</v>
      </c>
    </row>
    <row r="107" spans="1:11" ht="30.75" thickBot="1" x14ac:dyDescent="0.3">
      <c r="A107" s="35" t="s">
        <v>118</v>
      </c>
      <c r="B107" s="40" t="s">
        <v>329</v>
      </c>
      <c r="C107" s="41" t="s">
        <v>330</v>
      </c>
      <c r="D107" s="30" t="e">
        <f>VLOOKUP(Table13[[#This Row],[kbli5]],Table1[[#All],[kbli5]:[digital_hijau]],3,)</f>
        <v>#N/A</v>
      </c>
      <c r="E107" s="35" t="e">
        <f>VLOOKUP(Table13[[#This Row],[kbli5]],kata_kunci!$B:$H,4,FALSE)</f>
        <v>#N/A</v>
      </c>
      <c r="F107" s="35" t="e">
        <f>VLOOKUP(Table13[[#This Row],[kbli5]],Table1[[#All],[kbli5]:[digital_hijau]],5,)</f>
        <v>#N/A</v>
      </c>
      <c r="G107" s="35" t="e">
        <f>VLOOKUP(Table13[[#This Row],[kbli5]],Table1[[#All],[kbli5]:[digital_hijau]],6,)</f>
        <v>#N/A</v>
      </c>
      <c r="H107" s="38" t="e">
        <f>VLOOKUP(Table13[[#This Row],[kbli5]],kata_kunci!$B:$H,3,FALSE)</f>
        <v>#N/A</v>
      </c>
      <c r="I107" s="84" t="e">
        <f>VLOOKUP(Table13[[#This Row],[kbli5]],kata_kunci!$B:$H,5,FALSE)</f>
        <v>#N/A</v>
      </c>
      <c r="J107" s="84" t="e">
        <f>VLOOKUP(Table13[[#This Row],[kbli5]],kata_kunci!$B:$H,6,FALSE)</f>
        <v>#N/A</v>
      </c>
      <c r="K107" s="84" t="e">
        <f>VLOOKUP(Table13[[#This Row],[kbli5]],kata_kunci!$B:$H,7,FALSE)</f>
        <v>#N/A</v>
      </c>
    </row>
    <row r="108" spans="1:11" ht="30.75" thickBot="1" x14ac:dyDescent="0.3">
      <c r="A108" s="35" t="s">
        <v>118</v>
      </c>
      <c r="B108" s="40" t="s">
        <v>331</v>
      </c>
      <c r="C108" s="41" t="s">
        <v>332</v>
      </c>
      <c r="D108" s="30" t="e">
        <f>VLOOKUP(Table13[[#This Row],[kbli5]],Table1[[#All],[kbli5]:[digital_hijau]],3,)</f>
        <v>#N/A</v>
      </c>
      <c r="E108" s="35" t="e">
        <f>VLOOKUP(Table13[[#This Row],[kbli5]],kata_kunci!$B:$H,4,FALSE)</f>
        <v>#N/A</v>
      </c>
      <c r="F108" s="35" t="e">
        <f>VLOOKUP(Table13[[#This Row],[kbli5]],Table1[[#All],[kbli5]:[digital_hijau]],5,)</f>
        <v>#N/A</v>
      </c>
      <c r="G108" s="35" t="e">
        <f>VLOOKUP(Table13[[#This Row],[kbli5]],Table1[[#All],[kbli5]:[digital_hijau]],6,)</f>
        <v>#N/A</v>
      </c>
      <c r="H108" s="38" t="e">
        <f>VLOOKUP(Table13[[#This Row],[kbli5]],kata_kunci!$B:$H,3,FALSE)</f>
        <v>#N/A</v>
      </c>
      <c r="I108" s="84" t="e">
        <f>VLOOKUP(Table13[[#This Row],[kbli5]],kata_kunci!$B:$H,5,FALSE)</f>
        <v>#N/A</v>
      </c>
      <c r="J108" s="84" t="e">
        <f>VLOOKUP(Table13[[#This Row],[kbli5]],kata_kunci!$B:$H,6,FALSE)</f>
        <v>#N/A</v>
      </c>
      <c r="K108" s="84" t="e">
        <f>VLOOKUP(Table13[[#This Row],[kbli5]],kata_kunci!$B:$H,7,FALSE)</f>
        <v>#N/A</v>
      </c>
    </row>
    <row r="109" spans="1:11" ht="30.75" thickBot="1" x14ac:dyDescent="0.3">
      <c r="A109" s="35" t="s">
        <v>118</v>
      </c>
      <c r="B109" s="40" t="s">
        <v>333</v>
      </c>
      <c r="C109" s="41" t="s">
        <v>334</v>
      </c>
      <c r="D109" s="30" t="e">
        <f>VLOOKUP(Table13[[#This Row],[kbli5]],Table1[[#All],[kbli5]:[digital_hijau]],3,)</f>
        <v>#N/A</v>
      </c>
      <c r="E109" s="35" t="e">
        <f>VLOOKUP(Table13[[#This Row],[kbli5]],kata_kunci!$B:$H,4,FALSE)</f>
        <v>#N/A</v>
      </c>
      <c r="F109" s="35" t="e">
        <f>VLOOKUP(Table13[[#This Row],[kbli5]],Table1[[#All],[kbli5]:[digital_hijau]],5,)</f>
        <v>#N/A</v>
      </c>
      <c r="G109" s="35" t="e">
        <f>VLOOKUP(Table13[[#This Row],[kbli5]],Table1[[#All],[kbli5]:[digital_hijau]],6,)</f>
        <v>#N/A</v>
      </c>
      <c r="H109" s="38" t="e">
        <f>VLOOKUP(Table13[[#This Row],[kbli5]],kata_kunci!$B:$H,3,FALSE)</f>
        <v>#N/A</v>
      </c>
      <c r="I109" s="84" t="e">
        <f>VLOOKUP(Table13[[#This Row],[kbli5]],kata_kunci!$B:$H,5,FALSE)</f>
        <v>#N/A</v>
      </c>
      <c r="J109" s="84" t="e">
        <f>VLOOKUP(Table13[[#This Row],[kbli5]],kata_kunci!$B:$H,6,FALSE)</f>
        <v>#N/A</v>
      </c>
      <c r="K109" s="84" t="e">
        <f>VLOOKUP(Table13[[#This Row],[kbli5]],kata_kunci!$B:$H,7,FALSE)</f>
        <v>#N/A</v>
      </c>
    </row>
    <row r="110" spans="1:11" ht="45.75" thickBot="1" x14ac:dyDescent="0.3">
      <c r="A110" s="35" t="s">
        <v>118</v>
      </c>
      <c r="B110" s="40" t="s">
        <v>335</v>
      </c>
      <c r="C110" s="41" t="s">
        <v>336</v>
      </c>
      <c r="D110" s="30" t="e">
        <f>VLOOKUP(Table13[[#This Row],[kbli5]],Table1[[#All],[kbli5]:[digital_hijau]],3,)</f>
        <v>#N/A</v>
      </c>
      <c r="E110" s="35" t="e">
        <f>VLOOKUP(Table13[[#This Row],[kbli5]],kata_kunci!$B:$H,4,FALSE)</f>
        <v>#N/A</v>
      </c>
      <c r="F110" s="35" t="e">
        <f>VLOOKUP(Table13[[#This Row],[kbli5]],Table1[[#All],[kbli5]:[digital_hijau]],5,)</f>
        <v>#N/A</v>
      </c>
      <c r="G110" s="35" t="e">
        <f>VLOOKUP(Table13[[#This Row],[kbli5]],Table1[[#All],[kbli5]:[digital_hijau]],6,)</f>
        <v>#N/A</v>
      </c>
      <c r="H110" s="38" t="e">
        <f>VLOOKUP(Table13[[#This Row],[kbli5]],kata_kunci!$B:$H,3,FALSE)</f>
        <v>#N/A</v>
      </c>
      <c r="I110" s="84" t="e">
        <f>VLOOKUP(Table13[[#This Row],[kbli5]],kata_kunci!$B:$H,5,FALSE)</f>
        <v>#N/A</v>
      </c>
      <c r="J110" s="84" t="e">
        <f>VLOOKUP(Table13[[#This Row],[kbli5]],kata_kunci!$B:$H,6,FALSE)</f>
        <v>#N/A</v>
      </c>
      <c r="K110" s="84" t="e">
        <f>VLOOKUP(Table13[[#This Row],[kbli5]],kata_kunci!$B:$H,7,FALSE)</f>
        <v>#N/A</v>
      </c>
    </row>
    <row r="111" spans="1:11" ht="45.75" thickBot="1" x14ac:dyDescent="0.3">
      <c r="A111" s="35" t="s">
        <v>118</v>
      </c>
      <c r="B111" s="40" t="s">
        <v>337</v>
      </c>
      <c r="C111" s="41" t="s">
        <v>338</v>
      </c>
      <c r="D111" s="30" t="e">
        <f>VLOOKUP(Table13[[#This Row],[kbli5]],Table1[[#All],[kbli5]:[digital_hijau]],3,)</f>
        <v>#N/A</v>
      </c>
      <c r="E111" s="35" t="e">
        <f>VLOOKUP(Table13[[#This Row],[kbli5]],kata_kunci!$B:$H,4,FALSE)</f>
        <v>#N/A</v>
      </c>
      <c r="F111" s="35" t="e">
        <f>VLOOKUP(Table13[[#This Row],[kbli5]],Table1[[#All],[kbli5]:[digital_hijau]],5,)</f>
        <v>#N/A</v>
      </c>
      <c r="G111" s="35" t="e">
        <f>VLOOKUP(Table13[[#This Row],[kbli5]],Table1[[#All],[kbli5]:[digital_hijau]],6,)</f>
        <v>#N/A</v>
      </c>
      <c r="H111" s="38" t="e">
        <f>VLOOKUP(Table13[[#This Row],[kbli5]],kata_kunci!$B:$H,3,FALSE)</f>
        <v>#N/A</v>
      </c>
      <c r="I111" s="84" t="e">
        <f>VLOOKUP(Table13[[#This Row],[kbli5]],kata_kunci!$B:$H,5,FALSE)</f>
        <v>#N/A</v>
      </c>
      <c r="J111" s="84" t="e">
        <f>VLOOKUP(Table13[[#This Row],[kbli5]],kata_kunci!$B:$H,6,FALSE)</f>
        <v>#N/A</v>
      </c>
      <c r="K111" s="84" t="e">
        <f>VLOOKUP(Table13[[#This Row],[kbli5]],kata_kunci!$B:$H,7,FALSE)</f>
        <v>#N/A</v>
      </c>
    </row>
    <row r="112" spans="1:11" ht="45.75" thickBot="1" x14ac:dyDescent="0.3">
      <c r="A112" s="35" t="s">
        <v>118</v>
      </c>
      <c r="B112" s="40" t="s">
        <v>339</v>
      </c>
      <c r="C112" s="41" t="s">
        <v>340</v>
      </c>
      <c r="D112" s="30" t="e">
        <f>VLOOKUP(Table13[[#This Row],[kbli5]],Table1[[#All],[kbli5]:[digital_hijau]],3,)</f>
        <v>#N/A</v>
      </c>
      <c r="E112" s="35" t="e">
        <f>VLOOKUP(Table13[[#This Row],[kbli5]],kata_kunci!$B:$H,4,FALSE)</f>
        <v>#N/A</v>
      </c>
      <c r="F112" s="35" t="e">
        <f>VLOOKUP(Table13[[#This Row],[kbli5]],Table1[[#All],[kbli5]:[digital_hijau]],5,)</f>
        <v>#N/A</v>
      </c>
      <c r="G112" s="35" t="e">
        <f>VLOOKUP(Table13[[#This Row],[kbli5]],Table1[[#All],[kbli5]:[digital_hijau]],6,)</f>
        <v>#N/A</v>
      </c>
      <c r="H112" s="38" t="e">
        <f>VLOOKUP(Table13[[#This Row],[kbli5]],kata_kunci!$B:$H,3,FALSE)</f>
        <v>#N/A</v>
      </c>
      <c r="I112" s="84" t="e">
        <f>VLOOKUP(Table13[[#This Row],[kbli5]],kata_kunci!$B:$H,5,FALSE)</f>
        <v>#N/A</v>
      </c>
      <c r="J112" s="84" t="e">
        <f>VLOOKUP(Table13[[#This Row],[kbli5]],kata_kunci!$B:$H,6,FALSE)</f>
        <v>#N/A</v>
      </c>
      <c r="K112" s="84" t="e">
        <f>VLOOKUP(Table13[[#This Row],[kbli5]],kata_kunci!$B:$H,7,FALSE)</f>
        <v>#N/A</v>
      </c>
    </row>
    <row r="113" spans="1:11" ht="45.75" thickBot="1" x14ac:dyDescent="0.3">
      <c r="A113" s="35" t="s">
        <v>118</v>
      </c>
      <c r="B113" s="40" t="s">
        <v>341</v>
      </c>
      <c r="C113" s="41" t="s">
        <v>342</v>
      </c>
      <c r="D113" s="30" t="e">
        <f>VLOOKUP(Table13[[#This Row],[kbli5]],Table1[[#All],[kbli5]:[digital_hijau]],3,)</f>
        <v>#N/A</v>
      </c>
      <c r="E113" s="35" t="e">
        <f>VLOOKUP(Table13[[#This Row],[kbli5]],kata_kunci!$B:$H,4,FALSE)</f>
        <v>#N/A</v>
      </c>
      <c r="F113" s="35" t="e">
        <f>VLOOKUP(Table13[[#This Row],[kbli5]],Table1[[#All],[kbli5]:[digital_hijau]],5,)</f>
        <v>#N/A</v>
      </c>
      <c r="G113" s="35" t="e">
        <f>VLOOKUP(Table13[[#This Row],[kbli5]],Table1[[#All],[kbli5]:[digital_hijau]],6,)</f>
        <v>#N/A</v>
      </c>
      <c r="H113" s="38" t="e">
        <f>VLOOKUP(Table13[[#This Row],[kbli5]],kata_kunci!$B:$H,3,FALSE)</f>
        <v>#N/A</v>
      </c>
      <c r="I113" s="84" t="e">
        <f>VLOOKUP(Table13[[#This Row],[kbli5]],kata_kunci!$B:$H,5,FALSE)</f>
        <v>#N/A</v>
      </c>
      <c r="J113" s="84" t="e">
        <f>VLOOKUP(Table13[[#This Row],[kbli5]],kata_kunci!$B:$H,6,FALSE)</f>
        <v>#N/A</v>
      </c>
      <c r="K113" s="84" t="e">
        <f>VLOOKUP(Table13[[#This Row],[kbli5]],kata_kunci!$B:$H,7,FALSE)</f>
        <v>#N/A</v>
      </c>
    </row>
    <row r="114" spans="1:11" ht="45.75" thickBot="1" x14ac:dyDescent="0.3">
      <c r="A114" s="35" t="s">
        <v>118</v>
      </c>
      <c r="B114" s="40" t="s">
        <v>343</v>
      </c>
      <c r="C114" s="41" t="s">
        <v>344</v>
      </c>
      <c r="D114" s="30" t="e">
        <f>VLOOKUP(Table13[[#This Row],[kbli5]],Table1[[#All],[kbli5]:[digital_hijau]],3,)</f>
        <v>#N/A</v>
      </c>
      <c r="E114" s="35" t="e">
        <f>VLOOKUP(Table13[[#This Row],[kbli5]],kata_kunci!$B:$H,4,FALSE)</f>
        <v>#N/A</v>
      </c>
      <c r="F114" s="35" t="e">
        <f>VLOOKUP(Table13[[#This Row],[kbli5]],Table1[[#All],[kbli5]:[digital_hijau]],5,)</f>
        <v>#N/A</v>
      </c>
      <c r="G114" s="35" t="e">
        <f>VLOOKUP(Table13[[#This Row],[kbli5]],Table1[[#All],[kbli5]:[digital_hijau]],6,)</f>
        <v>#N/A</v>
      </c>
      <c r="H114" s="38" t="e">
        <f>VLOOKUP(Table13[[#This Row],[kbli5]],kata_kunci!$B:$H,3,FALSE)</f>
        <v>#N/A</v>
      </c>
      <c r="I114" s="84" t="e">
        <f>VLOOKUP(Table13[[#This Row],[kbli5]],kata_kunci!$B:$H,5,FALSE)</f>
        <v>#N/A</v>
      </c>
      <c r="J114" s="84" t="e">
        <f>VLOOKUP(Table13[[#This Row],[kbli5]],kata_kunci!$B:$H,6,FALSE)</f>
        <v>#N/A</v>
      </c>
      <c r="K114" s="84" t="e">
        <f>VLOOKUP(Table13[[#This Row],[kbli5]],kata_kunci!$B:$H,7,FALSE)</f>
        <v>#N/A</v>
      </c>
    </row>
    <row r="115" spans="1:11" ht="45.75" thickBot="1" x14ac:dyDescent="0.3">
      <c r="A115" s="35" t="s">
        <v>118</v>
      </c>
      <c r="B115" s="40" t="s">
        <v>345</v>
      </c>
      <c r="C115" s="41" t="s">
        <v>338</v>
      </c>
      <c r="D115" s="30" t="e">
        <f>VLOOKUP(Table13[[#This Row],[kbli5]],Table1[[#All],[kbli5]:[digital_hijau]],3,)</f>
        <v>#N/A</v>
      </c>
      <c r="E115" s="35" t="e">
        <f>VLOOKUP(Table13[[#This Row],[kbli5]],kata_kunci!$B:$H,4,FALSE)</f>
        <v>#N/A</v>
      </c>
      <c r="F115" s="35" t="e">
        <f>VLOOKUP(Table13[[#This Row],[kbli5]],Table1[[#All],[kbli5]:[digital_hijau]],5,)</f>
        <v>#N/A</v>
      </c>
      <c r="G115" s="35" t="e">
        <f>VLOOKUP(Table13[[#This Row],[kbli5]],Table1[[#All],[kbli5]:[digital_hijau]],6,)</f>
        <v>#N/A</v>
      </c>
      <c r="H115" s="38" t="e">
        <f>VLOOKUP(Table13[[#This Row],[kbli5]],kata_kunci!$B:$H,3,FALSE)</f>
        <v>#N/A</v>
      </c>
      <c r="I115" s="84" t="e">
        <f>VLOOKUP(Table13[[#This Row],[kbli5]],kata_kunci!$B:$H,5,FALSE)</f>
        <v>#N/A</v>
      </c>
      <c r="J115" s="84" t="e">
        <f>VLOOKUP(Table13[[#This Row],[kbli5]],kata_kunci!$B:$H,6,FALSE)</f>
        <v>#N/A</v>
      </c>
      <c r="K115" s="84" t="e">
        <f>VLOOKUP(Table13[[#This Row],[kbli5]],kata_kunci!$B:$H,7,FALSE)</f>
        <v>#N/A</v>
      </c>
    </row>
    <row r="116" spans="1:11" ht="45.75" thickBot="1" x14ac:dyDescent="0.3">
      <c r="A116" s="35" t="s">
        <v>118</v>
      </c>
      <c r="B116" s="40" t="s">
        <v>346</v>
      </c>
      <c r="C116" s="41" t="s">
        <v>347</v>
      </c>
      <c r="D116" s="30" t="e">
        <f>VLOOKUP(Table13[[#This Row],[kbli5]],Table1[[#All],[kbli5]:[digital_hijau]],3,)</f>
        <v>#N/A</v>
      </c>
      <c r="E116" s="35" t="e">
        <f>VLOOKUP(Table13[[#This Row],[kbli5]],kata_kunci!$B:$H,4,FALSE)</f>
        <v>#N/A</v>
      </c>
      <c r="F116" s="35" t="e">
        <f>VLOOKUP(Table13[[#This Row],[kbli5]],Table1[[#All],[kbli5]:[digital_hijau]],5,)</f>
        <v>#N/A</v>
      </c>
      <c r="G116" s="35" t="e">
        <f>VLOOKUP(Table13[[#This Row],[kbli5]],Table1[[#All],[kbli5]:[digital_hijau]],6,)</f>
        <v>#N/A</v>
      </c>
      <c r="H116" s="38" t="e">
        <f>VLOOKUP(Table13[[#This Row],[kbli5]],kata_kunci!$B:$H,3,FALSE)</f>
        <v>#N/A</v>
      </c>
      <c r="I116" s="84" t="e">
        <f>VLOOKUP(Table13[[#This Row],[kbli5]],kata_kunci!$B:$H,5,FALSE)</f>
        <v>#N/A</v>
      </c>
      <c r="J116" s="84" t="e">
        <f>VLOOKUP(Table13[[#This Row],[kbli5]],kata_kunci!$B:$H,6,FALSE)</f>
        <v>#N/A</v>
      </c>
      <c r="K116" s="84" t="e">
        <f>VLOOKUP(Table13[[#This Row],[kbli5]],kata_kunci!$B:$H,7,FALSE)</f>
        <v>#N/A</v>
      </c>
    </row>
    <row r="117" spans="1:11" ht="45.75" thickBot="1" x14ac:dyDescent="0.3">
      <c r="A117" s="35" t="s">
        <v>118</v>
      </c>
      <c r="B117" s="40" t="s">
        <v>348</v>
      </c>
      <c r="C117" s="41" t="s">
        <v>349</v>
      </c>
      <c r="D117" s="30" t="e">
        <f>VLOOKUP(Table13[[#This Row],[kbli5]],Table1[[#All],[kbli5]:[digital_hijau]],3,)</f>
        <v>#N/A</v>
      </c>
      <c r="E117" s="35" t="e">
        <f>VLOOKUP(Table13[[#This Row],[kbli5]],kata_kunci!$B:$H,4,FALSE)</f>
        <v>#N/A</v>
      </c>
      <c r="F117" s="35" t="e">
        <f>VLOOKUP(Table13[[#This Row],[kbli5]],Table1[[#All],[kbli5]:[digital_hijau]],5,)</f>
        <v>#N/A</v>
      </c>
      <c r="G117" s="35" t="e">
        <f>VLOOKUP(Table13[[#This Row],[kbli5]],Table1[[#All],[kbli5]:[digital_hijau]],6,)</f>
        <v>#N/A</v>
      </c>
      <c r="H117" s="38" t="e">
        <f>VLOOKUP(Table13[[#This Row],[kbli5]],kata_kunci!$B:$H,3,FALSE)</f>
        <v>#N/A</v>
      </c>
      <c r="I117" s="84" t="e">
        <f>VLOOKUP(Table13[[#This Row],[kbli5]],kata_kunci!$B:$H,5,FALSE)</f>
        <v>#N/A</v>
      </c>
      <c r="J117" s="84" t="e">
        <f>VLOOKUP(Table13[[#This Row],[kbli5]],kata_kunci!$B:$H,6,FALSE)</f>
        <v>#N/A</v>
      </c>
      <c r="K117" s="84" t="e">
        <f>VLOOKUP(Table13[[#This Row],[kbli5]],kata_kunci!$B:$H,7,FALSE)</f>
        <v>#N/A</v>
      </c>
    </row>
    <row r="118" spans="1:11" ht="45.75" thickBot="1" x14ac:dyDescent="0.3">
      <c r="A118" s="35" t="s">
        <v>118</v>
      </c>
      <c r="B118" s="40" t="s">
        <v>350</v>
      </c>
      <c r="C118" s="41" t="s">
        <v>351</v>
      </c>
      <c r="D118" s="30" t="e">
        <f>VLOOKUP(Table13[[#This Row],[kbli5]],Table1[[#All],[kbli5]:[digital_hijau]],3,)</f>
        <v>#N/A</v>
      </c>
      <c r="E118" s="35" t="e">
        <f>VLOOKUP(Table13[[#This Row],[kbli5]],kata_kunci!$B:$H,4,FALSE)</f>
        <v>#N/A</v>
      </c>
      <c r="F118" s="35" t="e">
        <f>VLOOKUP(Table13[[#This Row],[kbli5]],Table1[[#All],[kbli5]:[digital_hijau]],5,)</f>
        <v>#N/A</v>
      </c>
      <c r="G118" s="35" t="e">
        <f>VLOOKUP(Table13[[#This Row],[kbli5]],Table1[[#All],[kbli5]:[digital_hijau]],6,)</f>
        <v>#N/A</v>
      </c>
      <c r="H118" s="38" t="e">
        <f>VLOOKUP(Table13[[#This Row],[kbli5]],kata_kunci!$B:$H,3,FALSE)</f>
        <v>#N/A</v>
      </c>
      <c r="I118" s="84" t="e">
        <f>VLOOKUP(Table13[[#This Row],[kbli5]],kata_kunci!$B:$H,5,FALSE)</f>
        <v>#N/A</v>
      </c>
      <c r="J118" s="84" t="e">
        <f>VLOOKUP(Table13[[#This Row],[kbli5]],kata_kunci!$B:$H,6,FALSE)</f>
        <v>#N/A</v>
      </c>
      <c r="K118" s="84" t="e">
        <f>VLOOKUP(Table13[[#This Row],[kbli5]],kata_kunci!$B:$H,7,FALSE)</f>
        <v>#N/A</v>
      </c>
    </row>
    <row r="119" spans="1:11" ht="45.75" thickBot="1" x14ac:dyDescent="0.3">
      <c r="A119" s="35" t="s">
        <v>118</v>
      </c>
      <c r="B119" s="40" t="s">
        <v>352</v>
      </c>
      <c r="C119" s="41" t="s">
        <v>338</v>
      </c>
      <c r="D119" s="30" t="e">
        <f>VLOOKUP(Table13[[#This Row],[kbli5]],Table1[[#All],[kbli5]:[digital_hijau]],3,)</f>
        <v>#N/A</v>
      </c>
      <c r="E119" s="35" t="e">
        <f>VLOOKUP(Table13[[#This Row],[kbli5]],kata_kunci!$B:$H,4,FALSE)</f>
        <v>#N/A</v>
      </c>
      <c r="F119" s="35" t="e">
        <f>VLOOKUP(Table13[[#This Row],[kbli5]],Table1[[#All],[kbli5]:[digital_hijau]],5,)</f>
        <v>#N/A</v>
      </c>
      <c r="G119" s="35" t="e">
        <f>VLOOKUP(Table13[[#This Row],[kbli5]],Table1[[#All],[kbli5]:[digital_hijau]],6,)</f>
        <v>#N/A</v>
      </c>
      <c r="H119" s="38" t="e">
        <f>VLOOKUP(Table13[[#This Row],[kbli5]],kata_kunci!$B:$H,3,FALSE)</f>
        <v>#N/A</v>
      </c>
      <c r="I119" s="84" t="e">
        <f>VLOOKUP(Table13[[#This Row],[kbli5]],kata_kunci!$B:$H,5,FALSE)</f>
        <v>#N/A</v>
      </c>
      <c r="J119" s="84" t="e">
        <f>VLOOKUP(Table13[[#This Row],[kbli5]],kata_kunci!$B:$H,6,FALSE)</f>
        <v>#N/A</v>
      </c>
      <c r="K119" s="84" t="e">
        <f>VLOOKUP(Table13[[#This Row],[kbli5]],kata_kunci!$B:$H,7,FALSE)</f>
        <v>#N/A</v>
      </c>
    </row>
    <row r="120" spans="1:11" ht="45.75" thickBot="1" x14ac:dyDescent="0.3">
      <c r="A120" s="35" t="s">
        <v>118</v>
      </c>
      <c r="B120" s="40" t="s">
        <v>353</v>
      </c>
      <c r="C120" s="41" t="s">
        <v>354</v>
      </c>
      <c r="D120" s="30" t="e">
        <f>VLOOKUP(Table13[[#This Row],[kbli5]],Table1[[#All],[kbli5]:[digital_hijau]],3,)</f>
        <v>#N/A</v>
      </c>
      <c r="E120" s="35" t="e">
        <f>VLOOKUP(Table13[[#This Row],[kbli5]],kata_kunci!$B:$H,4,FALSE)</f>
        <v>#N/A</v>
      </c>
      <c r="F120" s="35" t="e">
        <f>VLOOKUP(Table13[[#This Row],[kbli5]],Table1[[#All],[kbli5]:[digital_hijau]],5,)</f>
        <v>#N/A</v>
      </c>
      <c r="G120" s="35" t="e">
        <f>VLOOKUP(Table13[[#This Row],[kbli5]],Table1[[#All],[kbli5]:[digital_hijau]],6,)</f>
        <v>#N/A</v>
      </c>
      <c r="H120" s="38" t="e">
        <f>VLOOKUP(Table13[[#This Row],[kbli5]],kata_kunci!$B:$H,3,FALSE)</f>
        <v>#N/A</v>
      </c>
      <c r="I120" s="84" t="e">
        <f>VLOOKUP(Table13[[#This Row],[kbli5]],kata_kunci!$B:$H,5,FALSE)</f>
        <v>#N/A</v>
      </c>
      <c r="J120" s="84" t="e">
        <f>VLOOKUP(Table13[[#This Row],[kbli5]],kata_kunci!$B:$H,6,FALSE)</f>
        <v>#N/A</v>
      </c>
      <c r="K120" s="84" t="e">
        <f>VLOOKUP(Table13[[#This Row],[kbli5]],kata_kunci!$B:$H,7,FALSE)</f>
        <v>#N/A</v>
      </c>
    </row>
    <row r="121" spans="1:11" ht="45.75" thickBot="1" x14ac:dyDescent="0.3">
      <c r="A121" s="35" t="s">
        <v>118</v>
      </c>
      <c r="B121" s="40" t="s">
        <v>355</v>
      </c>
      <c r="C121" s="41" t="s">
        <v>356</v>
      </c>
      <c r="D121" s="30" t="e">
        <f>VLOOKUP(Table13[[#This Row],[kbli5]],Table1[[#All],[kbli5]:[digital_hijau]],3,)</f>
        <v>#N/A</v>
      </c>
      <c r="E121" s="35" t="e">
        <f>VLOOKUP(Table13[[#This Row],[kbli5]],kata_kunci!$B:$H,4,FALSE)</f>
        <v>#N/A</v>
      </c>
      <c r="F121" s="35" t="e">
        <f>VLOOKUP(Table13[[#This Row],[kbli5]],Table1[[#All],[kbli5]:[digital_hijau]],5,)</f>
        <v>#N/A</v>
      </c>
      <c r="G121" s="35" t="e">
        <f>VLOOKUP(Table13[[#This Row],[kbli5]],Table1[[#All],[kbli5]:[digital_hijau]],6,)</f>
        <v>#N/A</v>
      </c>
      <c r="H121" s="38" t="e">
        <f>VLOOKUP(Table13[[#This Row],[kbli5]],kata_kunci!$B:$H,3,FALSE)</f>
        <v>#N/A</v>
      </c>
      <c r="I121" s="84" t="e">
        <f>VLOOKUP(Table13[[#This Row],[kbli5]],kata_kunci!$B:$H,5,FALSE)</f>
        <v>#N/A</v>
      </c>
      <c r="J121" s="84" t="e">
        <f>VLOOKUP(Table13[[#This Row],[kbli5]],kata_kunci!$B:$H,6,FALSE)</f>
        <v>#N/A</v>
      </c>
      <c r="K121" s="84" t="e">
        <f>VLOOKUP(Table13[[#This Row],[kbli5]],kata_kunci!$B:$H,7,FALSE)</f>
        <v>#N/A</v>
      </c>
    </row>
    <row r="122" spans="1:11" ht="45.75" thickBot="1" x14ac:dyDescent="0.3">
      <c r="A122" s="35" t="s">
        <v>118</v>
      </c>
      <c r="B122" s="40" t="s">
        <v>357</v>
      </c>
      <c r="C122" s="41" t="s">
        <v>358</v>
      </c>
      <c r="D122" s="30" t="e">
        <f>VLOOKUP(Table13[[#This Row],[kbli5]],Table1[[#All],[kbli5]:[digital_hijau]],3,)</f>
        <v>#N/A</v>
      </c>
      <c r="E122" s="35" t="e">
        <f>VLOOKUP(Table13[[#This Row],[kbli5]],kata_kunci!$B:$H,4,FALSE)</f>
        <v>#N/A</v>
      </c>
      <c r="F122" s="35" t="e">
        <f>VLOOKUP(Table13[[#This Row],[kbli5]],Table1[[#All],[kbli5]:[digital_hijau]],5,)</f>
        <v>#N/A</v>
      </c>
      <c r="G122" s="35" t="e">
        <f>VLOOKUP(Table13[[#This Row],[kbli5]],Table1[[#All],[kbli5]:[digital_hijau]],6,)</f>
        <v>#N/A</v>
      </c>
      <c r="H122" s="38" t="e">
        <f>VLOOKUP(Table13[[#This Row],[kbli5]],kata_kunci!$B:$H,3,FALSE)</f>
        <v>#N/A</v>
      </c>
      <c r="I122" s="84" t="e">
        <f>VLOOKUP(Table13[[#This Row],[kbli5]],kata_kunci!$B:$H,5,FALSE)</f>
        <v>#N/A</v>
      </c>
      <c r="J122" s="84" t="e">
        <f>VLOOKUP(Table13[[#This Row],[kbli5]],kata_kunci!$B:$H,6,FALSE)</f>
        <v>#N/A</v>
      </c>
      <c r="K122" s="84" t="e">
        <f>VLOOKUP(Table13[[#This Row],[kbli5]],kata_kunci!$B:$H,7,FALSE)</f>
        <v>#N/A</v>
      </c>
    </row>
    <row r="123" spans="1:11" ht="45.75" thickBot="1" x14ac:dyDescent="0.3">
      <c r="A123" s="35" t="s">
        <v>118</v>
      </c>
      <c r="B123" s="40" t="s">
        <v>359</v>
      </c>
      <c r="C123" s="41" t="s">
        <v>360</v>
      </c>
      <c r="D123" s="30" t="e">
        <f>VLOOKUP(Table13[[#This Row],[kbli5]],Table1[[#All],[kbli5]:[digital_hijau]],3,)</f>
        <v>#N/A</v>
      </c>
      <c r="E123" s="35" t="e">
        <f>VLOOKUP(Table13[[#This Row],[kbli5]],kata_kunci!$B:$H,4,FALSE)</f>
        <v>#N/A</v>
      </c>
      <c r="F123" s="35" t="e">
        <f>VLOOKUP(Table13[[#This Row],[kbli5]],Table1[[#All],[kbli5]:[digital_hijau]],5,)</f>
        <v>#N/A</v>
      </c>
      <c r="G123" s="35" t="e">
        <f>VLOOKUP(Table13[[#This Row],[kbli5]],Table1[[#All],[kbli5]:[digital_hijau]],6,)</f>
        <v>#N/A</v>
      </c>
      <c r="H123" s="38" t="e">
        <f>VLOOKUP(Table13[[#This Row],[kbli5]],kata_kunci!$B:$H,3,FALSE)</f>
        <v>#N/A</v>
      </c>
      <c r="I123" s="84" t="e">
        <f>VLOOKUP(Table13[[#This Row],[kbli5]],kata_kunci!$B:$H,5,FALSE)</f>
        <v>#N/A</v>
      </c>
      <c r="J123" s="84" t="e">
        <f>VLOOKUP(Table13[[#This Row],[kbli5]],kata_kunci!$B:$H,6,FALSE)</f>
        <v>#N/A</v>
      </c>
      <c r="K123" s="84" t="e">
        <f>VLOOKUP(Table13[[#This Row],[kbli5]],kata_kunci!$B:$H,7,FALSE)</f>
        <v>#N/A</v>
      </c>
    </row>
    <row r="124" spans="1:11" ht="30.75" thickBot="1" x14ac:dyDescent="0.3">
      <c r="A124" s="35" t="s">
        <v>361</v>
      </c>
      <c r="B124" s="40" t="s">
        <v>362</v>
      </c>
      <c r="C124" s="41" t="s">
        <v>363</v>
      </c>
      <c r="D124" s="30" t="e">
        <f>VLOOKUP(Table13[[#This Row],[kbli5]],Table1[[#All],[kbli5]:[digital_hijau]],3,)</f>
        <v>#N/A</v>
      </c>
      <c r="E124" s="35" t="e">
        <f>VLOOKUP(Table13[[#This Row],[kbli5]],kata_kunci!$B:$H,4,FALSE)</f>
        <v>#N/A</v>
      </c>
      <c r="F124" s="35" t="e">
        <f>VLOOKUP(Table13[[#This Row],[kbli5]],Table1[[#All],[kbli5]:[digital_hijau]],5,)</f>
        <v>#N/A</v>
      </c>
      <c r="G124" s="35" t="e">
        <f>VLOOKUP(Table13[[#This Row],[kbli5]],Table1[[#All],[kbli5]:[digital_hijau]],6,)</f>
        <v>#N/A</v>
      </c>
      <c r="H124" s="38" t="e">
        <f>VLOOKUP(Table13[[#This Row],[kbli5]],kata_kunci!$B:$H,3,FALSE)</f>
        <v>#N/A</v>
      </c>
      <c r="I124" s="84" t="e">
        <f>VLOOKUP(Table13[[#This Row],[kbli5]],kata_kunci!$B:$H,5,FALSE)</f>
        <v>#N/A</v>
      </c>
      <c r="J124" s="84" t="e">
        <f>VLOOKUP(Table13[[#This Row],[kbli5]],kata_kunci!$B:$H,6,FALSE)</f>
        <v>#N/A</v>
      </c>
      <c r="K124" s="84" t="e">
        <f>VLOOKUP(Table13[[#This Row],[kbli5]],kata_kunci!$B:$H,7,FALSE)</f>
        <v>#N/A</v>
      </c>
    </row>
    <row r="125" spans="1:11" ht="45.75" thickBot="1" x14ac:dyDescent="0.3">
      <c r="A125" s="35" t="s">
        <v>361</v>
      </c>
      <c r="B125" s="40" t="s">
        <v>364</v>
      </c>
      <c r="C125" s="41" t="s">
        <v>365</v>
      </c>
      <c r="D125" s="30" t="e">
        <f>VLOOKUP(Table13[[#This Row],[kbli5]],Table1[[#All],[kbli5]:[digital_hijau]],3,)</f>
        <v>#N/A</v>
      </c>
      <c r="E125" s="35" t="e">
        <f>VLOOKUP(Table13[[#This Row],[kbli5]],kata_kunci!$B:$H,4,FALSE)</f>
        <v>#N/A</v>
      </c>
      <c r="F125" s="35" t="e">
        <f>VLOOKUP(Table13[[#This Row],[kbli5]],Table1[[#All],[kbli5]:[digital_hijau]],5,)</f>
        <v>#N/A</v>
      </c>
      <c r="G125" s="35" t="e">
        <f>VLOOKUP(Table13[[#This Row],[kbli5]],Table1[[#All],[kbli5]:[digital_hijau]],6,)</f>
        <v>#N/A</v>
      </c>
      <c r="H125" s="38" t="e">
        <f>VLOOKUP(Table13[[#This Row],[kbli5]],kata_kunci!$B:$H,3,FALSE)</f>
        <v>#N/A</v>
      </c>
      <c r="I125" s="84" t="e">
        <f>VLOOKUP(Table13[[#This Row],[kbli5]],kata_kunci!$B:$H,5,FALSE)</f>
        <v>#N/A</v>
      </c>
      <c r="J125" s="84" t="e">
        <f>VLOOKUP(Table13[[#This Row],[kbli5]],kata_kunci!$B:$H,6,FALSE)</f>
        <v>#N/A</v>
      </c>
      <c r="K125" s="84" t="e">
        <f>VLOOKUP(Table13[[#This Row],[kbli5]],kata_kunci!$B:$H,7,FALSE)</f>
        <v>#N/A</v>
      </c>
    </row>
    <row r="126" spans="1:11" ht="15.75" thickBot="1" x14ac:dyDescent="0.3">
      <c r="A126" s="35" t="s">
        <v>361</v>
      </c>
      <c r="B126" s="40" t="s">
        <v>366</v>
      </c>
      <c r="C126" s="41" t="s">
        <v>367</v>
      </c>
      <c r="D126" s="30" t="e">
        <f>VLOOKUP(Table13[[#This Row],[kbli5]],Table1[[#All],[kbli5]:[digital_hijau]],3,)</f>
        <v>#N/A</v>
      </c>
      <c r="E126" s="35" t="e">
        <f>VLOOKUP(Table13[[#This Row],[kbli5]],kata_kunci!$B:$H,4,FALSE)</f>
        <v>#N/A</v>
      </c>
      <c r="F126" s="35" t="e">
        <f>VLOOKUP(Table13[[#This Row],[kbli5]],Table1[[#All],[kbli5]:[digital_hijau]],5,)</f>
        <v>#N/A</v>
      </c>
      <c r="G126" s="35" t="e">
        <f>VLOOKUP(Table13[[#This Row],[kbli5]],Table1[[#All],[kbli5]:[digital_hijau]],6,)</f>
        <v>#N/A</v>
      </c>
      <c r="H126" s="38" t="e">
        <f>VLOOKUP(Table13[[#This Row],[kbli5]],kata_kunci!$B:$H,3,FALSE)</f>
        <v>#N/A</v>
      </c>
      <c r="I126" s="84" t="e">
        <f>VLOOKUP(Table13[[#This Row],[kbli5]],kata_kunci!$B:$H,5,FALSE)</f>
        <v>#N/A</v>
      </c>
      <c r="J126" s="84" t="e">
        <f>VLOOKUP(Table13[[#This Row],[kbli5]],kata_kunci!$B:$H,6,FALSE)</f>
        <v>#N/A</v>
      </c>
      <c r="K126" s="84" t="e">
        <f>VLOOKUP(Table13[[#This Row],[kbli5]],kata_kunci!$B:$H,7,FALSE)</f>
        <v>#N/A</v>
      </c>
    </row>
    <row r="127" spans="1:11" ht="30.75" thickBot="1" x14ac:dyDescent="0.3">
      <c r="A127" s="35" t="s">
        <v>361</v>
      </c>
      <c r="B127" s="40" t="s">
        <v>368</v>
      </c>
      <c r="C127" s="41" t="s">
        <v>369</v>
      </c>
      <c r="D127" s="30" t="e">
        <f>VLOOKUP(Table13[[#This Row],[kbli5]],Table1[[#All],[kbli5]:[digital_hijau]],3,)</f>
        <v>#N/A</v>
      </c>
      <c r="E127" s="35" t="e">
        <f>VLOOKUP(Table13[[#This Row],[kbli5]],kata_kunci!$B:$H,4,FALSE)</f>
        <v>#N/A</v>
      </c>
      <c r="F127" s="35" t="e">
        <f>VLOOKUP(Table13[[#This Row],[kbli5]],Table1[[#All],[kbli5]:[digital_hijau]],5,)</f>
        <v>#N/A</v>
      </c>
      <c r="G127" s="35" t="s">
        <v>2091</v>
      </c>
      <c r="H127" s="38" t="e">
        <f>VLOOKUP(Table13[[#This Row],[kbli5]],kata_kunci!$B:$H,3,FALSE)</f>
        <v>#N/A</v>
      </c>
      <c r="I127" s="84" t="e">
        <f>VLOOKUP(Table13[[#This Row],[kbli5]],kata_kunci!$B:$H,5,FALSE)</f>
        <v>#N/A</v>
      </c>
      <c r="J127" s="84" t="e">
        <f>VLOOKUP(Table13[[#This Row],[kbli5]],kata_kunci!$B:$H,6,FALSE)</f>
        <v>#N/A</v>
      </c>
      <c r="K127" s="84" t="e">
        <f>VLOOKUP(Table13[[#This Row],[kbli5]],kata_kunci!$B:$H,7,FALSE)</f>
        <v>#N/A</v>
      </c>
    </row>
    <row r="128" spans="1:11" ht="15.75" thickBot="1" x14ac:dyDescent="0.3">
      <c r="A128" s="35" t="s">
        <v>361</v>
      </c>
      <c r="B128" s="40" t="s">
        <v>370</v>
      </c>
      <c r="C128" s="41" t="s">
        <v>371</v>
      </c>
      <c r="D128" s="30" t="e">
        <f>VLOOKUP(Table13[[#This Row],[kbli5]],Table1[[#All],[kbli5]:[digital_hijau]],3,)</f>
        <v>#N/A</v>
      </c>
      <c r="E128" s="35" t="e">
        <f>VLOOKUP(Table13[[#This Row],[kbli5]],kata_kunci!$B:$H,4,FALSE)</f>
        <v>#N/A</v>
      </c>
      <c r="F128" s="35" t="e">
        <f>VLOOKUP(Table13[[#This Row],[kbli5]],Table1[[#All],[kbli5]:[digital_hijau]],5,)</f>
        <v>#N/A</v>
      </c>
      <c r="G128" s="35" t="s">
        <v>2091</v>
      </c>
      <c r="H128" s="38" t="e">
        <f>VLOOKUP(Table13[[#This Row],[kbli5]],kata_kunci!$B:$H,3,FALSE)</f>
        <v>#N/A</v>
      </c>
      <c r="I128" s="84" t="e">
        <f>VLOOKUP(Table13[[#This Row],[kbli5]],kata_kunci!$B:$H,5,FALSE)</f>
        <v>#N/A</v>
      </c>
      <c r="J128" s="84" t="e">
        <f>VLOOKUP(Table13[[#This Row],[kbli5]],kata_kunci!$B:$H,6,FALSE)</f>
        <v>#N/A</v>
      </c>
      <c r="K128" s="84" t="e">
        <f>VLOOKUP(Table13[[#This Row],[kbli5]],kata_kunci!$B:$H,7,FALSE)</f>
        <v>#N/A</v>
      </c>
    </row>
    <row r="129" spans="1:11" ht="30.75" thickBot="1" x14ac:dyDescent="0.3">
      <c r="A129" s="35" t="s">
        <v>361</v>
      </c>
      <c r="B129" s="40" t="s">
        <v>372</v>
      </c>
      <c r="C129" s="41" t="s">
        <v>373</v>
      </c>
      <c r="D129" s="30" t="e">
        <f>VLOOKUP(Table13[[#This Row],[kbli5]],Table1[[#All],[kbli5]:[digital_hijau]],3,)</f>
        <v>#N/A</v>
      </c>
      <c r="E129" s="35" t="e">
        <f>VLOOKUP(Table13[[#This Row],[kbli5]],kata_kunci!$B:$H,4,FALSE)</f>
        <v>#N/A</v>
      </c>
      <c r="F129" s="35" t="e">
        <f>VLOOKUP(Table13[[#This Row],[kbli5]],Table1[[#All],[kbli5]:[digital_hijau]],5,)</f>
        <v>#N/A</v>
      </c>
      <c r="G129" s="35" t="s">
        <v>2091</v>
      </c>
      <c r="H129" s="38" t="e">
        <f>VLOOKUP(Table13[[#This Row],[kbli5]],kata_kunci!$B:$H,3,FALSE)</f>
        <v>#N/A</v>
      </c>
      <c r="I129" s="84" t="e">
        <f>VLOOKUP(Table13[[#This Row],[kbli5]],kata_kunci!$B:$H,5,FALSE)</f>
        <v>#N/A</v>
      </c>
      <c r="J129" s="84" t="e">
        <f>VLOOKUP(Table13[[#This Row],[kbli5]],kata_kunci!$B:$H,6,FALSE)</f>
        <v>#N/A</v>
      </c>
      <c r="K129" s="84" t="e">
        <f>VLOOKUP(Table13[[#This Row],[kbli5]],kata_kunci!$B:$H,7,FALSE)</f>
        <v>#N/A</v>
      </c>
    </row>
    <row r="130" spans="1:11" ht="15.75" thickBot="1" x14ac:dyDescent="0.3">
      <c r="A130" s="35" t="s">
        <v>361</v>
      </c>
      <c r="B130" s="40" t="s">
        <v>374</v>
      </c>
      <c r="C130" s="41" t="s">
        <v>375</v>
      </c>
      <c r="D130" s="30" t="e">
        <f>VLOOKUP(Table13[[#This Row],[kbli5]],Table1[[#All],[kbli5]:[digital_hijau]],3,)</f>
        <v>#N/A</v>
      </c>
      <c r="E130" s="35" t="e">
        <f>VLOOKUP(Table13[[#This Row],[kbli5]],kata_kunci!$B:$H,4,FALSE)</f>
        <v>#N/A</v>
      </c>
      <c r="F130" s="35" t="e">
        <f>VLOOKUP(Table13[[#This Row],[kbli5]],Table1[[#All],[kbli5]:[digital_hijau]],5,)</f>
        <v>#N/A</v>
      </c>
      <c r="G130" s="35" t="s">
        <v>2091</v>
      </c>
      <c r="H130" s="38" t="e">
        <f>VLOOKUP(Table13[[#This Row],[kbli5]],kata_kunci!$B:$H,3,FALSE)</f>
        <v>#N/A</v>
      </c>
      <c r="I130" s="84" t="e">
        <f>VLOOKUP(Table13[[#This Row],[kbli5]],kata_kunci!$B:$H,5,FALSE)</f>
        <v>#N/A</v>
      </c>
      <c r="J130" s="84" t="e">
        <f>VLOOKUP(Table13[[#This Row],[kbli5]],kata_kunci!$B:$H,6,FALSE)</f>
        <v>#N/A</v>
      </c>
      <c r="K130" s="84" t="e">
        <f>VLOOKUP(Table13[[#This Row],[kbli5]],kata_kunci!$B:$H,7,FALSE)</f>
        <v>#N/A</v>
      </c>
    </row>
    <row r="131" spans="1:11" ht="15.75" thickBot="1" x14ac:dyDescent="0.3">
      <c r="A131" s="35" t="s">
        <v>361</v>
      </c>
      <c r="B131" s="40" t="s">
        <v>376</v>
      </c>
      <c r="C131" s="41" t="s">
        <v>377</v>
      </c>
      <c r="D131" s="30" t="e">
        <f>VLOOKUP(Table13[[#This Row],[kbli5]],Table1[[#All],[kbli5]:[digital_hijau]],3,)</f>
        <v>#N/A</v>
      </c>
      <c r="E131" s="35" t="e">
        <f>VLOOKUP(Table13[[#This Row],[kbli5]],kata_kunci!$B:$H,4,FALSE)</f>
        <v>#N/A</v>
      </c>
      <c r="F131" s="35" t="e">
        <f>VLOOKUP(Table13[[#This Row],[kbli5]],Table1[[#All],[kbli5]:[digital_hijau]],5,)</f>
        <v>#N/A</v>
      </c>
      <c r="G131" s="35" t="s">
        <v>2091</v>
      </c>
      <c r="H131" s="38" t="e">
        <f>VLOOKUP(Table13[[#This Row],[kbli5]],kata_kunci!$B:$H,3,FALSE)</f>
        <v>#N/A</v>
      </c>
      <c r="I131" s="84" t="e">
        <f>VLOOKUP(Table13[[#This Row],[kbli5]],kata_kunci!$B:$H,5,FALSE)</f>
        <v>#N/A</v>
      </c>
      <c r="J131" s="84" t="e">
        <f>VLOOKUP(Table13[[#This Row],[kbli5]],kata_kunci!$B:$H,6,FALSE)</f>
        <v>#N/A</v>
      </c>
      <c r="K131" s="84" t="e">
        <f>VLOOKUP(Table13[[#This Row],[kbli5]],kata_kunci!$B:$H,7,FALSE)</f>
        <v>#N/A</v>
      </c>
    </row>
    <row r="132" spans="1:11" ht="30.75" thickBot="1" x14ac:dyDescent="0.3">
      <c r="A132" s="35" t="s">
        <v>361</v>
      </c>
      <c r="B132" s="40" t="s">
        <v>378</v>
      </c>
      <c r="C132" s="41" t="s">
        <v>379</v>
      </c>
      <c r="D132" s="30" t="e">
        <f>VLOOKUP(Table13[[#This Row],[kbli5]],Table1[[#All],[kbli5]:[digital_hijau]],3,)</f>
        <v>#N/A</v>
      </c>
      <c r="E132" s="35" t="e">
        <f>VLOOKUP(Table13[[#This Row],[kbli5]],kata_kunci!$B:$H,4,FALSE)</f>
        <v>#N/A</v>
      </c>
      <c r="F132" s="35" t="e">
        <f>VLOOKUP(Table13[[#This Row],[kbli5]],Table1[[#All],[kbli5]:[digital_hijau]],5,)</f>
        <v>#N/A</v>
      </c>
      <c r="G132" s="35" t="s">
        <v>2091</v>
      </c>
      <c r="H132" s="38" t="e">
        <f>VLOOKUP(Table13[[#This Row],[kbli5]],kata_kunci!$B:$H,3,FALSE)</f>
        <v>#N/A</v>
      </c>
      <c r="I132" s="84" t="e">
        <f>VLOOKUP(Table13[[#This Row],[kbli5]],kata_kunci!$B:$H,5,FALSE)</f>
        <v>#N/A</v>
      </c>
      <c r="J132" s="84" t="e">
        <f>VLOOKUP(Table13[[#This Row],[kbli5]],kata_kunci!$B:$H,6,FALSE)</f>
        <v>#N/A</v>
      </c>
      <c r="K132" s="84" t="e">
        <f>VLOOKUP(Table13[[#This Row],[kbli5]],kata_kunci!$B:$H,7,FALSE)</f>
        <v>#N/A</v>
      </c>
    </row>
    <row r="133" spans="1:11" ht="30.75" thickBot="1" x14ac:dyDescent="0.3">
      <c r="A133" s="35" t="s">
        <v>361</v>
      </c>
      <c r="B133" s="40" t="s">
        <v>380</v>
      </c>
      <c r="C133" s="41" t="s">
        <v>381</v>
      </c>
      <c r="D133" s="30" t="e">
        <f>VLOOKUP(Table13[[#This Row],[kbli5]],Table1[[#All],[kbli5]:[digital_hijau]],3,)</f>
        <v>#N/A</v>
      </c>
      <c r="E133" s="35" t="e">
        <f>VLOOKUP(Table13[[#This Row],[kbli5]],kata_kunci!$B:$H,4,FALSE)</f>
        <v>#N/A</v>
      </c>
      <c r="F133" s="35" t="e">
        <f>VLOOKUP(Table13[[#This Row],[kbli5]],Table1[[#All],[kbli5]:[digital_hijau]],5,)</f>
        <v>#N/A</v>
      </c>
      <c r="G133" s="35" t="s">
        <v>2091</v>
      </c>
      <c r="H133" s="38" t="e">
        <f>VLOOKUP(Table13[[#This Row],[kbli5]],kata_kunci!$B:$H,3,FALSE)</f>
        <v>#N/A</v>
      </c>
      <c r="I133" s="84" t="e">
        <f>VLOOKUP(Table13[[#This Row],[kbli5]],kata_kunci!$B:$H,5,FALSE)</f>
        <v>#N/A</v>
      </c>
      <c r="J133" s="84" t="e">
        <f>VLOOKUP(Table13[[#This Row],[kbli5]],kata_kunci!$B:$H,6,FALSE)</f>
        <v>#N/A</v>
      </c>
      <c r="K133" s="84" t="e">
        <f>VLOOKUP(Table13[[#This Row],[kbli5]],kata_kunci!$B:$H,7,FALSE)</f>
        <v>#N/A</v>
      </c>
    </row>
    <row r="134" spans="1:11" ht="30.75" thickBot="1" x14ac:dyDescent="0.3">
      <c r="A134" s="35" t="s">
        <v>361</v>
      </c>
      <c r="B134" s="40" t="s">
        <v>382</v>
      </c>
      <c r="C134" s="41" t="s">
        <v>383</v>
      </c>
      <c r="D134" s="30" t="e">
        <f>VLOOKUP(Table13[[#This Row],[kbli5]],Table1[[#All],[kbli5]:[digital_hijau]],3,)</f>
        <v>#N/A</v>
      </c>
      <c r="E134" s="35" t="e">
        <f>VLOOKUP(Table13[[#This Row],[kbli5]],kata_kunci!$B:$H,4,FALSE)</f>
        <v>#N/A</v>
      </c>
      <c r="F134" s="35" t="e">
        <f>VLOOKUP(Table13[[#This Row],[kbli5]],Table1[[#All],[kbli5]:[digital_hijau]],5,)</f>
        <v>#N/A</v>
      </c>
      <c r="G134" s="35" t="s">
        <v>2091</v>
      </c>
      <c r="H134" s="38" t="e">
        <f>VLOOKUP(Table13[[#This Row],[kbli5]],kata_kunci!$B:$H,3,FALSE)</f>
        <v>#N/A</v>
      </c>
      <c r="I134" s="84" t="e">
        <f>VLOOKUP(Table13[[#This Row],[kbli5]],kata_kunci!$B:$H,5,FALSE)</f>
        <v>#N/A</v>
      </c>
      <c r="J134" s="84" t="e">
        <f>VLOOKUP(Table13[[#This Row],[kbli5]],kata_kunci!$B:$H,6,FALSE)</f>
        <v>#N/A</v>
      </c>
      <c r="K134" s="84" t="e">
        <f>VLOOKUP(Table13[[#This Row],[kbli5]],kata_kunci!$B:$H,7,FALSE)</f>
        <v>#N/A</v>
      </c>
    </row>
    <row r="135" spans="1:11" ht="30.75" thickBot="1" x14ac:dyDescent="0.3">
      <c r="A135" s="35" t="s">
        <v>361</v>
      </c>
      <c r="B135" s="40" t="s">
        <v>384</v>
      </c>
      <c r="C135" s="41" t="s">
        <v>385</v>
      </c>
      <c r="D135" s="30" t="e">
        <f>VLOOKUP(Table13[[#This Row],[kbli5]],Table1[[#All],[kbli5]:[digital_hijau]],3,)</f>
        <v>#N/A</v>
      </c>
      <c r="E135" s="35" t="e">
        <f>VLOOKUP(Table13[[#This Row],[kbli5]],kata_kunci!$B:$H,4,FALSE)</f>
        <v>#N/A</v>
      </c>
      <c r="F135" s="35" t="e">
        <f>VLOOKUP(Table13[[#This Row],[kbli5]],Table1[[#All],[kbli5]:[digital_hijau]],5,)</f>
        <v>#N/A</v>
      </c>
      <c r="G135" s="35" t="s">
        <v>2091</v>
      </c>
      <c r="H135" s="38" t="e">
        <f>VLOOKUP(Table13[[#This Row],[kbli5]],kata_kunci!$B:$H,3,FALSE)</f>
        <v>#N/A</v>
      </c>
      <c r="I135" s="84" t="e">
        <f>VLOOKUP(Table13[[#This Row],[kbli5]],kata_kunci!$B:$H,5,FALSE)</f>
        <v>#N/A</v>
      </c>
      <c r="J135" s="84" t="e">
        <f>VLOOKUP(Table13[[#This Row],[kbli5]],kata_kunci!$B:$H,6,FALSE)</f>
        <v>#N/A</v>
      </c>
      <c r="K135" s="84" t="e">
        <f>VLOOKUP(Table13[[#This Row],[kbli5]],kata_kunci!$B:$H,7,FALSE)</f>
        <v>#N/A</v>
      </c>
    </row>
    <row r="136" spans="1:11" ht="30.75" thickBot="1" x14ac:dyDescent="0.3">
      <c r="A136" s="35" t="s">
        <v>361</v>
      </c>
      <c r="B136" s="40" t="s">
        <v>386</v>
      </c>
      <c r="C136" s="41" t="s">
        <v>387</v>
      </c>
      <c r="D136" s="30" t="e">
        <f>VLOOKUP(Table13[[#This Row],[kbli5]],Table1[[#All],[kbli5]:[digital_hijau]],3,)</f>
        <v>#N/A</v>
      </c>
      <c r="E136" s="35" t="e">
        <f>VLOOKUP(Table13[[#This Row],[kbli5]],kata_kunci!$B:$H,4,FALSE)</f>
        <v>#N/A</v>
      </c>
      <c r="F136" s="35" t="e">
        <f>VLOOKUP(Table13[[#This Row],[kbli5]],Table1[[#All],[kbli5]:[digital_hijau]],5,)</f>
        <v>#N/A</v>
      </c>
      <c r="G136" s="35" t="s">
        <v>2091</v>
      </c>
      <c r="H136" s="38" t="e">
        <f>VLOOKUP(Table13[[#This Row],[kbli5]],kata_kunci!$B:$H,3,FALSE)</f>
        <v>#N/A</v>
      </c>
      <c r="I136" s="84" t="e">
        <f>VLOOKUP(Table13[[#This Row],[kbli5]],kata_kunci!$B:$H,5,FALSE)</f>
        <v>#N/A</v>
      </c>
      <c r="J136" s="84" t="e">
        <f>VLOOKUP(Table13[[#This Row],[kbli5]],kata_kunci!$B:$H,6,FALSE)</f>
        <v>#N/A</v>
      </c>
      <c r="K136" s="84" t="e">
        <f>VLOOKUP(Table13[[#This Row],[kbli5]],kata_kunci!$B:$H,7,FALSE)</f>
        <v>#N/A</v>
      </c>
    </row>
    <row r="137" spans="1:11" ht="30.75" thickBot="1" x14ac:dyDescent="0.3">
      <c r="A137" s="35" t="s">
        <v>361</v>
      </c>
      <c r="B137" s="40" t="s">
        <v>388</v>
      </c>
      <c r="C137" s="41" t="s">
        <v>389</v>
      </c>
      <c r="D137" s="30" t="e">
        <f>VLOOKUP(Table13[[#This Row],[kbli5]],Table1[[#All],[kbli5]:[digital_hijau]],3,)</f>
        <v>#N/A</v>
      </c>
      <c r="E137" s="35" t="e">
        <f>VLOOKUP(Table13[[#This Row],[kbli5]],kata_kunci!$B:$H,4,FALSE)</f>
        <v>#N/A</v>
      </c>
      <c r="F137" s="35" t="e">
        <f>VLOOKUP(Table13[[#This Row],[kbli5]],Table1[[#All],[kbli5]:[digital_hijau]],5,)</f>
        <v>#N/A</v>
      </c>
      <c r="G137" s="35" t="s">
        <v>2091</v>
      </c>
      <c r="H137" s="38" t="e">
        <f>VLOOKUP(Table13[[#This Row],[kbli5]],kata_kunci!$B:$H,3,FALSE)</f>
        <v>#N/A</v>
      </c>
      <c r="I137" s="84" t="e">
        <f>VLOOKUP(Table13[[#This Row],[kbli5]],kata_kunci!$B:$H,5,FALSE)</f>
        <v>#N/A</v>
      </c>
      <c r="J137" s="84" t="e">
        <f>VLOOKUP(Table13[[#This Row],[kbli5]],kata_kunci!$B:$H,6,FALSE)</f>
        <v>#N/A</v>
      </c>
      <c r="K137" s="84" t="e">
        <f>VLOOKUP(Table13[[#This Row],[kbli5]],kata_kunci!$B:$H,7,FALSE)</f>
        <v>#N/A</v>
      </c>
    </row>
    <row r="138" spans="1:11" ht="30.75" thickBot="1" x14ac:dyDescent="0.3">
      <c r="A138" s="35" t="s">
        <v>361</v>
      </c>
      <c r="B138" s="40" t="s">
        <v>390</v>
      </c>
      <c r="C138" s="41" t="s">
        <v>391</v>
      </c>
      <c r="D138" s="30" t="e">
        <f>VLOOKUP(Table13[[#This Row],[kbli5]],Table1[[#All],[kbli5]:[digital_hijau]],3,)</f>
        <v>#N/A</v>
      </c>
      <c r="E138" s="35" t="e">
        <f>VLOOKUP(Table13[[#This Row],[kbli5]],kata_kunci!$B:$H,4,FALSE)</f>
        <v>#N/A</v>
      </c>
      <c r="F138" s="35" t="e">
        <f>VLOOKUP(Table13[[#This Row],[kbli5]],Table1[[#All],[kbli5]:[digital_hijau]],5,)</f>
        <v>#N/A</v>
      </c>
      <c r="G138" s="35" t="s">
        <v>2091</v>
      </c>
      <c r="H138" s="38" t="e">
        <f>VLOOKUP(Table13[[#This Row],[kbli5]],kata_kunci!$B:$H,3,FALSE)</f>
        <v>#N/A</v>
      </c>
      <c r="I138" s="84" t="e">
        <f>VLOOKUP(Table13[[#This Row],[kbli5]],kata_kunci!$B:$H,5,FALSE)</f>
        <v>#N/A</v>
      </c>
      <c r="J138" s="84" t="e">
        <f>VLOOKUP(Table13[[#This Row],[kbli5]],kata_kunci!$B:$H,6,FALSE)</f>
        <v>#N/A</v>
      </c>
      <c r="K138" s="84" t="e">
        <f>VLOOKUP(Table13[[#This Row],[kbli5]],kata_kunci!$B:$H,7,FALSE)</f>
        <v>#N/A</v>
      </c>
    </row>
    <row r="139" spans="1:11" ht="30.75" thickBot="1" x14ac:dyDescent="0.3">
      <c r="A139" s="35" t="s">
        <v>361</v>
      </c>
      <c r="B139" s="40" t="s">
        <v>392</v>
      </c>
      <c r="C139" s="41" t="s">
        <v>393</v>
      </c>
      <c r="D139" s="30" t="e">
        <f>VLOOKUP(Table13[[#This Row],[kbli5]],Table1[[#All],[kbli5]:[digital_hijau]],3,)</f>
        <v>#N/A</v>
      </c>
      <c r="E139" s="35" t="e">
        <f>VLOOKUP(Table13[[#This Row],[kbli5]],kata_kunci!$B:$H,4,FALSE)</f>
        <v>#N/A</v>
      </c>
      <c r="F139" s="35" t="e">
        <f>VLOOKUP(Table13[[#This Row],[kbli5]],Table1[[#All],[kbli5]:[digital_hijau]],5,)</f>
        <v>#N/A</v>
      </c>
      <c r="G139" s="35" t="s">
        <v>2091</v>
      </c>
      <c r="H139" s="38" t="e">
        <f>VLOOKUP(Table13[[#This Row],[kbli5]],kata_kunci!$B:$H,3,FALSE)</f>
        <v>#N/A</v>
      </c>
      <c r="I139" s="84" t="e">
        <f>VLOOKUP(Table13[[#This Row],[kbli5]],kata_kunci!$B:$H,5,FALSE)</f>
        <v>#N/A</v>
      </c>
      <c r="J139" s="84" t="e">
        <f>VLOOKUP(Table13[[#This Row],[kbli5]],kata_kunci!$B:$H,6,FALSE)</f>
        <v>#N/A</v>
      </c>
      <c r="K139" s="84" t="e">
        <f>VLOOKUP(Table13[[#This Row],[kbli5]],kata_kunci!$B:$H,7,FALSE)</f>
        <v>#N/A</v>
      </c>
    </row>
    <row r="140" spans="1:11" ht="30.75" thickBot="1" x14ac:dyDescent="0.3">
      <c r="A140" s="35" t="s">
        <v>361</v>
      </c>
      <c r="B140" s="40" t="s">
        <v>394</v>
      </c>
      <c r="C140" s="41" t="s">
        <v>395</v>
      </c>
      <c r="D140" s="30" t="e">
        <f>VLOOKUP(Table13[[#This Row],[kbli5]],Table1[[#All],[kbli5]:[digital_hijau]],3,)</f>
        <v>#N/A</v>
      </c>
      <c r="E140" s="35" t="e">
        <f>VLOOKUP(Table13[[#This Row],[kbli5]],kata_kunci!$B:$H,4,FALSE)</f>
        <v>#N/A</v>
      </c>
      <c r="F140" s="35" t="e">
        <f>VLOOKUP(Table13[[#This Row],[kbli5]],Table1[[#All],[kbli5]:[digital_hijau]],5,)</f>
        <v>#N/A</v>
      </c>
      <c r="G140" s="35" t="e">
        <f>VLOOKUP(Table13[[#This Row],[kbli5]],Table1[[#All],[kbli5]:[digital_hijau]],6,)</f>
        <v>#N/A</v>
      </c>
      <c r="H140" s="38" t="e">
        <f>VLOOKUP(Table13[[#This Row],[kbli5]],kata_kunci!$B:$H,3,FALSE)</f>
        <v>#N/A</v>
      </c>
      <c r="I140" s="84" t="e">
        <f>VLOOKUP(Table13[[#This Row],[kbli5]],kata_kunci!$B:$H,5,FALSE)</f>
        <v>#N/A</v>
      </c>
      <c r="J140" s="84" t="e">
        <f>VLOOKUP(Table13[[#This Row],[kbli5]],kata_kunci!$B:$H,6,FALSE)</f>
        <v>#N/A</v>
      </c>
      <c r="K140" s="84" t="e">
        <f>VLOOKUP(Table13[[#This Row],[kbli5]],kata_kunci!$B:$H,7,FALSE)</f>
        <v>#N/A</v>
      </c>
    </row>
    <row r="141" spans="1:11" ht="45.75" thickBot="1" x14ac:dyDescent="0.3">
      <c r="A141" s="35" t="s">
        <v>361</v>
      </c>
      <c r="B141" s="40" t="s">
        <v>396</v>
      </c>
      <c r="C141" s="41" t="s">
        <v>397</v>
      </c>
      <c r="D141" s="30" t="e">
        <f>VLOOKUP(Table13[[#This Row],[kbli5]],Table1[[#All],[kbli5]:[digital_hijau]],3,)</f>
        <v>#N/A</v>
      </c>
      <c r="E141" s="35" t="e">
        <f>VLOOKUP(Table13[[#This Row],[kbli5]],kata_kunci!$B:$H,4,FALSE)</f>
        <v>#N/A</v>
      </c>
      <c r="F141" s="35" t="e">
        <f>VLOOKUP(Table13[[#This Row],[kbli5]],Table1[[#All],[kbli5]:[digital_hijau]],5,)</f>
        <v>#N/A</v>
      </c>
      <c r="G141" s="35" t="e">
        <f>VLOOKUP(Table13[[#This Row],[kbli5]],Table1[[#All],[kbli5]:[digital_hijau]],6,)</f>
        <v>#N/A</v>
      </c>
      <c r="H141" s="38" t="e">
        <f>VLOOKUP(Table13[[#This Row],[kbli5]],kata_kunci!$B:$H,3,FALSE)</f>
        <v>#N/A</v>
      </c>
      <c r="I141" s="84" t="e">
        <f>VLOOKUP(Table13[[#This Row],[kbli5]],kata_kunci!$B:$H,5,FALSE)</f>
        <v>#N/A</v>
      </c>
      <c r="J141" s="84" t="e">
        <f>VLOOKUP(Table13[[#This Row],[kbli5]],kata_kunci!$B:$H,6,FALSE)</f>
        <v>#N/A</v>
      </c>
      <c r="K141" s="84" t="e">
        <f>VLOOKUP(Table13[[#This Row],[kbli5]],kata_kunci!$B:$H,7,FALSE)</f>
        <v>#N/A</v>
      </c>
    </row>
    <row r="142" spans="1:11" ht="30.75" thickBot="1" x14ac:dyDescent="0.3">
      <c r="A142" s="35" t="s">
        <v>361</v>
      </c>
      <c r="B142" s="40" t="s">
        <v>398</v>
      </c>
      <c r="C142" s="41" t="s">
        <v>399</v>
      </c>
      <c r="D142" s="30" t="e">
        <f>VLOOKUP(Table13[[#This Row],[kbli5]],Table1[[#All],[kbli5]:[digital_hijau]],3,)</f>
        <v>#N/A</v>
      </c>
      <c r="E142" s="35" t="e">
        <f>VLOOKUP(Table13[[#This Row],[kbli5]],kata_kunci!$B:$H,4,FALSE)</f>
        <v>#N/A</v>
      </c>
      <c r="F142" s="35" t="e">
        <f>VLOOKUP(Table13[[#This Row],[kbli5]],Table1[[#All],[kbli5]:[digital_hijau]],5,)</f>
        <v>#N/A</v>
      </c>
      <c r="G142" s="35" t="e">
        <f>VLOOKUP(Table13[[#This Row],[kbli5]],Table1[[#All],[kbli5]:[digital_hijau]],6,)</f>
        <v>#N/A</v>
      </c>
      <c r="H142" s="38" t="e">
        <f>VLOOKUP(Table13[[#This Row],[kbli5]],kata_kunci!$B:$H,3,FALSE)</f>
        <v>#N/A</v>
      </c>
      <c r="I142" s="84" t="e">
        <f>VLOOKUP(Table13[[#This Row],[kbli5]],kata_kunci!$B:$H,5,FALSE)</f>
        <v>#N/A</v>
      </c>
      <c r="J142" s="84" t="e">
        <f>VLOOKUP(Table13[[#This Row],[kbli5]],kata_kunci!$B:$H,6,FALSE)</f>
        <v>#N/A</v>
      </c>
      <c r="K142" s="84" t="e">
        <f>VLOOKUP(Table13[[#This Row],[kbli5]],kata_kunci!$B:$H,7,FALSE)</f>
        <v>#N/A</v>
      </c>
    </row>
    <row r="143" spans="1:11" ht="30.75" thickBot="1" x14ac:dyDescent="0.3">
      <c r="A143" s="35" t="s">
        <v>361</v>
      </c>
      <c r="B143" s="40" t="s">
        <v>400</v>
      </c>
      <c r="C143" s="41" t="s">
        <v>401</v>
      </c>
      <c r="D143" s="30" t="e">
        <f>VLOOKUP(Table13[[#This Row],[kbli5]],Table1[[#All],[kbli5]:[digital_hijau]],3,)</f>
        <v>#N/A</v>
      </c>
      <c r="E143" s="35" t="e">
        <f>VLOOKUP(Table13[[#This Row],[kbli5]],kata_kunci!$B:$H,4,FALSE)</f>
        <v>#N/A</v>
      </c>
      <c r="F143" s="35" t="e">
        <f>VLOOKUP(Table13[[#This Row],[kbli5]],Table1[[#All],[kbli5]:[digital_hijau]],5,)</f>
        <v>#N/A</v>
      </c>
      <c r="G143" s="35" t="e">
        <f>VLOOKUP(Table13[[#This Row],[kbli5]],Table1[[#All],[kbli5]:[digital_hijau]],6,)</f>
        <v>#N/A</v>
      </c>
      <c r="H143" s="38" t="e">
        <f>VLOOKUP(Table13[[#This Row],[kbli5]],kata_kunci!$B:$H,3,FALSE)</f>
        <v>#N/A</v>
      </c>
      <c r="I143" s="84" t="e">
        <f>VLOOKUP(Table13[[#This Row],[kbli5]],kata_kunci!$B:$H,5,FALSE)</f>
        <v>#N/A</v>
      </c>
      <c r="J143" s="84" t="e">
        <f>VLOOKUP(Table13[[#This Row],[kbli5]],kata_kunci!$B:$H,6,FALSE)</f>
        <v>#N/A</v>
      </c>
      <c r="K143" s="84" t="e">
        <f>VLOOKUP(Table13[[#This Row],[kbli5]],kata_kunci!$B:$H,7,FALSE)</f>
        <v>#N/A</v>
      </c>
    </row>
    <row r="144" spans="1:11" ht="15.75" thickBot="1" x14ac:dyDescent="0.3">
      <c r="A144" s="35" t="s">
        <v>361</v>
      </c>
      <c r="B144" s="40" t="s">
        <v>402</v>
      </c>
      <c r="C144" s="41" t="s">
        <v>403</v>
      </c>
      <c r="D144" s="30" t="e">
        <f>VLOOKUP(Table13[[#This Row],[kbli5]],Table1[[#All],[kbli5]:[digital_hijau]],3,)</f>
        <v>#N/A</v>
      </c>
      <c r="E144" s="35" t="e">
        <f>VLOOKUP(Table13[[#This Row],[kbli5]],kata_kunci!$B:$H,4,FALSE)</f>
        <v>#N/A</v>
      </c>
      <c r="F144" s="35" t="e">
        <f>VLOOKUP(Table13[[#This Row],[kbli5]],Table1[[#All],[kbli5]:[digital_hijau]],5,)</f>
        <v>#N/A</v>
      </c>
      <c r="G144" s="35" t="e">
        <f>VLOOKUP(Table13[[#This Row],[kbli5]],Table1[[#All],[kbli5]:[digital_hijau]],6,)</f>
        <v>#N/A</v>
      </c>
      <c r="H144" s="38" t="e">
        <f>VLOOKUP(Table13[[#This Row],[kbli5]],kata_kunci!$B:$H,3,FALSE)</f>
        <v>#N/A</v>
      </c>
      <c r="I144" s="84" t="e">
        <f>VLOOKUP(Table13[[#This Row],[kbli5]],kata_kunci!$B:$H,5,FALSE)</f>
        <v>#N/A</v>
      </c>
      <c r="J144" s="84" t="e">
        <f>VLOOKUP(Table13[[#This Row],[kbli5]],kata_kunci!$B:$H,6,FALSE)</f>
        <v>#N/A</v>
      </c>
      <c r="K144" s="84" t="e">
        <f>VLOOKUP(Table13[[#This Row],[kbli5]],kata_kunci!$B:$H,7,FALSE)</f>
        <v>#N/A</v>
      </c>
    </row>
    <row r="145" spans="1:11" ht="15.75" thickBot="1" x14ac:dyDescent="0.3">
      <c r="A145" s="35" t="s">
        <v>361</v>
      </c>
      <c r="B145" s="40" t="s">
        <v>404</v>
      </c>
      <c r="C145" s="41" t="s">
        <v>405</v>
      </c>
      <c r="D145" s="30" t="e">
        <f>VLOOKUP(Table13[[#This Row],[kbli5]],Table1[[#All],[kbli5]:[digital_hijau]],3,)</f>
        <v>#N/A</v>
      </c>
      <c r="E145" s="35" t="e">
        <f>VLOOKUP(Table13[[#This Row],[kbli5]],kata_kunci!$B:$H,4,FALSE)</f>
        <v>#N/A</v>
      </c>
      <c r="F145" s="35" t="e">
        <f>VLOOKUP(Table13[[#This Row],[kbli5]],Table1[[#All],[kbli5]:[digital_hijau]],5,)</f>
        <v>#N/A</v>
      </c>
      <c r="G145" s="35" t="e">
        <f>VLOOKUP(Table13[[#This Row],[kbli5]],Table1[[#All],[kbli5]:[digital_hijau]],6,)</f>
        <v>#N/A</v>
      </c>
      <c r="H145" s="38" t="e">
        <f>VLOOKUP(Table13[[#This Row],[kbli5]],kata_kunci!$B:$H,3,FALSE)</f>
        <v>#N/A</v>
      </c>
      <c r="I145" s="84" t="e">
        <f>VLOOKUP(Table13[[#This Row],[kbli5]],kata_kunci!$B:$H,5,FALSE)</f>
        <v>#N/A</v>
      </c>
      <c r="J145" s="84" t="e">
        <f>VLOOKUP(Table13[[#This Row],[kbli5]],kata_kunci!$B:$H,6,FALSE)</f>
        <v>#N/A</v>
      </c>
      <c r="K145" s="84" t="e">
        <f>VLOOKUP(Table13[[#This Row],[kbli5]],kata_kunci!$B:$H,7,FALSE)</f>
        <v>#N/A</v>
      </c>
    </row>
    <row r="146" spans="1:11" ht="30.75" thickBot="1" x14ac:dyDescent="0.3">
      <c r="A146" s="35" t="s">
        <v>361</v>
      </c>
      <c r="B146" s="40" t="s">
        <v>406</v>
      </c>
      <c r="C146" s="41" t="s">
        <v>407</v>
      </c>
      <c r="D146" s="30" t="e">
        <f>VLOOKUP(Table13[[#This Row],[kbli5]],Table1[[#All],[kbli5]:[digital_hijau]],3,)</f>
        <v>#N/A</v>
      </c>
      <c r="E146" s="35" t="e">
        <f>VLOOKUP(Table13[[#This Row],[kbli5]],kata_kunci!$B:$H,4,FALSE)</f>
        <v>#N/A</v>
      </c>
      <c r="F146" s="35" t="e">
        <f>VLOOKUP(Table13[[#This Row],[kbli5]],Table1[[#All],[kbli5]:[digital_hijau]],5,)</f>
        <v>#N/A</v>
      </c>
      <c r="G146" s="35" t="e">
        <f>VLOOKUP(Table13[[#This Row],[kbli5]],Table1[[#All],[kbli5]:[digital_hijau]],6,)</f>
        <v>#N/A</v>
      </c>
      <c r="H146" s="38" t="e">
        <f>VLOOKUP(Table13[[#This Row],[kbli5]],kata_kunci!$B:$H,3,FALSE)</f>
        <v>#N/A</v>
      </c>
      <c r="I146" s="84" t="e">
        <f>VLOOKUP(Table13[[#This Row],[kbli5]],kata_kunci!$B:$H,5,FALSE)</f>
        <v>#N/A</v>
      </c>
      <c r="J146" s="84" t="e">
        <f>VLOOKUP(Table13[[#This Row],[kbli5]],kata_kunci!$B:$H,6,FALSE)</f>
        <v>#N/A</v>
      </c>
      <c r="K146" s="84" t="e">
        <f>VLOOKUP(Table13[[#This Row],[kbli5]],kata_kunci!$B:$H,7,FALSE)</f>
        <v>#N/A</v>
      </c>
    </row>
    <row r="147" spans="1:11" ht="15.75" thickBot="1" x14ac:dyDescent="0.3">
      <c r="A147" s="35" t="s">
        <v>361</v>
      </c>
      <c r="B147" s="40" t="s">
        <v>408</v>
      </c>
      <c r="C147" s="41" t="s">
        <v>409</v>
      </c>
      <c r="D147" s="30" t="e">
        <f>VLOOKUP(Table13[[#This Row],[kbli5]],Table1[[#All],[kbli5]:[digital_hijau]],3,)</f>
        <v>#N/A</v>
      </c>
      <c r="E147" s="35" t="e">
        <f>VLOOKUP(Table13[[#This Row],[kbli5]],kata_kunci!$B:$H,4,FALSE)</f>
        <v>#N/A</v>
      </c>
      <c r="F147" s="35" t="e">
        <f>VLOOKUP(Table13[[#This Row],[kbli5]],Table1[[#All],[kbli5]:[digital_hijau]],5,)</f>
        <v>#N/A</v>
      </c>
      <c r="G147" s="35" t="e">
        <f>VLOOKUP(Table13[[#This Row],[kbli5]],Table1[[#All],[kbli5]:[digital_hijau]],6,)</f>
        <v>#N/A</v>
      </c>
      <c r="H147" s="38" t="e">
        <f>VLOOKUP(Table13[[#This Row],[kbli5]],kata_kunci!$B:$H,3,FALSE)</f>
        <v>#N/A</v>
      </c>
      <c r="I147" s="84" t="e">
        <f>VLOOKUP(Table13[[#This Row],[kbli5]],kata_kunci!$B:$H,5,FALSE)</f>
        <v>#N/A</v>
      </c>
      <c r="J147" s="84" t="e">
        <f>VLOOKUP(Table13[[#This Row],[kbli5]],kata_kunci!$B:$H,6,FALSE)</f>
        <v>#N/A</v>
      </c>
      <c r="K147" s="84" t="e">
        <f>VLOOKUP(Table13[[#This Row],[kbli5]],kata_kunci!$B:$H,7,FALSE)</f>
        <v>#N/A</v>
      </c>
    </row>
    <row r="148" spans="1:11" ht="15.75" thickBot="1" x14ac:dyDescent="0.3">
      <c r="A148" s="35" t="s">
        <v>361</v>
      </c>
      <c r="B148" s="40" t="s">
        <v>410</v>
      </c>
      <c r="C148" s="41" t="s">
        <v>411</v>
      </c>
      <c r="D148" s="30" t="e">
        <f>VLOOKUP(Table13[[#This Row],[kbli5]],Table1[[#All],[kbli5]:[digital_hijau]],3,)</f>
        <v>#N/A</v>
      </c>
      <c r="E148" s="35" t="e">
        <f>VLOOKUP(Table13[[#This Row],[kbli5]],kata_kunci!$B:$H,4,FALSE)</f>
        <v>#N/A</v>
      </c>
      <c r="F148" s="35" t="e">
        <f>VLOOKUP(Table13[[#This Row],[kbli5]],Table1[[#All],[kbli5]:[digital_hijau]],5,)</f>
        <v>#N/A</v>
      </c>
      <c r="G148" s="35" t="e">
        <f>VLOOKUP(Table13[[#This Row],[kbli5]],Table1[[#All],[kbli5]:[digital_hijau]],6,)</f>
        <v>#N/A</v>
      </c>
      <c r="H148" s="38" t="e">
        <f>VLOOKUP(Table13[[#This Row],[kbli5]],kata_kunci!$B:$H,3,FALSE)</f>
        <v>#N/A</v>
      </c>
      <c r="I148" s="84" t="e">
        <f>VLOOKUP(Table13[[#This Row],[kbli5]],kata_kunci!$B:$H,5,FALSE)</f>
        <v>#N/A</v>
      </c>
      <c r="J148" s="84" t="e">
        <f>VLOOKUP(Table13[[#This Row],[kbli5]],kata_kunci!$B:$H,6,FALSE)</f>
        <v>#N/A</v>
      </c>
      <c r="K148" s="84" t="e">
        <f>VLOOKUP(Table13[[#This Row],[kbli5]],kata_kunci!$B:$H,7,FALSE)</f>
        <v>#N/A</v>
      </c>
    </row>
    <row r="149" spans="1:11" ht="15.75" thickBot="1" x14ac:dyDescent="0.3">
      <c r="A149" s="35" t="s">
        <v>361</v>
      </c>
      <c r="B149" s="40" t="s">
        <v>412</v>
      </c>
      <c r="C149" s="41" t="s">
        <v>413</v>
      </c>
      <c r="D149" s="30" t="e">
        <f>VLOOKUP(Table13[[#This Row],[kbli5]],Table1[[#All],[kbli5]:[digital_hijau]],3,)</f>
        <v>#N/A</v>
      </c>
      <c r="E149" s="35" t="e">
        <f>VLOOKUP(Table13[[#This Row],[kbli5]],kata_kunci!$B:$H,4,FALSE)</f>
        <v>#N/A</v>
      </c>
      <c r="F149" s="35" t="e">
        <f>VLOOKUP(Table13[[#This Row],[kbli5]],Table1[[#All],[kbli5]:[digital_hijau]],5,)</f>
        <v>#N/A</v>
      </c>
      <c r="G149" s="35" t="e">
        <f>VLOOKUP(Table13[[#This Row],[kbli5]],Table1[[#All],[kbli5]:[digital_hijau]],6,)</f>
        <v>#N/A</v>
      </c>
      <c r="H149" s="38" t="e">
        <f>VLOOKUP(Table13[[#This Row],[kbli5]],kata_kunci!$B:$H,3,FALSE)</f>
        <v>#N/A</v>
      </c>
      <c r="I149" s="84" t="e">
        <f>VLOOKUP(Table13[[#This Row],[kbli5]],kata_kunci!$B:$H,5,FALSE)</f>
        <v>#N/A</v>
      </c>
      <c r="J149" s="84" t="e">
        <f>VLOOKUP(Table13[[#This Row],[kbli5]],kata_kunci!$B:$H,6,FALSE)</f>
        <v>#N/A</v>
      </c>
      <c r="K149" s="84" t="e">
        <f>VLOOKUP(Table13[[#This Row],[kbli5]],kata_kunci!$B:$H,7,FALSE)</f>
        <v>#N/A</v>
      </c>
    </row>
    <row r="150" spans="1:11" ht="30.75" thickBot="1" x14ac:dyDescent="0.3">
      <c r="A150" s="35" t="s">
        <v>361</v>
      </c>
      <c r="B150" s="40" t="s">
        <v>414</v>
      </c>
      <c r="C150" s="41" t="s">
        <v>415</v>
      </c>
      <c r="D150" s="30" t="e">
        <f>VLOOKUP(Table13[[#This Row],[kbli5]],Table1[[#All],[kbli5]:[digital_hijau]],3,)</f>
        <v>#N/A</v>
      </c>
      <c r="E150" s="35" t="e">
        <f>VLOOKUP(Table13[[#This Row],[kbli5]],kata_kunci!$B:$H,4,FALSE)</f>
        <v>#N/A</v>
      </c>
      <c r="F150" s="35" t="e">
        <f>VLOOKUP(Table13[[#This Row],[kbli5]],Table1[[#All],[kbli5]:[digital_hijau]],5,)</f>
        <v>#N/A</v>
      </c>
      <c r="G150" s="35" t="e">
        <f>VLOOKUP(Table13[[#This Row],[kbli5]],Table1[[#All],[kbli5]:[digital_hijau]],6,)</f>
        <v>#N/A</v>
      </c>
      <c r="H150" s="38" t="e">
        <f>VLOOKUP(Table13[[#This Row],[kbli5]],kata_kunci!$B:$H,3,FALSE)</f>
        <v>#N/A</v>
      </c>
      <c r="I150" s="84" t="e">
        <f>VLOOKUP(Table13[[#This Row],[kbli5]],kata_kunci!$B:$H,5,FALSE)</f>
        <v>#N/A</v>
      </c>
      <c r="J150" s="84" t="e">
        <f>VLOOKUP(Table13[[#This Row],[kbli5]],kata_kunci!$B:$H,6,FALSE)</f>
        <v>#N/A</v>
      </c>
      <c r="K150" s="84" t="e">
        <f>VLOOKUP(Table13[[#This Row],[kbli5]],kata_kunci!$B:$H,7,FALSE)</f>
        <v>#N/A</v>
      </c>
    </row>
    <row r="151" spans="1:11" ht="15.75" thickBot="1" x14ac:dyDescent="0.3">
      <c r="A151" s="35" t="s">
        <v>361</v>
      </c>
      <c r="B151" s="40" t="s">
        <v>416</v>
      </c>
      <c r="C151" s="41" t="s">
        <v>417</v>
      </c>
      <c r="D151" s="30" t="e">
        <f>VLOOKUP(Table13[[#This Row],[kbli5]],Table1[[#All],[kbli5]:[digital_hijau]],3,)</f>
        <v>#N/A</v>
      </c>
      <c r="E151" s="35" t="e">
        <f>VLOOKUP(Table13[[#This Row],[kbli5]],kata_kunci!$B:$H,4,FALSE)</f>
        <v>#N/A</v>
      </c>
      <c r="F151" s="35" t="e">
        <f>VLOOKUP(Table13[[#This Row],[kbli5]],Table1[[#All],[kbli5]:[digital_hijau]],5,)</f>
        <v>#N/A</v>
      </c>
      <c r="G151" s="35" t="e">
        <f>VLOOKUP(Table13[[#This Row],[kbli5]],Table1[[#All],[kbli5]:[digital_hijau]],6,)</f>
        <v>#N/A</v>
      </c>
      <c r="H151" s="38" t="e">
        <f>VLOOKUP(Table13[[#This Row],[kbli5]],kata_kunci!$B:$H,3,FALSE)</f>
        <v>#N/A</v>
      </c>
      <c r="I151" s="84" t="e">
        <f>VLOOKUP(Table13[[#This Row],[kbli5]],kata_kunci!$B:$H,5,FALSE)</f>
        <v>#N/A</v>
      </c>
      <c r="J151" s="84" t="e">
        <f>VLOOKUP(Table13[[#This Row],[kbli5]],kata_kunci!$B:$H,6,FALSE)</f>
        <v>#N/A</v>
      </c>
      <c r="K151" s="84" t="e">
        <f>VLOOKUP(Table13[[#This Row],[kbli5]],kata_kunci!$B:$H,7,FALSE)</f>
        <v>#N/A</v>
      </c>
    </row>
    <row r="152" spans="1:11" ht="15.75" thickBot="1" x14ac:dyDescent="0.3">
      <c r="A152" s="35" t="s">
        <v>361</v>
      </c>
      <c r="B152" s="40" t="s">
        <v>418</v>
      </c>
      <c r="C152" s="41" t="s">
        <v>419</v>
      </c>
      <c r="D152" s="30" t="e">
        <f>VLOOKUP(Table13[[#This Row],[kbli5]],Table1[[#All],[kbli5]:[digital_hijau]],3,)</f>
        <v>#N/A</v>
      </c>
      <c r="E152" s="35" t="e">
        <f>VLOOKUP(Table13[[#This Row],[kbli5]],kata_kunci!$B:$H,4,FALSE)</f>
        <v>#N/A</v>
      </c>
      <c r="F152" s="35" t="e">
        <f>VLOOKUP(Table13[[#This Row],[kbli5]],Table1[[#All],[kbli5]:[digital_hijau]],5,)</f>
        <v>#N/A</v>
      </c>
      <c r="G152" s="35" t="e">
        <f>VLOOKUP(Table13[[#This Row],[kbli5]],Table1[[#All],[kbli5]:[digital_hijau]],6,)</f>
        <v>#N/A</v>
      </c>
      <c r="H152" s="38" t="e">
        <f>VLOOKUP(Table13[[#This Row],[kbli5]],kata_kunci!$B:$H,3,FALSE)</f>
        <v>#N/A</v>
      </c>
      <c r="I152" s="84" t="e">
        <f>VLOOKUP(Table13[[#This Row],[kbli5]],kata_kunci!$B:$H,5,FALSE)</f>
        <v>#N/A</v>
      </c>
      <c r="J152" s="84" t="e">
        <f>VLOOKUP(Table13[[#This Row],[kbli5]],kata_kunci!$B:$H,6,FALSE)</f>
        <v>#N/A</v>
      </c>
      <c r="K152" s="84" t="e">
        <f>VLOOKUP(Table13[[#This Row],[kbli5]],kata_kunci!$B:$H,7,FALSE)</f>
        <v>#N/A</v>
      </c>
    </row>
    <row r="153" spans="1:11" ht="15.75" thickBot="1" x14ac:dyDescent="0.3">
      <c r="A153" s="35" t="s">
        <v>361</v>
      </c>
      <c r="B153" s="40" t="s">
        <v>420</v>
      </c>
      <c r="C153" s="41" t="s">
        <v>421</v>
      </c>
      <c r="D153" s="30" t="e">
        <f>VLOOKUP(Table13[[#This Row],[kbli5]],Table1[[#All],[kbli5]:[digital_hijau]],3,)</f>
        <v>#N/A</v>
      </c>
      <c r="E153" s="35" t="e">
        <f>VLOOKUP(Table13[[#This Row],[kbli5]],kata_kunci!$B:$H,4,FALSE)</f>
        <v>#N/A</v>
      </c>
      <c r="F153" s="35" t="e">
        <f>VLOOKUP(Table13[[#This Row],[kbli5]],Table1[[#All],[kbli5]:[digital_hijau]],5,)</f>
        <v>#N/A</v>
      </c>
      <c r="G153" s="35" t="e">
        <f>VLOOKUP(Table13[[#This Row],[kbli5]],Table1[[#All],[kbli5]:[digital_hijau]],6,)</f>
        <v>#N/A</v>
      </c>
      <c r="H153" s="38" t="e">
        <f>VLOOKUP(Table13[[#This Row],[kbli5]],kata_kunci!$B:$H,3,FALSE)</f>
        <v>#N/A</v>
      </c>
      <c r="I153" s="84" t="e">
        <f>VLOOKUP(Table13[[#This Row],[kbli5]],kata_kunci!$B:$H,5,FALSE)</f>
        <v>#N/A</v>
      </c>
      <c r="J153" s="84" t="e">
        <f>VLOOKUP(Table13[[#This Row],[kbli5]],kata_kunci!$B:$H,6,FALSE)</f>
        <v>#N/A</v>
      </c>
      <c r="K153" s="84" t="e">
        <f>VLOOKUP(Table13[[#This Row],[kbli5]],kata_kunci!$B:$H,7,FALSE)</f>
        <v>#N/A</v>
      </c>
    </row>
    <row r="154" spans="1:11" ht="15.75" thickBot="1" x14ac:dyDescent="0.3">
      <c r="A154" s="35" t="s">
        <v>361</v>
      </c>
      <c r="B154" s="40" t="s">
        <v>422</v>
      </c>
      <c r="C154" s="41" t="s">
        <v>423</v>
      </c>
      <c r="D154" s="30" t="e">
        <f>VLOOKUP(Table13[[#This Row],[kbli5]],Table1[[#All],[kbli5]:[digital_hijau]],3,)</f>
        <v>#N/A</v>
      </c>
      <c r="E154" s="35" t="e">
        <f>VLOOKUP(Table13[[#This Row],[kbli5]],kata_kunci!$B:$H,4,FALSE)</f>
        <v>#N/A</v>
      </c>
      <c r="F154" s="35" t="e">
        <f>VLOOKUP(Table13[[#This Row],[kbli5]],Table1[[#All],[kbli5]:[digital_hijau]],5,)</f>
        <v>#N/A</v>
      </c>
      <c r="G154" s="35" t="e">
        <f>VLOOKUP(Table13[[#This Row],[kbli5]],Table1[[#All],[kbli5]:[digital_hijau]],6,)</f>
        <v>#N/A</v>
      </c>
      <c r="H154" s="38" t="e">
        <f>VLOOKUP(Table13[[#This Row],[kbli5]],kata_kunci!$B:$H,3,FALSE)</f>
        <v>#N/A</v>
      </c>
      <c r="I154" s="84" t="e">
        <f>VLOOKUP(Table13[[#This Row],[kbli5]],kata_kunci!$B:$H,5,FALSE)</f>
        <v>#N/A</v>
      </c>
      <c r="J154" s="84" t="e">
        <f>VLOOKUP(Table13[[#This Row],[kbli5]],kata_kunci!$B:$H,6,FALSE)</f>
        <v>#N/A</v>
      </c>
      <c r="K154" s="84" t="e">
        <f>VLOOKUP(Table13[[#This Row],[kbli5]],kata_kunci!$B:$H,7,FALSE)</f>
        <v>#N/A</v>
      </c>
    </row>
    <row r="155" spans="1:11" ht="30.75" thickBot="1" x14ac:dyDescent="0.3">
      <c r="A155" s="35" t="s">
        <v>361</v>
      </c>
      <c r="B155" s="40" t="s">
        <v>424</v>
      </c>
      <c r="C155" s="41" t="s">
        <v>425</v>
      </c>
      <c r="D155" s="30" t="e">
        <f>VLOOKUP(Table13[[#This Row],[kbli5]],Table1[[#All],[kbli5]:[digital_hijau]],3,)</f>
        <v>#N/A</v>
      </c>
      <c r="E155" s="35" t="e">
        <f>VLOOKUP(Table13[[#This Row],[kbli5]],kata_kunci!$B:$H,4,FALSE)</f>
        <v>#N/A</v>
      </c>
      <c r="F155" s="35" t="e">
        <f>VLOOKUP(Table13[[#This Row],[kbli5]],Table1[[#All],[kbli5]:[digital_hijau]],5,)</f>
        <v>#N/A</v>
      </c>
      <c r="G155" s="35" t="e">
        <f>VLOOKUP(Table13[[#This Row],[kbli5]],Table1[[#All],[kbli5]:[digital_hijau]],6,)</f>
        <v>#N/A</v>
      </c>
      <c r="H155" s="38" t="e">
        <f>VLOOKUP(Table13[[#This Row],[kbli5]],kata_kunci!$B:$H,3,FALSE)</f>
        <v>#N/A</v>
      </c>
      <c r="I155" s="84" t="e">
        <f>VLOOKUP(Table13[[#This Row],[kbli5]],kata_kunci!$B:$H,5,FALSE)</f>
        <v>#N/A</v>
      </c>
      <c r="J155" s="84" t="e">
        <f>VLOOKUP(Table13[[#This Row],[kbli5]],kata_kunci!$B:$H,6,FALSE)</f>
        <v>#N/A</v>
      </c>
      <c r="K155" s="84" t="e">
        <f>VLOOKUP(Table13[[#This Row],[kbli5]],kata_kunci!$B:$H,7,FALSE)</f>
        <v>#N/A</v>
      </c>
    </row>
    <row r="156" spans="1:11" ht="45.75" thickBot="1" x14ac:dyDescent="0.3">
      <c r="A156" s="35" t="s">
        <v>361</v>
      </c>
      <c r="B156" s="40" t="s">
        <v>426</v>
      </c>
      <c r="C156" s="41" t="s">
        <v>427</v>
      </c>
      <c r="D156" s="30" t="e">
        <f>VLOOKUP(Table13[[#This Row],[kbli5]],Table1[[#All],[kbli5]:[digital_hijau]],3,)</f>
        <v>#N/A</v>
      </c>
      <c r="E156" s="35" t="e">
        <f>VLOOKUP(Table13[[#This Row],[kbli5]],kata_kunci!$B:$H,4,FALSE)</f>
        <v>#N/A</v>
      </c>
      <c r="F156" s="35" t="e">
        <f>VLOOKUP(Table13[[#This Row],[kbli5]],Table1[[#All],[kbli5]:[digital_hijau]],5,)</f>
        <v>#N/A</v>
      </c>
      <c r="G156" s="35" t="e">
        <f>VLOOKUP(Table13[[#This Row],[kbli5]],Table1[[#All],[kbli5]:[digital_hijau]],6,)</f>
        <v>#N/A</v>
      </c>
      <c r="H156" s="38" t="e">
        <f>VLOOKUP(Table13[[#This Row],[kbli5]],kata_kunci!$B:$H,3,FALSE)</f>
        <v>#N/A</v>
      </c>
      <c r="I156" s="84" t="e">
        <f>VLOOKUP(Table13[[#This Row],[kbli5]],kata_kunci!$B:$H,5,FALSE)</f>
        <v>#N/A</v>
      </c>
      <c r="J156" s="84" t="e">
        <f>VLOOKUP(Table13[[#This Row],[kbli5]],kata_kunci!$B:$H,6,FALSE)</f>
        <v>#N/A</v>
      </c>
      <c r="K156" s="84" t="e">
        <f>VLOOKUP(Table13[[#This Row],[kbli5]],kata_kunci!$B:$H,7,FALSE)</f>
        <v>#N/A</v>
      </c>
    </row>
    <row r="157" spans="1:11" ht="30.75" thickBot="1" x14ac:dyDescent="0.3">
      <c r="A157" s="35" t="s">
        <v>361</v>
      </c>
      <c r="B157" s="40" t="s">
        <v>428</v>
      </c>
      <c r="C157" s="41" t="s">
        <v>429</v>
      </c>
      <c r="D157" s="30" t="e">
        <f>VLOOKUP(Table13[[#This Row],[kbli5]],Table1[[#All],[kbli5]:[digital_hijau]],3,)</f>
        <v>#N/A</v>
      </c>
      <c r="E157" s="35" t="e">
        <f>VLOOKUP(Table13[[#This Row],[kbli5]],kata_kunci!$B:$H,4,FALSE)</f>
        <v>#N/A</v>
      </c>
      <c r="F157" s="35" t="e">
        <f>VLOOKUP(Table13[[#This Row],[kbli5]],Table1[[#All],[kbli5]:[digital_hijau]],5,)</f>
        <v>#N/A</v>
      </c>
      <c r="G157" s="35" t="e">
        <f>VLOOKUP(Table13[[#This Row],[kbli5]],Table1[[#All],[kbli5]:[digital_hijau]],6,)</f>
        <v>#N/A</v>
      </c>
      <c r="H157" s="38" t="e">
        <f>VLOOKUP(Table13[[#This Row],[kbli5]],kata_kunci!$B:$H,3,FALSE)</f>
        <v>#N/A</v>
      </c>
      <c r="I157" s="84" t="e">
        <f>VLOOKUP(Table13[[#This Row],[kbli5]],kata_kunci!$B:$H,5,FALSE)</f>
        <v>#N/A</v>
      </c>
      <c r="J157" s="84" t="e">
        <f>VLOOKUP(Table13[[#This Row],[kbli5]],kata_kunci!$B:$H,6,FALSE)</f>
        <v>#N/A</v>
      </c>
      <c r="K157" s="84" t="e">
        <f>VLOOKUP(Table13[[#This Row],[kbli5]],kata_kunci!$B:$H,7,FALSE)</f>
        <v>#N/A</v>
      </c>
    </row>
    <row r="158" spans="1:11" ht="15.75" thickBot="1" x14ac:dyDescent="0.3">
      <c r="A158" s="35" t="s">
        <v>361</v>
      </c>
      <c r="B158" s="40" t="s">
        <v>430</v>
      </c>
      <c r="C158" s="41" t="s">
        <v>431</v>
      </c>
      <c r="D158" s="30" t="e">
        <f>VLOOKUP(Table13[[#This Row],[kbli5]],Table1[[#All],[kbli5]:[digital_hijau]],3,)</f>
        <v>#N/A</v>
      </c>
      <c r="E158" s="35" t="e">
        <f>VLOOKUP(Table13[[#This Row],[kbli5]],kata_kunci!$B:$H,4,FALSE)</f>
        <v>#N/A</v>
      </c>
      <c r="F158" s="35" t="e">
        <f>VLOOKUP(Table13[[#This Row],[kbli5]],Table1[[#All],[kbli5]:[digital_hijau]],5,)</f>
        <v>#N/A</v>
      </c>
      <c r="G158" s="35" t="e">
        <f>VLOOKUP(Table13[[#This Row],[kbli5]],Table1[[#All],[kbli5]:[digital_hijau]],6,)</f>
        <v>#N/A</v>
      </c>
      <c r="H158" s="38" t="e">
        <f>VLOOKUP(Table13[[#This Row],[kbli5]],kata_kunci!$B:$H,3,FALSE)</f>
        <v>#N/A</v>
      </c>
      <c r="I158" s="84" t="e">
        <f>VLOOKUP(Table13[[#This Row],[kbli5]],kata_kunci!$B:$H,5,FALSE)</f>
        <v>#N/A</v>
      </c>
      <c r="J158" s="84" t="e">
        <f>VLOOKUP(Table13[[#This Row],[kbli5]],kata_kunci!$B:$H,6,FALSE)</f>
        <v>#N/A</v>
      </c>
      <c r="K158" s="84" t="e">
        <f>VLOOKUP(Table13[[#This Row],[kbli5]],kata_kunci!$B:$H,7,FALSE)</f>
        <v>#N/A</v>
      </c>
    </row>
    <row r="159" spans="1:11" ht="30.75" thickBot="1" x14ac:dyDescent="0.3">
      <c r="A159" s="35" t="s">
        <v>361</v>
      </c>
      <c r="B159" s="40" t="s">
        <v>432</v>
      </c>
      <c r="C159" s="41" t="s">
        <v>433</v>
      </c>
      <c r="D159" s="30" t="e">
        <f>VLOOKUP(Table13[[#This Row],[kbli5]],Table1[[#All],[kbli5]:[digital_hijau]],3,)</f>
        <v>#N/A</v>
      </c>
      <c r="E159" s="35" t="e">
        <f>VLOOKUP(Table13[[#This Row],[kbli5]],kata_kunci!$B:$H,4,FALSE)</f>
        <v>#N/A</v>
      </c>
      <c r="F159" s="35" t="e">
        <f>VLOOKUP(Table13[[#This Row],[kbli5]],Table1[[#All],[kbli5]:[digital_hijau]],5,)</f>
        <v>#N/A</v>
      </c>
      <c r="G159" s="35" t="e">
        <f>VLOOKUP(Table13[[#This Row],[kbli5]],Table1[[#All],[kbli5]:[digital_hijau]],6,)</f>
        <v>#N/A</v>
      </c>
      <c r="H159" s="38" t="e">
        <f>VLOOKUP(Table13[[#This Row],[kbli5]],kata_kunci!$B:$H,3,FALSE)</f>
        <v>#N/A</v>
      </c>
      <c r="I159" s="84" t="e">
        <f>VLOOKUP(Table13[[#This Row],[kbli5]],kata_kunci!$B:$H,5,FALSE)</f>
        <v>#N/A</v>
      </c>
      <c r="J159" s="84" t="e">
        <f>VLOOKUP(Table13[[#This Row],[kbli5]],kata_kunci!$B:$H,6,FALSE)</f>
        <v>#N/A</v>
      </c>
      <c r="K159" s="84" t="e">
        <f>VLOOKUP(Table13[[#This Row],[kbli5]],kata_kunci!$B:$H,7,FALSE)</f>
        <v>#N/A</v>
      </c>
    </row>
    <row r="160" spans="1:11" ht="30.75" thickBot="1" x14ac:dyDescent="0.3">
      <c r="A160" s="35" t="s">
        <v>361</v>
      </c>
      <c r="B160" s="40" t="s">
        <v>434</v>
      </c>
      <c r="C160" s="41" t="s">
        <v>435</v>
      </c>
      <c r="D160" s="30" t="e">
        <f>VLOOKUP(Table13[[#This Row],[kbli5]],Table1[[#All],[kbli5]:[digital_hijau]],3,)</f>
        <v>#N/A</v>
      </c>
      <c r="E160" s="35" t="e">
        <f>VLOOKUP(Table13[[#This Row],[kbli5]],kata_kunci!$B:$H,4,FALSE)</f>
        <v>#N/A</v>
      </c>
      <c r="F160" s="35" t="e">
        <f>VLOOKUP(Table13[[#This Row],[kbli5]],Table1[[#All],[kbli5]:[digital_hijau]],5,)</f>
        <v>#N/A</v>
      </c>
      <c r="G160" s="35" t="e">
        <f>VLOOKUP(Table13[[#This Row],[kbli5]],Table1[[#All],[kbli5]:[digital_hijau]],6,)</f>
        <v>#N/A</v>
      </c>
      <c r="H160" s="38" t="e">
        <f>VLOOKUP(Table13[[#This Row],[kbli5]],kata_kunci!$B:$H,3,FALSE)</f>
        <v>#N/A</v>
      </c>
      <c r="I160" s="84" t="e">
        <f>VLOOKUP(Table13[[#This Row],[kbli5]],kata_kunci!$B:$H,5,FALSE)</f>
        <v>#N/A</v>
      </c>
      <c r="J160" s="84" t="e">
        <f>VLOOKUP(Table13[[#This Row],[kbli5]],kata_kunci!$B:$H,6,FALSE)</f>
        <v>#N/A</v>
      </c>
      <c r="K160" s="84" t="e">
        <f>VLOOKUP(Table13[[#This Row],[kbli5]],kata_kunci!$B:$H,7,FALSE)</f>
        <v>#N/A</v>
      </c>
    </row>
    <row r="161" spans="1:11" ht="30.75" thickBot="1" x14ac:dyDescent="0.3">
      <c r="A161" s="35" t="s">
        <v>361</v>
      </c>
      <c r="B161" s="40" t="s">
        <v>436</v>
      </c>
      <c r="C161" s="41" t="s">
        <v>437</v>
      </c>
      <c r="D161" s="30" t="e">
        <f>VLOOKUP(Table13[[#This Row],[kbli5]],Table1[[#All],[kbli5]:[digital_hijau]],3,)</f>
        <v>#N/A</v>
      </c>
      <c r="E161" s="35" t="e">
        <f>VLOOKUP(Table13[[#This Row],[kbli5]],kata_kunci!$B:$H,4,FALSE)</f>
        <v>#N/A</v>
      </c>
      <c r="F161" s="35" t="e">
        <f>VLOOKUP(Table13[[#This Row],[kbli5]],Table1[[#All],[kbli5]:[digital_hijau]],5,)</f>
        <v>#N/A</v>
      </c>
      <c r="G161" s="35" t="e">
        <f>VLOOKUP(Table13[[#This Row],[kbli5]],Table1[[#All],[kbli5]:[digital_hijau]],6,)</f>
        <v>#N/A</v>
      </c>
      <c r="H161" s="38" t="e">
        <f>VLOOKUP(Table13[[#This Row],[kbli5]],kata_kunci!$B:$H,3,FALSE)</f>
        <v>#N/A</v>
      </c>
      <c r="I161" s="84" t="e">
        <f>VLOOKUP(Table13[[#This Row],[kbli5]],kata_kunci!$B:$H,5,FALSE)</f>
        <v>#N/A</v>
      </c>
      <c r="J161" s="84" t="e">
        <f>VLOOKUP(Table13[[#This Row],[kbli5]],kata_kunci!$B:$H,6,FALSE)</f>
        <v>#N/A</v>
      </c>
      <c r="K161" s="84" t="e">
        <f>VLOOKUP(Table13[[#This Row],[kbli5]],kata_kunci!$B:$H,7,FALSE)</f>
        <v>#N/A</v>
      </c>
    </row>
    <row r="162" spans="1:11" ht="15.75" thickBot="1" x14ac:dyDescent="0.3">
      <c r="A162" s="35" t="s">
        <v>361</v>
      </c>
      <c r="B162" s="40" t="s">
        <v>438</v>
      </c>
      <c r="C162" s="41" t="s">
        <v>439</v>
      </c>
      <c r="D162" s="30" t="e">
        <f>VLOOKUP(Table13[[#This Row],[kbli5]],Table1[[#All],[kbli5]:[digital_hijau]],3,)</f>
        <v>#N/A</v>
      </c>
      <c r="E162" s="35" t="e">
        <f>VLOOKUP(Table13[[#This Row],[kbli5]],kata_kunci!$B:$H,4,FALSE)</f>
        <v>#N/A</v>
      </c>
      <c r="F162" s="35" t="e">
        <f>VLOOKUP(Table13[[#This Row],[kbli5]],Table1[[#All],[kbli5]:[digital_hijau]],5,)</f>
        <v>#N/A</v>
      </c>
      <c r="G162" s="35" t="e">
        <f>VLOOKUP(Table13[[#This Row],[kbli5]],Table1[[#All],[kbli5]:[digital_hijau]],6,)</f>
        <v>#N/A</v>
      </c>
      <c r="H162" s="38" t="e">
        <f>VLOOKUP(Table13[[#This Row],[kbli5]],kata_kunci!$B:$H,3,FALSE)</f>
        <v>#N/A</v>
      </c>
      <c r="I162" s="84" t="e">
        <f>VLOOKUP(Table13[[#This Row],[kbli5]],kata_kunci!$B:$H,5,FALSE)</f>
        <v>#N/A</v>
      </c>
      <c r="J162" s="84" t="e">
        <f>VLOOKUP(Table13[[#This Row],[kbli5]],kata_kunci!$B:$H,6,FALSE)</f>
        <v>#N/A</v>
      </c>
      <c r="K162" s="84" t="e">
        <f>VLOOKUP(Table13[[#This Row],[kbli5]],kata_kunci!$B:$H,7,FALSE)</f>
        <v>#N/A</v>
      </c>
    </row>
    <row r="163" spans="1:11" ht="30.75" thickBot="1" x14ac:dyDescent="0.3">
      <c r="A163" s="35" t="s">
        <v>361</v>
      </c>
      <c r="B163" s="40" t="s">
        <v>440</v>
      </c>
      <c r="C163" s="41" t="s">
        <v>441</v>
      </c>
      <c r="D163" s="30" t="e">
        <f>VLOOKUP(Table13[[#This Row],[kbli5]],Table1[[#All],[kbli5]:[digital_hijau]],3,)</f>
        <v>#N/A</v>
      </c>
      <c r="E163" s="35" t="e">
        <f>VLOOKUP(Table13[[#This Row],[kbli5]],kata_kunci!$B:$H,4,FALSE)</f>
        <v>#N/A</v>
      </c>
      <c r="F163" s="35" t="e">
        <f>VLOOKUP(Table13[[#This Row],[kbli5]],Table1[[#All],[kbli5]:[digital_hijau]],5,)</f>
        <v>#N/A</v>
      </c>
      <c r="G163" s="35" t="e">
        <f>VLOOKUP(Table13[[#This Row],[kbli5]],Table1[[#All],[kbli5]:[digital_hijau]],6,)</f>
        <v>#N/A</v>
      </c>
      <c r="H163" s="38" t="e">
        <f>VLOOKUP(Table13[[#This Row],[kbli5]],kata_kunci!$B:$H,3,FALSE)</f>
        <v>#N/A</v>
      </c>
      <c r="I163" s="84" t="e">
        <f>VLOOKUP(Table13[[#This Row],[kbli5]],kata_kunci!$B:$H,5,FALSE)</f>
        <v>#N/A</v>
      </c>
      <c r="J163" s="84" t="e">
        <f>VLOOKUP(Table13[[#This Row],[kbli5]],kata_kunci!$B:$H,6,FALSE)</f>
        <v>#N/A</v>
      </c>
      <c r="K163" s="84" t="e">
        <f>VLOOKUP(Table13[[#This Row],[kbli5]],kata_kunci!$B:$H,7,FALSE)</f>
        <v>#N/A</v>
      </c>
    </row>
    <row r="164" spans="1:11" ht="30.75" thickBot="1" x14ac:dyDescent="0.3">
      <c r="A164" s="35" t="s">
        <v>361</v>
      </c>
      <c r="B164" s="40" t="s">
        <v>442</v>
      </c>
      <c r="C164" s="41" t="s">
        <v>443</v>
      </c>
      <c r="D164" s="30" t="e">
        <f>VLOOKUP(Table13[[#This Row],[kbli5]],Table1[[#All],[kbli5]:[digital_hijau]],3,)</f>
        <v>#N/A</v>
      </c>
      <c r="E164" s="35" t="e">
        <f>VLOOKUP(Table13[[#This Row],[kbli5]],kata_kunci!$B:$H,4,FALSE)</f>
        <v>#N/A</v>
      </c>
      <c r="F164" s="35" t="e">
        <f>VLOOKUP(Table13[[#This Row],[kbli5]],Table1[[#All],[kbli5]:[digital_hijau]],5,)</f>
        <v>#N/A</v>
      </c>
      <c r="G164" s="35" t="e">
        <f>VLOOKUP(Table13[[#This Row],[kbli5]],Table1[[#All],[kbli5]:[digital_hijau]],6,)</f>
        <v>#N/A</v>
      </c>
      <c r="H164" s="38" t="e">
        <f>VLOOKUP(Table13[[#This Row],[kbli5]],kata_kunci!$B:$H,3,FALSE)</f>
        <v>#N/A</v>
      </c>
      <c r="I164" s="84" t="e">
        <f>VLOOKUP(Table13[[#This Row],[kbli5]],kata_kunci!$B:$H,5,FALSE)</f>
        <v>#N/A</v>
      </c>
      <c r="J164" s="84" t="e">
        <f>VLOOKUP(Table13[[#This Row],[kbli5]],kata_kunci!$B:$H,6,FALSE)</f>
        <v>#N/A</v>
      </c>
      <c r="K164" s="84" t="e">
        <f>VLOOKUP(Table13[[#This Row],[kbli5]],kata_kunci!$B:$H,7,FALSE)</f>
        <v>#N/A</v>
      </c>
    </row>
    <row r="165" spans="1:11" ht="30.75" thickBot="1" x14ac:dyDescent="0.3">
      <c r="A165" s="35" t="s">
        <v>361</v>
      </c>
      <c r="B165" s="40" t="s">
        <v>444</v>
      </c>
      <c r="C165" s="41" t="s">
        <v>445</v>
      </c>
      <c r="D165" s="30" t="e">
        <f>VLOOKUP(Table13[[#This Row],[kbli5]],Table1[[#All],[kbli5]:[digital_hijau]],3,)</f>
        <v>#N/A</v>
      </c>
      <c r="E165" s="35" t="e">
        <f>VLOOKUP(Table13[[#This Row],[kbli5]],kata_kunci!$B:$H,4,FALSE)</f>
        <v>#N/A</v>
      </c>
      <c r="F165" s="35" t="e">
        <f>VLOOKUP(Table13[[#This Row],[kbli5]],Table1[[#All],[kbli5]:[digital_hijau]],5,)</f>
        <v>#N/A</v>
      </c>
      <c r="G165" s="35" t="e">
        <f>VLOOKUP(Table13[[#This Row],[kbli5]],Table1[[#All],[kbli5]:[digital_hijau]],6,)</f>
        <v>#N/A</v>
      </c>
      <c r="H165" s="38" t="e">
        <f>VLOOKUP(Table13[[#This Row],[kbli5]],kata_kunci!$B:$H,3,FALSE)</f>
        <v>#N/A</v>
      </c>
      <c r="I165" s="84" t="e">
        <f>VLOOKUP(Table13[[#This Row],[kbli5]],kata_kunci!$B:$H,5,FALSE)</f>
        <v>#N/A</v>
      </c>
      <c r="J165" s="84" t="e">
        <f>VLOOKUP(Table13[[#This Row],[kbli5]],kata_kunci!$B:$H,6,FALSE)</f>
        <v>#N/A</v>
      </c>
      <c r="K165" s="84" t="e">
        <f>VLOOKUP(Table13[[#This Row],[kbli5]],kata_kunci!$B:$H,7,FALSE)</f>
        <v>#N/A</v>
      </c>
    </row>
    <row r="166" spans="1:11" ht="45.75" thickBot="1" x14ac:dyDescent="0.3">
      <c r="A166" s="53" t="s">
        <v>361</v>
      </c>
      <c r="B166" s="40" t="s">
        <v>446</v>
      </c>
      <c r="C166" s="41" t="s">
        <v>447</v>
      </c>
      <c r="D166" s="30" t="e">
        <f>VLOOKUP(Table13[[#This Row],[kbli5]],Table1[[#All],[kbli5]:[digital_hijau]],3,)</f>
        <v>#N/A</v>
      </c>
      <c r="E166" s="53" t="e">
        <f>VLOOKUP(Table13[[#This Row],[kbli5]],kata_kunci!$B:$H,4,FALSE)</f>
        <v>#N/A</v>
      </c>
      <c r="F166" s="53" t="e">
        <f>VLOOKUP(Table13[[#This Row],[kbli5]],Table1[[#All],[kbli5]:[digital_hijau]],5,)</f>
        <v>#N/A</v>
      </c>
      <c r="G166" s="53" t="e">
        <f>VLOOKUP(Table13[[#This Row],[kbli5]],Table1[[#All],[kbli5]:[digital_hijau]],6,)</f>
        <v>#N/A</v>
      </c>
      <c r="H166" s="54" t="e">
        <f>VLOOKUP(Table13[[#This Row],[kbli5]],kata_kunci!$B:$H,3,FALSE)</f>
        <v>#N/A</v>
      </c>
      <c r="I166" s="84" t="e">
        <f>VLOOKUP(Table13[[#This Row],[kbli5]],kata_kunci!$B:$H,5,FALSE)</f>
        <v>#N/A</v>
      </c>
      <c r="J166" s="84" t="e">
        <f>VLOOKUP(Table13[[#This Row],[kbli5]],kata_kunci!$B:$H,6,FALSE)</f>
        <v>#N/A</v>
      </c>
      <c r="K166" s="84" t="e">
        <f>VLOOKUP(Table13[[#This Row],[kbli5]],kata_kunci!$B:$H,7,FALSE)</f>
        <v>#N/A</v>
      </c>
    </row>
    <row r="167" spans="1:11" ht="45.75" thickBot="1" x14ac:dyDescent="0.3">
      <c r="A167" s="53" t="s">
        <v>361</v>
      </c>
      <c r="B167" s="40" t="s">
        <v>448</v>
      </c>
      <c r="C167" s="41" t="s">
        <v>449</v>
      </c>
      <c r="D167" s="30" t="e">
        <f>VLOOKUP(Table13[[#This Row],[kbli5]],Table1[[#All],[kbli5]:[digital_hijau]],3,)</f>
        <v>#N/A</v>
      </c>
      <c r="E167" s="53" t="e">
        <f>VLOOKUP(Table13[[#This Row],[kbli5]],kata_kunci!$B:$H,4,FALSE)</f>
        <v>#N/A</v>
      </c>
      <c r="F167" s="53" t="e">
        <f>VLOOKUP(Table13[[#This Row],[kbli5]],Table1[[#All],[kbli5]:[digital_hijau]],5,)</f>
        <v>#N/A</v>
      </c>
      <c r="G167" s="53" t="e">
        <f>VLOOKUP(Table13[[#This Row],[kbli5]],Table1[[#All],[kbli5]:[digital_hijau]],6,)</f>
        <v>#N/A</v>
      </c>
      <c r="H167" s="54" t="e">
        <f>VLOOKUP(Table13[[#This Row],[kbli5]],kata_kunci!$B:$H,3,FALSE)</f>
        <v>#N/A</v>
      </c>
      <c r="I167" s="84" t="e">
        <f>VLOOKUP(Table13[[#This Row],[kbli5]],kata_kunci!$B:$H,5,FALSE)</f>
        <v>#N/A</v>
      </c>
      <c r="J167" s="84" t="e">
        <f>VLOOKUP(Table13[[#This Row],[kbli5]],kata_kunci!$B:$H,6,FALSE)</f>
        <v>#N/A</v>
      </c>
      <c r="K167" s="84" t="e">
        <f>VLOOKUP(Table13[[#This Row],[kbli5]],kata_kunci!$B:$H,7,FALSE)</f>
        <v>#N/A</v>
      </c>
    </row>
    <row r="168" spans="1:11" ht="30.75" thickBot="1" x14ac:dyDescent="0.3">
      <c r="A168" s="53" t="s">
        <v>450</v>
      </c>
      <c r="B168" s="40">
        <v>10111</v>
      </c>
      <c r="C168" s="41" t="s">
        <v>451</v>
      </c>
      <c r="D168" s="30" t="e">
        <f>VLOOKUP(Table13[[#This Row],[kbli5]],Table1[[#All],[kbli5]:[digital_hijau]],3,)</f>
        <v>#N/A</v>
      </c>
      <c r="E168" s="53" t="e">
        <f>VLOOKUP(Table13[[#This Row],[kbli5]],kata_kunci!$B:$H,4,FALSE)</f>
        <v>#N/A</v>
      </c>
      <c r="F168" s="53" t="e">
        <f>VLOOKUP(Table13[[#This Row],[kbli5]],Table1[[#All],[kbli5]:[digital_hijau]],5,)</f>
        <v>#N/A</v>
      </c>
      <c r="G168" s="53" t="e">
        <f>VLOOKUP(Table13[[#This Row],[kbli5]],Table1[[#All],[kbli5]:[digital_hijau]],6,)</f>
        <v>#N/A</v>
      </c>
      <c r="H168" s="54" t="e">
        <f>VLOOKUP(Table13[[#This Row],[kbli5]],kata_kunci!$B:$H,3,FALSE)</f>
        <v>#N/A</v>
      </c>
      <c r="I168" s="84" t="e">
        <f>VLOOKUP(Table13[[#This Row],[kbli5]],kata_kunci!$B:$H,5,FALSE)</f>
        <v>#N/A</v>
      </c>
      <c r="J168" s="84" t="e">
        <f>VLOOKUP(Table13[[#This Row],[kbli5]],kata_kunci!$B:$H,6,FALSE)</f>
        <v>#N/A</v>
      </c>
      <c r="K168" s="84" t="e">
        <f>VLOOKUP(Table13[[#This Row],[kbli5]],kata_kunci!$B:$H,7,FALSE)</f>
        <v>#N/A</v>
      </c>
    </row>
    <row r="169" spans="1:11" ht="30.75" thickBot="1" x14ac:dyDescent="0.3">
      <c r="A169" s="53" t="s">
        <v>450</v>
      </c>
      <c r="B169" s="40">
        <v>10112</v>
      </c>
      <c r="C169" s="41" t="s">
        <v>452</v>
      </c>
      <c r="D169" s="30" t="e">
        <f>VLOOKUP(Table13[[#This Row],[kbli5]],Table1[[#All],[kbli5]:[digital_hijau]],3,)</f>
        <v>#N/A</v>
      </c>
      <c r="E169" s="53" t="e">
        <f>VLOOKUP(Table13[[#This Row],[kbli5]],kata_kunci!$B:$H,4,FALSE)</f>
        <v>#N/A</v>
      </c>
      <c r="F169" s="53" t="e">
        <f>VLOOKUP(Table13[[#This Row],[kbli5]],Table1[[#All],[kbli5]:[digital_hijau]],5,)</f>
        <v>#N/A</v>
      </c>
      <c r="G169" s="53" t="e">
        <f>VLOOKUP(Table13[[#This Row],[kbli5]],Table1[[#All],[kbli5]:[digital_hijau]],6,)</f>
        <v>#N/A</v>
      </c>
      <c r="H169" s="54" t="e">
        <f>VLOOKUP(Table13[[#This Row],[kbli5]],kata_kunci!$B:$H,3,FALSE)</f>
        <v>#N/A</v>
      </c>
      <c r="I169" s="84" t="e">
        <f>VLOOKUP(Table13[[#This Row],[kbli5]],kata_kunci!$B:$H,5,FALSE)</f>
        <v>#N/A</v>
      </c>
      <c r="J169" s="84" t="e">
        <f>VLOOKUP(Table13[[#This Row],[kbli5]],kata_kunci!$B:$H,6,FALSE)</f>
        <v>#N/A</v>
      </c>
      <c r="K169" s="84" t="e">
        <f>VLOOKUP(Table13[[#This Row],[kbli5]],kata_kunci!$B:$H,7,FALSE)</f>
        <v>#N/A</v>
      </c>
    </row>
    <row r="170" spans="1:11" ht="30.75" thickBot="1" x14ac:dyDescent="0.3">
      <c r="A170" s="53" t="s">
        <v>450</v>
      </c>
      <c r="B170" s="40">
        <v>10113</v>
      </c>
      <c r="C170" s="41" t="s">
        <v>453</v>
      </c>
      <c r="D170" s="30" t="e">
        <f>VLOOKUP(Table13[[#This Row],[kbli5]],Table1[[#All],[kbli5]:[digital_hijau]],3,)</f>
        <v>#N/A</v>
      </c>
      <c r="E170" s="53" t="e">
        <f>VLOOKUP(Table13[[#This Row],[kbli5]],kata_kunci!$B:$H,4,FALSE)</f>
        <v>#N/A</v>
      </c>
      <c r="F170" s="53" t="e">
        <f>VLOOKUP(Table13[[#This Row],[kbli5]],Table1[[#All],[kbli5]:[digital_hijau]],5,)</f>
        <v>#N/A</v>
      </c>
      <c r="G170" s="53" t="e">
        <f>VLOOKUP(Table13[[#This Row],[kbli5]],Table1[[#All],[kbli5]:[digital_hijau]],6,)</f>
        <v>#N/A</v>
      </c>
      <c r="H170" s="54" t="e">
        <f>VLOOKUP(Table13[[#This Row],[kbli5]],kata_kunci!$B:$H,3,FALSE)</f>
        <v>#N/A</v>
      </c>
      <c r="I170" s="84" t="e">
        <f>VLOOKUP(Table13[[#This Row],[kbli5]],kata_kunci!$B:$H,5,FALSE)</f>
        <v>#N/A</v>
      </c>
      <c r="J170" s="84" t="e">
        <f>VLOOKUP(Table13[[#This Row],[kbli5]],kata_kunci!$B:$H,6,FALSE)</f>
        <v>#N/A</v>
      </c>
      <c r="K170" s="84" t="e">
        <f>VLOOKUP(Table13[[#This Row],[kbli5]],kata_kunci!$B:$H,7,FALSE)</f>
        <v>#N/A</v>
      </c>
    </row>
    <row r="171" spans="1:11" ht="30.75" thickBot="1" x14ac:dyDescent="0.3">
      <c r="A171" s="53" t="s">
        <v>450</v>
      </c>
      <c r="B171" s="40">
        <v>10119</v>
      </c>
      <c r="C171" s="41" t="s">
        <v>454</v>
      </c>
      <c r="D171" s="30" t="e">
        <f>VLOOKUP(Table13[[#This Row],[kbli5]],Table1[[#All],[kbli5]:[digital_hijau]],3,)</f>
        <v>#N/A</v>
      </c>
      <c r="E171" s="53" t="e">
        <f>VLOOKUP(Table13[[#This Row],[kbli5]],kata_kunci!$B:$H,4,FALSE)</f>
        <v>#N/A</v>
      </c>
      <c r="F171" s="53" t="e">
        <f>VLOOKUP(Table13[[#This Row],[kbli5]],Table1[[#All],[kbli5]:[digital_hijau]],5,)</f>
        <v>#N/A</v>
      </c>
      <c r="G171" s="53" t="e">
        <f>VLOOKUP(Table13[[#This Row],[kbli5]],Table1[[#All],[kbli5]:[digital_hijau]],6,)</f>
        <v>#N/A</v>
      </c>
      <c r="H171" s="54" t="e">
        <f>VLOOKUP(Table13[[#This Row],[kbli5]],kata_kunci!$B:$H,3,FALSE)</f>
        <v>#N/A</v>
      </c>
      <c r="I171" s="84" t="e">
        <f>VLOOKUP(Table13[[#This Row],[kbli5]],kata_kunci!$B:$H,5,FALSE)</f>
        <v>#N/A</v>
      </c>
      <c r="J171" s="84" t="e">
        <f>VLOOKUP(Table13[[#This Row],[kbli5]],kata_kunci!$B:$H,6,FALSE)</f>
        <v>#N/A</v>
      </c>
      <c r="K171" s="84" t="e">
        <f>VLOOKUP(Table13[[#This Row],[kbli5]],kata_kunci!$B:$H,7,FALSE)</f>
        <v>#N/A</v>
      </c>
    </row>
    <row r="172" spans="1:11" ht="45.75" thickBot="1" x14ac:dyDescent="0.3">
      <c r="A172" s="53" t="s">
        <v>450</v>
      </c>
      <c r="B172" s="40">
        <v>10120</v>
      </c>
      <c r="C172" s="41" t="s">
        <v>455</v>
      </c>
      <c r="D172" s="30" t="e">
        <f>VLOOKUP(Table13[[#This Row],[kbli5]],Table1[[#All],[kbli5]:[digital_hijau]],3,)</f>
        <v>#N/A</v>
      </c>
      <c r="E172" s="53" t="e">
        <f>VLOOKUP(Table13[[#This Row],[kbli5]],kata_kunci!$B:$H,4,FALSE)</f>
        <v>#N/A</v>
      </c>
      <c r="F172" s="53" t="e">
        <f>VLOOKUP(Table13[[#This Row],[kbli5]],Table1[[#All],[kbli5]:[digital_hijau]],5,)</f>
        <v>#N/A</v>
      </c>
      <c r="G172" s="53" t="e">
        <f>VLOOKUP(Table13[[#This Row],[kbli5]],Table1[[#All],[kbli5]:[digital_hijau]],6,)</f>
        <v>#N/A</v>
      </c>
      <c r="H172" s="54" t="e">
        <f>VLOOKUP(Table13[[#This Row],[kbli5]],kata_kunci!$B:$H,3,FALSE)</f>
        <v>#N/A</v>
      </c>
      <c r="I172" s="84" t="e">
        <f>VLOOKUP(Table13[[#This Row],[kbli5]],kata_kunci!$B:$H,5,FALSE)</f>
        <v>#N/A</v>
      </c>
      <c r="J172" s="84" t="e">
        <f>VLOOKUP(Table13[[#This Row],[kbli5]],kata_kunci!$B:$H,6,FALSE)</f>
        <v>#N/A</v>
      </c>
      <c r="K172" s="84" t="e">
        <f>VLOOKUP(Table13[[#This Row],[kbli5]],kata_kunci!$B:$H,7,FALSE)</f>
        <v>#N/A</v>
      </c>
    </row>
    <row r="173" spans="1:11" ht="60.75" thickBot="1" x14ac:dyDescent="0.3">
      <c r="A173" s="53" t="s">
        <v>450</v>
      </c>
      <c r="B173" s="40">
        <v>10211</v>
      </c>
      <c r="C173" s="41" t="s">
        <v>456</v>
      </c>
      <c r="D173" s="30" t="e">
        <f>VLOOKUP(Table13[[#This Row],[kbli5]],Table1[[#All],[kbli5]:[digital_hijau]],3,)</f>
        <v>#N/A</v>
      </c>
      <c r="E173" s="53" t="e">
        <f>VLOOKUP(Table13[[#This Row],[kbli5]],kata_kunci!$B:$H,4,FALSE)</f>
        <v>#N/A</v>
      </c>
      <c r="F173" s="53" t="e">
        <f>VLOOKUP(Table13[[#This Row],[kbli5]],Table1[[#All],[kbli5]:[digital_hijau]],5,)</f>
        <v>#N/A</v>
      </c>
      <c r="G173" s="53" t="e">
        <f>VLOOKUP(Table13[[#This Row],[kbli5]],Table1[[#All],[kbli5]:[digital_hijau]],6,)</f>
        <v>#N/A</v>
      </c>
      <c r="H173" s="54" t="e">
        <f>VLOOKUP(Table13[[#This Row],[kbli5]],kata_kunci!$B:$H,3,FALSE)</f>
        <v>#N/A</v>
      </c>
      <c r="I173" s="84" t="e">
        <f>VLOOKUP(Table13[[#This Row],[kbli5]],kata_kunci!$B:$H,5,FALSE)</f>
        <v>#N/A</v>
      </c>
      <c r="J173" s="84" t="e">
        <f>VLOOKUP(Table13[[#This Row],[kbli5]],kata_kunci!$B:$H,6,FALSE)</f>
        <v>#N/A</v>
      </c>
      <c r="K173" s="84" t="e">
        <f>VLOOKUP(Table13[[#This Row],[kbli5]],kata_kunci!$B:$H,7,FALSE)</f>
        <v>#N/A</v>
      </c>
    </row>
    <row r="174" spans="1:11" ht="60.75" thickBot="1" x14ac:dyDescent="0.3">
      <c r="A174" s="53" t="s">
        <v>450</v>
      </c>
      <c r="B174" s="40">
        <v>10212</v>
      </c>
      <c r="C174" s="41" t="s">
        <v>457</v>
      </c>
      <c r="D174" s="30" t="e">
        <f>VLOOKUP(Table13[[#This Row],[kbli5]],Table1[[#All],[kbli5]:[digital_hijau]],3,)</f>
        <v>#N/A</v>
      </c>
      <c r="E174" s="53" t="e">
        <f>VLOOKUP(Table13[[#This Row],[kbli5]],kata_kunci!$B:$H,4,FALSE)</f>
        <v>#N/A</v>
      </c>
      <c r="F174" s="53" t="e">
        <f>VLOOKUP(Table13[[#This Row],[kbli5]],Table1[[#All],[kbli5]:[digital_hijau]],5,)</f>
        <v>#N/A</v>
      </c>
      <c r="G174" s="53" t="e">
        <f>VLOOKUP(Table13[[#This Row],[kbli5]],Table1[[#All],[kbli5]:[digital_hijau]],6,)</f>
        <v>#N/A</v>
      </c>
      <c r="H174" s="54" t="e">
        <f>VLOOKUP(Table13[[#This Row],[kbli5]],kata_kunci!$B:$H,3,FALSE)</f>
        <v>#N/A</v>
      </c>
      <c r="I174" s="84" t="e">
        <f>VLOOKUP(Table13[[#This Row],[kbli5]],kata_kunci!$B:$H,5,FALSE)</f>
        <v>#N/A</v>
      </c>
      <c r="J174" s="84" t="e">
        <f>VLOOKUP(Table13[[#This Row],[kbli5]],kata_kunci!$B:$H,6,FALSE)</f>
        <v>#N/A</v>
      </c>
      <c r="K174" s="84" t="e">
        <f>VLOOKUP(Table13[[#This Row],[kbli5]],kata_kunci!$B:$H,7,FALSE)</f>
        <v>#N/A</v>
      </c>
    </row>
    <row r="175" spans="1:11" ht="45.75" thickBot="1" x14ac:dyDescent="0.3">
      <c r="A175" s="53" t="s">
        <v>450</v>
      </c>
      <c r="B175" s="40">
        <v>10213</v>
      </c>
      <c r="C175" s="41" t="s">
        <v>458</v>
      </c>
      <c r="D175" s="30" t="e">
        <f>VLOOKUP(Table13[[#This Row],[kbli5]],Table1[[#All],[kbli5]:[digital_hijau]],3,)</f>
        <v>#N/A</v>
      </c>
      <c r="E175" s="53" t="e">
        <f>VLOOKUP(Table13[[#This Row],[kbli5]],kata_kunci!$B:$H,4,FALSE)</f>
        <v>#N/A</v>
      </c>
      <c r="F175" s="53" t="e">
        <f>VLOOKUP(Table13[[#This Row],[kbli5]],Table1[[#All],[kbli5]:[digital_hijau]],5,)</f>
        <v>#N/A</v>
      </c>
      <c r="G175" s="53" t="e">
        <f>VLOOKUP(Table13[[#This Row],[kbli5]],Table1[[#All],[kbli5]:[digital_hijau]],6,)</f>
        <v>#N/A</v>
      </c>
      <c r="H175" s="54" t="e">
        <f>VLOOKUP(Table13[[#This Row],[kbli5]],kata_kunci!$B:$H,3,FALSE)</f>
        <v>#N/A</v>
      </c>
      <c r="I175" s="84" t="e">
        <f>VLOOKUP(Table13[[#This Row],[kbli5]],kata_kunci!$B:$H,5,FALSE)</f>
        <v>#N/A</v>
      </c>
      <c r="J175" s="84" t="e">
        <f>VLOOKUP(Table13[[#This Row],[kbli5]],kata_kunci!$B:$H,6,FALSE)</f>
        <v>#N/A</v>
      </c>
      <c r="K175" s="84" t="e">
        <f>VLOOKUP(Table13[[#This Row],[kbli5]],kata_kunci!$B:$H,7,FALSE)</f>
        <v>#N/A</v>
      </c>
    </row>
    <row r="176" spans="1:11" ht="45.75" thickBot="1" x14ac:dyDescent="0.3">
      <c r="A176" s="53" t="s">
        <v>450</v>
      </c>
      <c r="B176" s="40">
        <v>10214</v>
      </c>
      <c r="C176" s="41" t="s">
        <v>459</v>
      </c>
      <c r="D176" s="30" t="e">
        <f>VLOOKUP(Table13[[#This Row],[kbli5]],Table1[[#All],[kbli5]:[digital_hijau]],3,)</f>
        <v>#N/A</v>
      </c>
      <c r="E176" s="53" t="e">
        <f>VLOOKUP(Table13[[#This Row],[kbli5]],kata_kunci!$B:$H,4,FALSE)</f>
        <v>#N/A</v>
      </c>
      <c r="F176" s="53" t="e">
        <f>VLOOKUP(Table13[[#This Row],[kbli5]],Table1[[#All],[kbli5]:[digital_hijau]],5,)</f>
        <v>#N/A</v>
      </c>
      <c r="G176" s="53" t="e">
        <f>VLOOKUP(Table13[[#This Row],[kbli5]],Table1[[#All],[kbli5]:[digital_hijau]],6,)</f>
        <v>#N/A</v>
      </c>
      <c r="H176" s="54" t="e">
        <f>VLOOKUP(Table13[[#This Row],[kbli5]],kata_kunci!$B:$H,3,FALSE)</f>
        <v>#N/A</v>
      </c>
      <c r="I176" s="84" t="e">
        <f>VLOOKUP(Table13[[#This Row],[kbli5]],kata_kunci!$B:$H,5,FALSE)</f>
        <v>#N/A</v>
      </c>
      <c r="J176" s="84" t="e">
        <f>VLOOKUP(Table13[[#This Row],[kbli5]],kata_kunci!$B:$H,6,FALSE)</f>
        <v>#N/A</v>
      </c>
      <c r="K176" s="84" t="e">
        <f>VLOOKUP(Table13[[#This Row],[kbli5]],kata_kunci!$B:$H,7,FALSE)</f>
        <v>#N/A</v>
      </c>
    </row>
    <row r="177" spans="1:11" ht="45.75" thickBot="1" x14ac:dyDescent="0.3">
      <c r="A177" s="53" t="s">
        <v>450</v>
      </c>
      <c r="B177" s="40">
        <v>10215</v>
      </c>
      <c r="C177" s="41" t="s">
        <v>460</v>
      </c>
      <c r="D177" s="30" t="e">
        <f>VLOOKUP(Table13[[#This Row],[kbli5]],Table1[[#All],[kbli5]:[digital_hijau]],3,)</f>
        <v>#N/A</v>
      </c>
      <c r="E177" s="53" t="e">
        <f>VLOOKUP(Table13[[#This Row],[kbli5]],kata_kunci!$B:$H,4,FALSE)</f>
        <v>#N/A</v>
      </c>
      <c r="F177" s="53" t="e">
        <f>VLOOKUP(Table13[[#This Row],[kbli5]],Table1[[#All],[kbli5]:[digital_hijau]],5,)</f>
        <v>#N/A</v>
      </c>
      <c r="G177" s="53" t="e">
        <f>VLOOKUP(Table13[[#This Row],[kbli5]],Table1[[#All],[kbli5]:[digital_hijau]],6,)</f>
        <v>#N/A</v>
      </c>
      <c r="H177" s="54" t="e">
        <f>VLOOKUP(Table13[[#This Row],[kbli5]],kata_kunci!$B:$H,3,FALSE)</f>
        <v>#N/A</v>
      </c>
      <c r="I177" s="84" t="e">
        <f>VLOOKUP(Table13[[#This Row],[kbli5]],kata_kunci!$B:$H,5,FALSE)</f>
        <v>#N/A</v>
      </c>
      <c r="J177" s="84" t="e">
        <f>VLOOKUP(Table13[[#This Row],[kbli5]],kata_kunci!$B:$H,6,FALSE)</f>
        <v>#N/A</v>
      </c>
      <c r="K177" s="84" t="e">
        <f>VLOOKUP(Table13[[#This Row],[kbli5]],kata_kunci!$B:$H,7,FALSE)</f>
        <v>#N/A</v>
      </c>
    </row>
    <row r="178" spans="1:11" ht="45.75" thickBot="1" x14ac:dyDescent="0.3">
      <c r="A178" s="53" t="s">
        <v>450</v>
      </c>
      <c r="B178" s="40">
        <v>10216</v>
      </c>
      <c r="C178" s="41" t="s">
        <v>461</v>
      </c>
      <c r="D178" s="30" t="e">
        <f>VLOOKUP(Table13[[#This Row],[kbli5]],Table1[[#All],[kbli5]:[digital_hijau]],3,)</f>
        <v>#N/A</v>
      </c>
      <c r="E178" s="53" t="e">
        <f>VLOOKUP(Table13[[#This Row],[kbli5]],kata_kunci!$B:$H,4,FALSE)</f>
        <v>#N/A</v>
      </c>
      <c r="F178" s="53" t="e">
        <f>VLOOKUP(Table13[[#This Row],[kbli5]],Table1[[#All],[kbli5]:[digital_hijau]],5,)</f>
        <v>#N/A</v>
      </c>
      <c r="G178" s="53" t="e">
        <f>VLOOKUP(Table13[[#This Row],[kbli5]],Table1[[#All],[kbli5]:[digital_hijau]],6,)</f>
        <v>#N/A</v>
      </c>
      <c r="H178" s="54" t="e">
        <f>VLOOKUP(Table13[[#This Row],[kbli5]],kata_kunci!$B:$H,3,FALSE)</f>
        <v>#N/A</v>
      </c>
      <c r="I178" s="84" t="e">
        <f>VLOOKUP(Table13[[#This Row],[kbli5]],kata_kunci!$B:$H,5,FALSE)</f>
        <v>#N/A</v>
      </c>
      <c r="J178" s="84" t="e">
        <f>VLOOKUP(Table13[[#This Row],[kbli5]],kata_kunci!$B:$H,6,FALSE)</f>
        <v>#N/A</v>
      </c>
      <c r="K178" s="84" t="e">
        <f>VLOOKUP(Table13[[#This Row],[kbli5]],kata_kunci!$B:$H,7,FALSE)</f>
        <v>#N/A</v>
      </c>
    </row>
    <row r="179" spans="1:11" ht="45.75" thickBot="1" x14ac:dyDescent="0.3">
      <c r="A179" s="53" t="s">
        <v>450</v>
      </c>
      <c r="B179" s="40">
        <v>10217</v>
      </c>
      <c r="C179" s="41" t="s">
        <v>462</v>
      </c>
      <c r="D179" s="30" t="e">
        <f>VLOOKUP(Table13[[#This Row],[kbli5]],Table1[[#All],[kbli5]:[digital_hijau]],3,)</f>
        <v>#N/A</v>
      </c>
      <c r="E179" s="53" t="e">
        <f>VLOOKUP(Table13[[#This Row],[kbli5]],kata_kunci!$B:$H,4,FALSE)</f>
        <v>#N/A</v>
      </c>
      <c r="F179" s="53" t="e">
        <f>VLOOKUP(Table13[[#This Row],[kbli5]],Table1[[#All],[kbli5]:[digital_hijau]],5,)</f>
        <v>#N/A</v>
      </c>
      <c r="G179" s="53" t="e">
        <f>VLOOKUP(Table13[[#This Row],[kbli5]],Table1[[#All],[kbli5]:[digital_hijau]],6,)</f>
        <v>#N/A</v>
      </c>
      <c r="H179" s="54" t="e">
        <f>VLOOKUP(Table13[[#This Row],[kbli5]],kata_kunci!$B:$H,3,FALSE)</f>
        <v>#N/A</v>
      </c>
      <c r="I179" s="84" t="e">
        <f>VLOOKUP(Table13[[#This Row],[kbli5]],kata_kunci!$B:$H,5,FALSE)</f>
        <v>#N/A</v>
      </c>
      <c r="J179" s="84" t="e">
        <f>VLOOKUP(Table13[[#This Row],[kbli5]],kata_kunci!$B:$H,6,FALSE)</f>
        <v>#N/A</v>
      </c>
      <c r="K179" s="84" t="e">
        <f>VLOOKUP(Table13[[#This Row],[kbli5]],kata_kunci!$B:$H,7,FALSE)</f>
        <v>#N/A</v>
      </c>
    </row>
    <row r="180" spans="1:11" ht="45.75" thickBot="1" x14ac:dyDescent="0.3">
      <c r="A180" s="53" t="s">
        <v>450</v>
      </c>
      <c r="B180" s="40">
        <v>10218</v>
      </c>
      <c r="C180" s="41" t="s">
        <v>463</v>
      </c>
      <c r="D180" s="30" t="e">
        <f>VLOOKUP(Table13[[#This Row],[kbli5]],Table1[[#All],[kbli5]:[digital_hijau]],3,)</f>
        <v>#N/A</v>
      </c>
      <c r="E180" s="53" t="e">
        <f>VLOOKUP(Table13[[#This Row],[kbli5]],kata_kunci!$B:$H,4,FALSE)</f>
        <v>#N/A</v>
      </c>
      <c r="F180" s="53" t="e">
        <f>VLOOKUP(Table13[[#This Row],[kbli5]],Table1[[#All],[kbli5]:[digital_hijau]],5,)</f>
        <v>#N/A</v>
      </c>
      <c r="G180" s="53" t="e">
        <f>VLOOKUP(Table13[[#This Row],[kbli5]],Table1[[#All],[kbli5]:[digital_hijau]],6,)</f>
        <v>#N/A</v>
      </c>
      <c r="H180" s="54" t="e">
        <f>VLOOKUP(Table13[[#This Row],[kbli5]],kata_kunci!$B:$H,3,FALSE)</f>
        <v>#N/A</v>
      </c>
      <c r="I180" s="84" t="e">
        <f>VLOOKUP(Table13[[#This Row],[kbli5]],kata_kunci!$B:$H,5,FALSE)</f>
        <v>#N/A</v>
      </c>
      <c r="J180" s="84" t="e">
        <f>VLOOKUP(Table13[[#This Row],[kbli5]],kata_kunci!$B:$H,6,FALSE)</f>
        <v>#N/A</v>
      </c>
      <c r="K180" s="84" t="e">
        <f>VLOOKUP(Table13[[#This Row],[kbli5]],kata_kunci!$B:$H,7,FALSE)</f>
        <v>#N/A</v>
      </c>
    </row>
    <row r="181" spans="1:11" ht="45.75" thickBot="1" x14ac:dyDescent="0.3">
      <c r="A181" s="53" t="s">
        <v>450</v>
      </c>
      <c r="B181" s="40">
        <v>10219</v>
      </c>
      <c r="C181" s="41" t="s">
        <v>464</v>
      </c>
      <c r="D181" s="30" t="e">
        <f>VLOOKUP(Table13[[#This Row],[kbli5]],Table1[[#All],[kbli5]:[digital_hijau]],3,)</f>
        <v>#N/A</v>
      </c>
      <c r="E181" s="53" t="e">
        <f>VLOOKUP(Table13[[#This Row],[kbli5]],kata_kunci!$B:$H,4,FALSE)</f>
        <v>#N/A</v>
      </c>
      <c r="F181" s="53" t="e">
        <f>VLOOKUP(Table13[[#This Row],[kbli5]],Table1[[#All],[kbli5]:[digital_hijau]],5,)</f>
        <v>#N/A</v>
      </c>
      <c r="G181" s="53" t="e">
        <f>VLOOKUP(Table13[[#This Row],[kbli5]],Table1[[#All],[kbli5]:[digital_hijau]],6,)</f>
        <v>#N/A</v>
      </c>
      <c r="H181" s="54" t="e">
        <f>VLOOKUP(Table13[[#This Row],[kbli5]],kata_kunci!$B:$H,3,FALSE)</f>
        <v>#N/A</v>
      </c>
      <c r="I181" s="84" t="e">
        <f>VLOOKUP(Table13[[#This Row],[kbli5]],kata_kunci!$B:$H,5,FALSE)</f>
        <v>#N/A</v>
      </c>
      <c r="J181" s="84" t="e">
        <f>VLOOKUP(Table13[[#This Row],[kbli5]],kata_kunci!$B:$H,6,FALSE)</f>
        <v>#N/A</v>
      </c>
      <c r="K181" s="84" t="e">
        <f>VLOOKUP(Table13[[#This Row],[kbli5]],kata_kunci!$B:$H,7,FALSE)</f>
        <v>#N/A</v>
      </c>
    </row>
    <row r="182" spans="1:11" ht="45.75" thickBot="1" x14ac:dyDescent="0.3">
      <c r="A182" s="53" t="s">
        <v>450</v>
      </c>
      <c r="B182" s="40">
        <v>10291</v>
      </c>
      <c r="C182" s="41" t="s">
        <v>465</v>
      </c>
      <c r="D182" s="30" t="e">
        <f>VLOOKUP(Table13[[#This Row],[kbli5]],Table1[[#All],[kbli5]:[digital_hijau]],3,)</f>
        <v>#N/A</v>
      </c>
      <c r="E182" s="53" t="e">
        <f>VLOOKUP(Table13[[#This Row],[kbli5]],kata_kunci!$B:$H,4,FALSE)</f>
        <v>#N/A</v>
      </c>
      <c r="F182" s="53" t="e">
        <f>VLOOKUP(Table13[[#This Row],[kbli5]],Table1[[#All],[kbli5]:[digital_hijau]],5,)</f>
        <v>#N/A</v>
      </c>
      <c r="G182" s="53" t="e">
        <f>VLOOKUP(Table13[[#This Row],[kbli5]],Table1[[#All],[kbli5]:[digital_hijau]],6,)</f>
        <v>#N/A</v>
      </c>
      <c r="H182" s="54" t="e">
        <f>VLOOKUP(Table13[[#This Row],[kbli5]],kata_kunci!$B:$H,3,FALSE)</f>
        <v>#N/A</v>
      </c>
      <c r="I182" s="84" t="e">
        <f>VLOOKUP(Table13[[#This Row],[kbli5]],kata_kunci!$B:$H,5,FALSE)</f>
        <v>#N/A</v>
      </c>
      <c r="J182" s="84" t="e">
        <f>VLOOKUP(Table13[[#This Row],[kbli5]],kata_kunci!$B:$H,6,FALSE)</f>
        <v>#N/A</v>
      </c>
      <c r="K182" s="84" t="e">
        <f>VLOOKUP(Table13[[#This Row],[kbli5]],kata_kunci!$B:$H,7,FALSE)</f>
        <v>#N/A</v>
      </c>
    </row>
    <row r="183" spans="1:11" ht="45.75" thickBot="1" x14ac:dyDescent="0.3">
      <c r="A183" s="53" t="s">
        <v>450</v>
      </c>
      <c r="B183" s="40">
        <v>10292</v>
      </c>
      <c r="C183" s="41" t="s">
        <v>465</v>
      </c>
      <c r="D183" s="30" t="e">
        <f>VLOOKUP(Table13[[#This Row],[kbli5]],Table1[[#All],[kbli5]:[digital_hijau]],3,)</f>
        <v>#N/A</v>
      </c>
      <c r="E183" s="53" t="e">
        <f>VLOOKUP(Table13[[#This Row],[kbli5]],kata_kunci!$B:$H,4,FALSE)</f>
        <v>#N/A</v>
      </c>
      <c r="F183" s="53" t="e">
        <f>VLOOKUP(Table13[[#This Row],[kbli5]],Table1[[#All],[kbli5]:[digital_hijau]],5,)</f>
        <v>#N/A</v>
      </c>
      <c r="G183" s="53" t="e">
        <f>VLOOKUP(Table13[[#This Row],[kbli5]],Table1[[#All],[kbli5]:[digital_hijau]],6,)</f>
        <v>#N/A</v>
      </c>
      <c r="H183" s="54" t="e">
        <f>VLOOKUP(Table13[[#This Row],[kbli5]],kata_kunci!$B:$H,3,FALSE)</f>
        <v>#N/A</v>
      </c>
      <c r="I183" s="84" t="e">
        <f>VLOOKUP(Table13[[#This Row],[kbli5]],kata_kunci!$B:$H,5,FALSE)</f>
        <v>#N/A</v>
      </c>
      <c r="J183" s="84" t="e">
        <f>VLOOKUP(Table13[[#This Row],[kbli5]],kata_kunci!$B:$H,6,FALSE)</f>
        <v>#N/A</v>
      </c>
      <c r="K183" s="84" t="e">
        <f>VLOOKUP(Table13[[#This Row],[kbli5]],kata_kunci!$B:$H,7,FALSE)</f>
        <v>#N/A</v>
      </c>
    </row>
    <row r="184" spans="1:11" ht="45.75" thickBot="1" x14ac:dyDescent="0.3">
      <c r="A184" s="53" t="s">
        <v>450</v>
      </c>
      <c r="B184" s="40">
        <v>10293</v>
      </c>
      <c r="C184" s="41" t="s">
        <v>465</v>
      </c>
      <c r="D184" s="30" t="e">
        <f>VLOOKUP(Table13[[#This Row],[kbli5]],Table1[[#All],[kbli5]:[digital_hijau]],3,)</f>
        <v>#N/A</v>
      </c>
      <c r="E184" s="53" t="e">
        <f>VLOOKUP(Table13[[#This Row],[kbli5]],kata_kunci!$B:$H,4,FALSE)</f>
        <v>#N/A</v>
      </c>
      <c r="F184" s="53" t="e">
        <f>VLOOKUP(Table13[[#This Row],[kbli5]],Table1[[#All],[kbli5]:[digital_hijau]],5,)</f>
        <v>#N/A</v>
      </c>
      <c r="G184" s="53" t="e">
        <f>VLOOKUP(Table13[[#This Row],[kbli5]],Table1[[#All],[kbli5]:[digital_hijau]],6,)</f>
        <v>#N/A</v>
      </c>
      <c r="H184" s="54" t="e">
        <f>VLOOKUP(Table13[[#This Row],[kbli5]],kata_kunci!$B:$H,3,FALSE)</f>
        <v>#N/A</v>
      </c>
      <c r="I184" s="84" t="e">
        <f>VLOOKUP(Table13[[#This Row],[kbli5]],kata_kunci!$B:$H,5,FALSE)</f>
        <v>#N/A</v>
      </c>
      <c r="J184" s="84" t="e">
        <f>VLOOKUP(Table13[[#This Row],[kbli5]],kata_kunci!$B:$H,6,FALSE)</f>
        <v>#N/A</v>
      </c>
      <c r="K184" s="84" t="e">
        <f>VLOOKUP(Table13[[#This Row],[kbli5]],kata_kunci!$B:$H,7,FALSE)</f>
        <v>#N/A</v>
      </c>
    </row>
    <row r="185" spans="1:11" ht="45.75" thickBot="1" x14ac:dyDescent="0.3">
      <c r="A185" s="53" t="s">
        <v>450</v>
      </c>
      <c r="B185" s="40">
        <v>10294</v>
      </c>
      <c r="C185" s="41" t="s">
        <v>465</v>
      </c>
      <c r="D185" s="30" t="e">
        <f>VLOOKUP(Table13[[#This Row],[kbli5]],Table1[[#All],[kbli5]:[digital_hijau]],3,)</f>
        <v>#N/A</v>
      </c>
      <c r="E185" s="53" t="e">
        <f>VLOOKUP(Table13[[#This Row],[kbli5]],kata_kunci!$B:$H,4,FALSE)</f>
        <v>#N/A</v>
      </c>
      <c r="F185" s="53" t="e">
        <f>VLOOKUP(Table13[[#This Row],[kbli5]],Table1[[#All],[kbli5]:[digital_hijau]],5,)</f>
        <v>#N/A</v>
      </c>
      <c r="G185" s="53" t="e">
        <f>VLOOKUP(Table13[[#This Row],[kbli5]],Table1[[#All],[kbli5]:[digital_hijau]],6,)</f>
        <v>#N/A</v>
      </c>
      <c r="H185" s="54" t="e">
        <f>VLOOKUP(Table13[[#This Row],[kbli5]],kata_kunci!$B:$H,3,FALSE)</f>
        <v>#N/A</v>
      </c>
      <c r="I185" s="84" t="e">
        <f>VLOOKUP(Table13[[#This Row],[kbli5]],kata_kunci!$B:$H,5,FALSE)</f>
        <v>#N/A</v>
      </c>
      <c r="J185" s="84" t="e">
        <f>VLOOKUP(Table13[[#This Row],[kbli5]],kata_kunci!$B:$H,6,FALSE)</f>
        <v>#N/A</v>
      </c>
      <c r="K185" s="84" t="e">
        <f>VLOOKUP(Table13[[#This Row],[kbli5]],kata_kunci!$B:$H,7,FALSE)</f>
        <v>#N/A</v>
      </c>
    </row>
    <row r="186" spans="1:11" ht="45.75" thickBot="1" x14ac:dyDescent="0.3">
      <c r="A186" s="53" t="s">
        <v>450</v>
      </c>
      <c r="B186" s="40">
        <v>10295</v>
      </c>
      <c r="C186" s="41" t="s">
        <v>465</v>
      </c>
      <c r="D186" s="30" t="e">
        <f>VLOOKUP(Table13[[#This Row],[kbli5]],Table1[[#All],[kbli5]:[digital_hijau]],3,)</f>
        <v>#N/A</v>
      </c>
      <c r="E186" s="53" t="e">
        <f>VLOOKUP(Table13[[#This Row],[kbli5]],kata_kunci!$B:$H,4,FALSE)</f>
        <v>#N/A</v>
      </c>
      <c r="F186" s="53" t="e">
        <f>VLOOKUP(Table13[[#This Row],[kbli5]],Table1[[#All],[kbli5]:[digital_hijau]],5,)</f>
        <v>#N/A</v>
      </c>
      <c r="G186" s="53" t="e">
        <f>VLOOKUP(Table13[[#This Row],[kbli5]],Table1[[#All],[kbli5]:[digital_hijau]],6,)</f>
        <v>#N/A</v>
      </c>
      <c r="H186" s="54" t="e">
        <f>VLOOKUP(Table13[[#This Row],[kbli5]],kata_kunci!$B:$H,3,FALSE)</f>
        <v>#N/A</v>
      </c>
      <c r="I186" s="84" t="e">
        <f>VLOOKUP(Table13[[#This Row],[kbli5]],kata_kunci!$B:$H,5,FALSE)</f>
        <v>#N/A</v>
      </c>
      <c r="J186" s="84" t="e">
        <f>VLOOKUP(Table13[[#This Row],[kbli5]],kata_kunci!$B:$H,6,FALSE)</f>
        <v>#N/A</v>
      </c>
      <c r="K186" s="84" t="e">
        <f>VLOOKUP(Table13[[#This Row],[kbli5]],kata_kunci!$B:$H,7,FALSE)</f>
        <v>#N/A</v>
      </c>
    </row>
    <row r="187" spans="1:11" ht="45.75" thickBot="1" x14ac:dyDescent="0.3">
      <c r="A187" s="53" t="s">
        <v>450</v>
      </c>
      <c r="B187" s="40">
        <v>10296</v>
      </c>
      <c r="C187" s="41" t="s">
        <v>465</v>
      </c>
      <c r="D187" s="30" t="e">
        <f>VLOOKUP(Table13[[#This Row],[kbli5]],Table1[[#All],[kbli5]:[digital_hijau]],3,)</f>
        <v>#N/A</v>
      </c>
      <c r="E187" s="53" t="e">
        <f>VLOOKUP(Table13[[#This Row],[kbli5]],kata_kunci!$B:$H,4,FALSE)</f>
        <v>#N/A</v>
      </c>
      <c r="F187" s="53" t="e">
        <f>VLOOKUP(Table13[[#This Row],[kbli5]],Table1[[#All],[kbli5]:[digital_hijau]],5,)</f>
        <v>#N/A</v>
      </c>
      <c r="G187" s="53" t="e">
        <f>VLOOKUP(Table13[[#This Row],[kbli5]],Table1[[#All],[kbli5]:[digital_hijau]],6,)</f>
        <v>#N/A</v>
      </c>
      <c r="H187" s="54" t="e">
        <f>VLOOKUP(Table13[[#This Row],[kbli5]],kata_kunci!$B:$H,3,FALSE)</f>
        <v>#N/A</v>
      </c>
      <c r="I187" s="84" t="e">
        <f>VLOOKUP(Table13[[#This Row],[kbli5]],kata_kunci!$B:$H,5,FALSE)</f>
        <v>#N/A</v>
      </c>
      <c r="J187" s="84" t="e">
        <f>VLOOKUP(Table13[[#This Row],[kbli5]],kata_kunci!$B:$H,6,FALSE)</f>
        <v>#N/A</v>
      </c>
      <c r="K187" s="84" t="e">
        <f>VLOOKUP(Table13[[#This Row],[kbli5]],kata_kunci!$B:$H,7,FALSE)</f>
        <v>#N/A</v>
      </c>
    </row>
    <row r="188" spans="1:11" ht="45.75" thickBot="1" x14ac:dyDescent="0.3">
      <c r="A188" s="53" t="s">
        <v>450</v>
      </c>
      <c r="B188" s="40">
        <v>10297</v>
      </c>
      <c r="C188" s="41" t="s">
        <v>465</v>
      </c>
      <c r="D188" s="30" t="e">
        <f>VLOOKUP(Table13[[#This Row],[kbli5]],Table1[[#All],[kbli5]:[digital_hijau]],3,)</f>
        <v>#N/A</v>
      </c>
      <c r="E188" s="53" t="e">
        <f>VLOOKUP(Table13[[#This Row],[kbli5]],kata_kunci!$B:$H,4,FALSE)</f>
        <v>#N/A</v>
      </c>
      <c r="F188" s="53" t="e">
        <f>VLOOKUP(Table13[[#This Row],[kbli5]],Table1[[#All],[kbli5]:[digital_hijau]],5,)</f>
        <v>#N/A</v>
      </c>
      <c r="G188" s="53" t="e">
        <f>VLOOKUP(Table13[[#This Row],[kbli5]],Table1[[#All],[kbli5]:[digital_hijau]],6,)</f>
        <v>#N/A</v>
      </c>
      <c r="H188" s="54" t="e">
        <f>VLOOKUP(Table13[[#This Row],[kbli5]],kata_kunci!$B:$H,3,FALSE)</f>
        <v>#N/A</v>
      </c>
      <c r="I188" s="84" t="e">
        <f>VLOOKUP(Table13[[#This Row],[kbli5]],kata_kunci!$B:$H,5,FALSE)</f>
        <v>#N/A</v>
      </c>
      <c r="J188" s="84" t="e">
        <f>VLOOKUP(Table13[[#This Row],[kbli5]],kata_kunci!$B:$H,6,FALSE)</f>
        <v>#N/A</v>
      </c>
      <c r="K188" s="84" t="e">
        <f>VLOOKUP(Table13[[#This Row],[kbli5]],kata_kunci!$B:$H,7,FALSE)</f>
        <v>#N/A</v>
      </c>
    </row>
    <row r="189" spans="1:11" ht="45.75" thickBot="1" x14ac:dyDescent="0.3">
      <c r="A189" s="53" t="s">
        <v>450</v>
      </c>
      <c r="B189" s="40">
        <v>10298</v>
      </c>
      <c r="C189" s="41" t="s">
        <v>466</v>
      </c>
      <c r="D189" s="30" t="e">
        <f>VLOOKUP(Table13[[#This Row],[kbli5]],Table1[[#All],[kbli5]:[digital_hijau]],3,)</f>
        <v>#N/A</v>
      </c>
      <c r="E189" s="53" t="e">
        <f>VLOOKUP(Table13[[#This Row],[kbli5]],kata_kunci!$B:$H,4,FALSE)</f>
        <v>#N/A</v>
      </c>
      <c r="F189" s="53" t="e">
        <f>VLOOKUP(Table13[[#This Row],[kbli5]],Table1[[#All],[kbli5]:[digital_hijau]],5,)</f>
        <v>#N/A</v>
      </c>
      <c r="G189" s="53" t="e">
        <f>VLOOKUP(Table13[[#This Row],[kbli5]],Table1[[#All],[kbli5]:[digital_hijau]],6,)</f>
        <v>#N/A</v>
      </c>
      <c r="H189" s="54" t="e">
        <f>VLOOKUP(Table13[[#This Row],[kbli5]],kata_kunci!$B:$H,3,FALSE)</f>
        <v>#N/A</v>
      </c>
      <c r="I189" s="84" t="e">
        <f>VLOOKUP(Table13[[#This Row],[kbli5]],kata_kunci!$B:$H,5,FALSE)</f>
        <v>#N/A</v>
      </c>
      <c r="J189" s="84" t="e">
        <f>VLOOKUP(Table13[[#This Row],[kbli5]],kata_kunci!$B:$H,6,FALSE)</f>
        <v>#N/A</v>
      </c>
      <c r="K189" s="84" t="e">
        <f>VLOOKUP(Table13[[#This Row],[kbli5]],kata_kunci!$B:$H,7,FALSE)</f>
        <v>#N/A</v>
      </c>
    </row>
    <row r="190" spans="1:11" ht="45.75" thickBot="1" x14ac:dyDescent="0.3">
      <c r="A190" s="53" t="s">
        <v>450</v>
      </c>
      <c r="B190" s="40">
        <v>10299</v>
      </c>
      <c r="C190" s="41" t="s">
        <v>467</v>
      </c>
      <c r="D190" s="30" t="e">
        <f>VLOOKUP(Table13[[#This Row],[kbli5]],Table1[[#All],[kbli5]:[digital_hijau]],3,)</f>
        <v>#N/A</v>
      </c>
      <c r="E190" s="53" t="e">
        <f>VLOOKUP(Table13[[#This Row],[kbli5]],kata_kunci!$B:$H,4,FALSE)</f>
        <v>#N/A</v>
      </c>
      <c r="F190" s="53" t="e">
        <f>VLOOKUP(Table13[[#This Row],[kbli5]],Table1[[#All],[kbli5]:[digital_hijau]],5,)</f>
        <v>#N/A</v>
      </c>
      <c r="G190" s="53" t="e">
        <f>VLOOKUP(Table13[[#This Row],[kbli5]],Table1[[#All],[kbli5]:[digital_hijau]],6,)</f>
        <v>#N/A</v>
      </c>
      <c r="H190" s="54" t="e">
        <f>VLOOKUP(Table13[[#This Row],[kbli5]],kata_kunci!$B:$H,3,FALSE)</f>
        <v>#N/A</v>
      </c>
      <c r="I190" s="84" t="e">
        <f>VLOOKUP(Table13[[#This Row],[kbli5]],kata_kunci!$B:$H,5,FALSE)</f>
        <v>#N/A</v>
      </c>
      <c r="J190" s="84" t="e">
        <f>VLOOKUP(Table13[[#This Row],[kbli5]],kata_kunci!$B:$H,6,FALSE)</f>
        <v>#N/A</v>
      </c>
      <c r="K190" s="84" t="e">
        <f>VLOOKUP(Table13[[#This Row],[kbli5]],kata_kunci!$B:$H,7,FALSE)</f>
        <v>#N/A</v>
      </c>
    </row>
    <row r="191" spans="1:11" ht="30.75" thickBot="1" x14ac:dyDescent="0.3">
      <c r="A191" s="53" t="s">
        <v>450</v>
      </c>
      <c r="B191" s="40">
        <v>10301</v>
      </c>
      <c r="C191" s="41" t="s">
        <v>468</v>
      </c>
      <c r="D191" s="30" t="e">
        <f>VLOOKUP(Table13[[#This Row],[kbli5]],Table1[[#All],[kbli5]:[digital_hijau]],3,)</f>
        <v>#N/A</v>
      </c>
      <c r="E191" s="53" t="e">
        <f>VLOOKUP(Table13[[#This Row],[kbli5]],kata_kunci!$B:$H,4,FALSE)</f>
        <v>#N/A</v>
      </c>
      <c r="F191" s="53" t="e">
        <f>VLOOKUP(Table13[[#This Row],[kbli5]],Table1[[#All],[kbli5]:[digital_hijau]],5,)</f>
        <v>#N/A</v>
      </c>
      <c r="G191" s="53" t="e">
        <f>VLOOKUP(Table13[[#This Row],[kbli5]],Table1[[#All],[kbli5]:[digital_hijau]],6,)</f>
        <v>#N/A</v>
      </c>
      <c r="H191" s="54" t="e">
        <f>VLOOKUP(Table13[[#This Row],[kbli5]],kata_kunci!$B:$H,3,FALSE)</f>
        <v>#N/A</v>
      </c>
      <c r="I191" s="84" t="e">
        <f>VLOOKUP(Table13[[#This Row],[kbli5]],kata_kunci!$B:$H,5,FALSE)</f>
        <v>#N/A</v>
      </c>
      <c r="J191" s="84" t="e">
        <f>VLOOKUP(Table13[[#This Row],[kbli5]],kata_kunci!$B:$H,6,FALSE)</f>
        <v>#N/A</v>
      </c>
      <c r="K191" s="84" t="e">
        <f>VLOOKUP(Table13[[#This Row],[kbli5]],kata_kunci!$B:$H,7,FALSE)</f>
        <v>#N/A</v>
      </c>
    </row>
    <row r="192" spans="1:11" ht="30.75" thickBot="1" x14ac:dyDescent="0.3">
      <c r="A192" s="53" t="s">
        <v>450</v>
      </c>
      <c r="B192" s="40">
        <v>10302</v>
      </c>
      <c r="C192" s="41" t="s">
        <v>469</v>
      </c>
      <c r="D192" s="30" t="e">
        <f>VLOOKUP(Table13[[#This Row],[kbli5]],Table1[[#All],[kbli5]:[digital_hijau]],3,)</f>
        <v>#N/A</v>
      </c>
      <c r="E192" s="53" t="e">
        <f>VLOOKUP(Table13[[#This Row],[kbli5]],kata_kunci!$B:$H,4,FALSE)</f>
        <v>#N/A</v>
      </c>
      <c r="F192" s="53" t="e">
        <f>VLOOKUP(Table13[[#This Row],[kbli5]],Table1[[#All],[kbli5]:[digital_hijau]],5,)</f>
        <v>#N/A</v>
      </c>
      <c r="G192" s="53" t="e">
        <f>VLOOKUP(Table13[[#This Row],[kbli5]],Table1[[#All],[kbli5]:[digital_hijau]],6,)</f>
        <v>#N/A</v>
      </c>
      <c r="H192" s="54" t="e">
        <f>VLOOKUP(Table13[[#This Row],[kbli5]],kata_kunci!$B:$H,3,FALSE)</f>
        <v>#N/A</v>
      </c>
      <c r="I192" s="84" t="e">
        <f>VLOOKUP(Table13[[#This Row],[kbli5]],kata_kunci!$B:$H,5,FALSE)</f>
        <v>#N/A</v>
      </c>
      <c r="J192" s="84" t="e">
        <f>VLOOKUP(Table13[[#This Row],[kbli5]],kata_kunci!$B:$H,6,FALSE)</f>
        <v>#N/A</v>
      </c>
      <c r="K192" s="84" t="e">
        <f>VLOOKUP(Table13[[#This Row],[kbli5]],kata_kunci!$B:$H,7,FALSE)</f>
        <v>#N/A</v>
      </c>
    </row>
    <row r="193" spans="1:11" ht="30.75" thickBot="1" x14ac:dyDescent="0.3">
      <c r="A193" s="53" t="s">
        <v>450</v>
      </c>
      <c r="B193" s="40">
        <v>10303</v>
      </c>
      <c r="C193" s="41" t="s">
        <v>470</v>
      </c>
      <c r="D193" s="30" t="e">
        <f>VLOOKUP(Table13[[#This Row],[kbli5]],Table1[[#All],[kbli5]:[digital_hijau]],3,)</f>
        <v>#N/A</v>
      </c>
      <c r="E193" s="53" t="e">
        <f>VLOOKUP(Table13[[#This Row],[kbli5]],kata_kunci!$B:$H,4,FALSE)</f>
        <v>#N/A</v>
      </c>
      <c r="F193" s="53" t="e">
        <f>VLOOKUP(Table13[[#This Row],[kbli5]],Table1[[#All],[kbli5]:[digital_hijau]],5,)</f>
        <v>#N/A</v>
      </c>
      <c r="G193" s="53" t="e">
        <f>VLOOKUP(Table13[[#This Row],[kbli5]],Table1[[#All],[kbli5]:[digital_hijau]],6,)</f>
        <v>#N/A</v>
      </c>
      <c r="H193" s="54" t="e">
        <f>VLOOKUP(Table13[[#This Row],[kbli5]],kata_kunci!$B:$H,3,FALSE)</f>
        <v>#N/A</v>
      </c>
      <c r="I193" s="84" t="e">
        <f>VLOOKUP(Table13[[#This Row],[kbli5]],kata_kunci!$B:$H,5,FALSE)</f>
        <v>#N/A</v>
      </c>
      <c r="J193" s="84" t="e">
        <f>VLOOKUP(Table13[[#This Row],[kbli5]],kata_kunci!$B:$H,6,FALSE)</f>
        <v>#N/A</v>
      </c>
      <c r="K193" s="84" t="e">
        <f>VLOOKUP(Table13[[#This Row],[kbli5]],kata_kunci!$B:$H,7,FALSE)</f>
        <v>#N/A</v>
      </c>
    </row>
    <row r="194" spans="1:11" ht="30.75" thickBot="1" x14ac:dyDescent="0.3">
      <c r="A194" s="53" t="s">
        <v>450</v>
      </c>
      <c r="B194" s="40">
        <v>10304</v>
      </c>
      <c r="C194" s="41" t="s">
        <v>471</v>
      </c>
      <c r="D194" s="30" t="e">
        <f>VLOOKUP(Table13[[#This Row],[kbli5]],Table1[[#All],[kbli5]:[digital_hijau]],3,)</f>
        <v>#N/A</v>
      </c>
      <c r="E194" s="53" t="e">
        <f>VLOOKUP(Table13[[#This Row],[kbli5]],kata_kunci!$B:$H,4,FALSE)</f>
        <v>#N/A</v>
      </c>
      <c r="F194" s="53" t="e">
        <f>VLOOKUP(Table13[[#This Row],[kbli5]],Table1[[#All],[kbli5]:[digital_hijau]],5,)</f>
        <v>#N/A</v>
      </c>
      <c r="G194" s="53" t="e">
        <f>VLOOKUP(Table13[[#This Row],[kbli5]],Table1[[#All],[kbli5]:[digital_hijau]],6,)</f>
        <v>#N/A</v>
      </c>
      <c r="H194" s="54" t="e">
        <f>VLOOKUP(Table13[[#This Row],[kbli5]],kata_kunci!$B:$H,3,FALSE)</f>
        <v>#N/A</v>
      </c>
      <c r="I194" s="84" t="e">
        <f>VLOOKUP(Table13[[#This Row],[kbli5]],kata_kunci!$B:$H,5,FALSE)</f>
        <v>#N/A</v>
      </c>
      <c r="J194" s="84" t="e">
        <f>VLOOKUP(Table13[[#This Row],[kbli5]],kata_kunci!$B:$H,6,FALSE)</f>
        <v>#N/A</v>
      </c>
      <c r="K194" s="84" t="e">
        <f>VLOOKUP(Table13[[#This Row],[kbli5]],kata_kunci!$B:$H,7,FALSE)</f>
        <v>#N/A</v>
      </c>
    </row>
    <row r="195" spans="1:11" ht="30.75" thickBot="1" x14ac:dyDescent="0.3">
      <c r="A195" s="53" t="s">
        <v>450</v>
      </c>
      <c r="B195" s="40">
        <v>10305</v>
      </c>
      <c r="C195" s="41" t="s">
        <v>472</v>
      </c>
      <c r="D195" s="30" t="e">
        <f>VLOOKUP(Table13[[#This Row],[kbli5]],Table1[[#All],[kbli5]:[digital_hijau]],3,)</f>
        <v>#N/A</v>
      </c>
      <c r="E195" s="53" t="e">
        <f>VLOOKUP(Table13[[#This Row],[kbli5]],kata_kunci!$B:$H,4,FALSE)</f>
        <v>#N/A</v>
      </c>
      <c r="F195" s="53" t="e">
        <f>VLOOKUP(Table13[[#This Row],[kbli5]],Table1[[#All],[kbli5]:[digital_hijau]],5,)</f>
        <v>#N/A</v>
      </c>
      <c r="G195" s="53" t="e">
        <f>VLOOKUP(Table13[[#This Row],[kbli5]],Table1[[#All],[kbli5]:[digital_hijau]],6,)</f>
        <v>#N/A</v>
      </c>
      <c r="H195" s="54" t="e">
        <f>VLOOKUP(Table13[[#This Row],[kbli5]],kata_kunci!$B:$H,3,FALSE)</f>
        <v>#N/A</v>
      </c>
      <c r="I195" s="84" t="e">
        <f>VLOOKUP(Table13[[#This Row],[kbli5]],kata_kunci!$B:$H,5,FALSE)</f>
        <v>#N/A</v>
      </c>
      <c r="J195" s="84" t="e">
        <f>VLOOKUP(Table13[[#This Row],[kbli5]],kata_kunci!$B:$H,6,FALSE)</f>
        <v>#N/A</v>
      </c>
      <c r="K195" s="84" t="e">
        <f>VLOOKUP(Table13[[#This Row],[kbli5]],kata_kunci!$B:$H,7,FALSE)</f>
        <v>#N/A</v>
      </c>
    </row>
    <row r="196" spans="1:11" ht="30.75" thickBot="1" x14ac:dyDescent="0.3">
      <c r="A196" s="53" t="s">
        <v>450</v>
      </c>
      <c r="B196" s="40">
        <v>10306</v>
      </c>
      <c r="C196" s="41" t="s">
        <v>473</v>
      </c>
      <c r="D196" s="30" t="e">
        <f>VLOOKUP(Table13[[#This Row],[kbli5]],Table1[[#All],[kbli5]:[digital_hijau]],3,)</f>
        <v>#N/A</v>
      </c>
      <c r="E196" s="53" t="e">
        <f>VLOOKUP(Table13[[#This Row],[kbli5]],kata_kunci!$B:$H,4,FALSE)</f>
        <v>#N/A</v>
      </c>
      <c r="F196" s="53" t="e">
        <f>VLOOKUP(Table13[[#This Row],[kbli5]],Table1[[#All],[kbli5]:[digital_hijau]],5,)</f>
        <v>#N/A</v>
      </c>
      <c r="G196" s="53" t="e">
        <f>VLOOKUP(Table13[[#This Row],[kbli5]],Table1[[#All],[kbli5]:[digital_hijau]],6,)</f>
        <v>#N/A</v>
      </c>
      <c r="H196" s="54" t="e">
        <f>VLOOKUP(Table13[[#This Row],[kbli5]],kata_kunci!$B:$H,3,FALSE)</f>
        <v>#N/A</v>
      </c>
      <c r="I196" s="84" t="e">
        <f>VLOOKUP(Table13[[#This Row],[kbli5]],kata_kunci!$B:$H,5,FALSE)</f>
        <v>#N/A</v>
      </c>
      <c r="J196" s="84" t="e">
        <f>VLOOKUP(Table13[[#This Row],[kbli5]],kata_kunci!$B:$H,6,FALSE)</f>
        <v>#N/A</v>
      </c>
      <c r="K196" s="84" t="e">
        <f>VLOOKUP(Table13[[#This Row],[kbli5]],kata_kunci!$B:$H,7,FALSE)</f>
        <v>#N/A</v>
      </c>
    </row>
    <row r="197" spans="1:11" ht="30.75" thickBot="1" x14ac:dyDescent="0.3">
      <c r="A197" s="53" t="s">
        <v>450</v>
      </c>
      <c r="B197" s="40">
        <v>10307</v>
      </c>
      <c r="C197" s="41" t="s">
        <v>474</v>
      </c>
      <c r="D197" s="30" t="e">
        <f>VLOOKUP(Table13[[#This Row],[kbli5]],Table1[[#All],[kbli5]:[digital_hijau]],3,)</f>
        <v>#N/A</v>
      </c>
      <c r="E197" s="53" t="e">
        <f>VLOOKUP(Table13[[#This Row],[kbli5]],kata_kunci!$B:$H,4,FALSE)</f>
        <v>#N/A</v>
      </c>
      <c r="F197" s="53" t="e">
        <f>VLOOKUP(Table13[[#This Row],[kbli5]],Table1[[#All],[kbli5]:[digital_hijau]],5,)</f>
        <v>#N/A</v>
      </c>
      <c r="G197" s="53" t="e">
        <f>VLOOKUP(Table13[[#This Row],[kbli5]],Table1[[#All],[kbli5]:[digital_hijau]],6,)</f>
        <v>#N/A</v>
      </c>
      <c r="H197" s="54" t="e">
        <f>VLOOKUP(Table13[[#This Row],[kbli5]],kata_kunci!$B:$H,3,FALSE)</f>
        <v>#N/A</v>
      </c>
      <c r="I197" s="84" t="e">
        <f>VLOOKUP(Table13[[#This Row],[kbli5]],kata_kunci!$B:$H,5,FALSE)</f>
        <v>#N/A</v>
      </c>
      <c r="J197" s="84" t="e">
        <f>VLOOKUP(Table13[[#This Row],[kbli5]],kata_kunci!$B:$H,6,FALSE)</f>
        <v>#N/A</v>
      </c>
      <c r="K197" s="84" t="e">
        <f>VLOOKUP(Table13[[#This Row],[kbli5]],kata_kunci!$B:$H,7,FALSE)</f>
        <v>#N/A</v>
      </c>
    </row>
    <row r="198" spans="1:11" ht="15.75" thickBot="1" x14ac:dyDescent="0.3">
      <c r="A198" s="53" t="s">
        <v>450</v>
      </c>
      <c r="B198" s="40">
        <v>10308</v>
      </c>
      <c r="C198" s="41" t="s">
        <v>475</v>
      </c>
      <c r="D198" s="30" t="e">
        <f>VLOOKUP(Table13[[#This Row],[kbli5]],Table1[[#All],[kbli5]:[digital_hijau]],3,)</f>
        <v>#N/A</v>
      </c>
      <c r="E198" s="53" t="e">
        <f>VLOOKUP(Table13[[#This Row],[kbli5]],kata_kunci!$B:$H,4,FALSE)</f>
        <v>#N/A</v>
      </c>
      <c r="F198" s="53" t="e">
        <f>VLOOKUP(Table13[[#This Row],[kbli5]],Table1[[#All],[kbli5]:[digital_hijau]],5,)</f>
        <v>#N/A</v>
      </c>
      <c r="G198" s="53" t="e">
        <f>VLOOKUP(Table13[[#This Row],[kbli5]],Table1[[#All],[kbli5]:[digital_hijau]],6,)</f>
        <v>#N/A</v>
      </c>
      <c r="H198" s="54" t="e">
        <f>VLOOKUP(Table13[[#This Row],[kbli5]],kata_kunci!$B:$H,3,FALSE)</f>
        <v>#N/A</v>
      </c>
      <c r="I198" s="84" t="e">
        <f>VLOOKUP(Table13[[#This Row],[kbli5]],kata_kunci!$B:$H,5,FALSE)</f>
        <v>#N/A</v>
      </c>
      <c r="J198" s="84" t="e">
        <f>VLOOKUP(Table13[[#This Row],[kbli5]],kata_kunci!$B:$H,6,FALSE)</f>
        <v>#N/A</v>
      </c>
      <c r="K198" s="84" t="e">
        <f>VLOOKUP(Table13[[#This Row],[kbli5]],kata_kunci!$B:$H,7,FALSE)</f>
        <v>#N/A</v>
      </c>
    </row>
    <row r="199" spans="1:11" ht="45.75" thickBot="1" x14ac:dyDescent="0.3">
      <c r="A199" s="53" t="s">
        <v>450</v>
      </c>
      <c r="B199" s="40">
        <v>10309</v>
      </c>
      <c r="C199" s="41" t="s">
        <v>476</v>
      </c>
      <c r="D199" s="30" t="e">
        <f>VLOOKUP(Table13[[#This Row],[kbli5]],Table1[[#All],[kbli5]:[digital_hijau]],3,)</f>
        <v>#N/A</v>
      </c>
      <c r="E199" s="53" t="e">
        <f>VLOOKUP(Table13[[#This Row],[kbli5]],kata_kunci!$B:$H,4,FALSE)</f>
        <v>#N/A</v>
      </c>
      <c r="F199" s="53" t="e">
        <f>VLOOKUP(Table13[[#This Row],[kbli5]],Table1[[#All],[kbli5]:[digital_hijau]],5,)</f>
        <v>#N/A</v>
      </c>
      <c r="G199" s="53" t="e">
        <f>VLOOKUP(Table13[[#This Row],[kbli5]],Table1[[#All],[kbli5]:[digital_hijau]],6,)</f>
        <v>#N/A</v>
      </c>
      <c r="H199" s="54" t="e">
        <f>VLOOKUP(Table13[[#This Row],[kbli5]],kata_kunci!$B:$H,3,FALSE)</f>
        <v>#N/A</v>
      </c>
      <c r="I199" s="84" t="e">
        <f>VLOOKUP(Table13[[#This Row],[kbli5]],kata_kunci!$B:$H,5,FALSE)</f>
        <v>#N/A</v>
      </c>
      <c r="J199" s="84" t="e">
        <f>VLOOKUP(Table13[[#This Row],[kbli5]],kata_kunci!$B:$H,6,FALSE)</f>
        <v>#N/A</v>
      </c>
      <c r="K199" s="84" t="e">
        <f>VLOOKUP(Table13[[#This Row],[kbli5]],kata_kunci!$B:$H,7,FALSE)</f>
        <v>#N/A</v>
      </c>
    </row>
    <row r="200" spans="1:11" ht="45.75" thickBot="1" x14ac:dyDescent="0.3">
      <c r="A200" s="53" t="s">
        <v>450</v>
      </c>
      <c r="B200" s="40">
        <v>10411</v>
      </c>
      <c r="C200" s="41" t="s">
        <v>477</v>
      </c>
      <c r="D200" s="30" t="e">
        <f>VLOOKUP(Table13[[#This Row],[kbli5]],Table1[[#All],[kbli5]:[digital_hijau]],3,)</f>
        <v>#N/A</v>
      </c>
      <c r="E200" s="53" t="e">
        <f>VLOOKUP(Table13[[#This Row],[kbli5]],kata_kunci!$B:$H,4,FALSE)</f>
        <v>#N/A</v>
      </c>
      <c r="F200" s="53" t="e">
        <f>VLOOKUP(Table13[[#This Row],[kbli5]],Table1[[#All],[kbli5]:[digital_hijau]],5,)</f>
        <v>#N/A</v>
      </c>
      <c r="G200" s="53" t="e">
        <f>VLOOKUP(Table13[[#This Row],[kbli5]],Table1[[#All],[kbli5]:[digital_hijau]],6,)</f>
        <v>#N/A</v>
      </c>
      <c r="H200" s="54" t="e">
        <f>VLOOKUP(Table13[[#This Row],[kbli5]],kata_kunci!$B:$H,3,FALSE)</f>
        <v>#N/A</v>
      </c>
      <c r="I200" s="84" t="e">
        <f>VLOOKUP(Table13[[#This Row],[kbli5]],kata_kunci!$B:$H,5,FALSE)</f>
        <v>#N/A</v>
      </c>
      <c r="J200" s="84" t="e">
        <f>VLOOKUP(Table13[[#This Row],[kbli5]],kata_kunci!$B:$H,6,FALSE)</f>
        <v>#N/A</v>
      </c>
      <c r="K200" s="84" t="e">
        <f>VLOOKUP(Table13[[#This Row],[kbli5]],kata_kunci!$B:$H,7,FALSE)</f>
        <v>#N/A</v>
      </c>
    </row>
    <row r="201" spans="1:11" ht="15.75" thickBot="1" x14ac:dyDescent="0.3">
      <c r="A201" s="53" t="s">
        <v>450</v>
      </c>
      <c r="B201" s="40">
        <v>10412</v>
      </c>
      <c r="C201" s="41" t="s">
        <v>478</v>
      </c>
      <c r="D201" s="30" t="e">
        <f>VLOOKUP(Table13[[#This Row],[kbli5]],Table1[[#All],[kbli5]:[digital_hijau]],3,)</f>
        <v>#N/A</v>
      </c>
      <c r="E201" s="53" t="e">
        <f>VLOOKUP(Table13[[#This Row],[kbli5]],kata_kunci!$B:$H,4,FALSE)</f>
        <v>#N/A</v>
      </c>
      <c r="F201" s="53" t="e">
        <f>VLOOKUP(Table13[[#This Row],[kbli5]],Table1[[#All],[kbli5]:[digital_hijau]],5,)</f>
        <v>#N/A</v>
      </c>
      <c r="G201" s="53" t="e">
        <f>VLOOKUP(Table13[[#This Row],[kbli5]],Table1[[#All],[kbli5]:[digital_hijau]],6,)</f>
        <v>#N/A</v>
      </c>
      <c r="H201" s="54" t="e">
        <f>VLOOKUP(Table13[[#This Row],[kbli5]],kata_kunci!$B:$H,3,FALSE)</f>
        <v>#N/A</v>
      </c>
      <c r="I201" s="84" t="e">
        <f>VLOOKUP(Table13[[#This Row],[kbli5]],kata_kunci!$B:$H,5,FALSE)</f>
        <v>#N/A</v>
      </c>
      <c r="J201" s="84" t="e">
        <f>VLOOKUP(Table13[[#This Row],[kbli5]],kata_kunci!$B:$H,6,FALSE)</f>
        <v>#N/A</v>
      </c>
      <c r="K201" s="84" t="e">
        <f>VLOOKUP(Table13[[#This Row],[kbli5]],kata_kunci!$B:$H,7,FALSE)</f>
        <v>#N/A</v>
      </c>
    </row>
    <row r="202" spans="1:11" ht="45.75" thickBot="1" x14ac:dyDescent="0.3">
      <c r="A202" s="53" t="s">
        <v>450</v>
      </c>
      <c r="B202" s="40">
        <v>10413</v>
      </c>
      <c r="C202" s="41" t="s">
        <v>479</v>
      </c>
      <c r="D202" s="30" t="e">
        <f>VLOOKUP(Table13[[#This Row],[kbli5]],Table1[[#All],[kbli5]:[digital_hijau]],3,)</f>
        <v>#N/A</v>
      </c>
      <c r="E202" s="53" t="e">
        <f>VLOOKUP(Table13[[#This Row],[kbli5]],kata_kunci!$B:$H,4,FALSE)</f>
        <v>#N/A</v>
      </c>
      <c r="F202" s="53" t="e">
        <f>VLOOKUP(Table13[[#This Row],[kbli5]],Table1[[#All],[kbli5]:[digital_hijau]],5,)</f>
        <v>#N/A</v>
      </c>
      <c r="G202" s="53" t="e">
        <f>VLOOKUP(Table13[[#This Row],[kbli5]],Table1[[#All],[kbli5]:[digital_hijau]],6,)</f>
        <v>#N/A</v>
      </c>
      <c r="H202" s="54" t="e">
        <f>VLOOKUP(Table13[[#This Row],[kbli5]],kata_kunci!$B:$H,3,FALSE)</f>
        <v>#N/A</v>
      </c>
      <c r="I202" s="84" t="e">
        <f>VLOOKUP(Table13[[#This Row],[kbli5]],kata_kunci!$B:$H,5,FALSE)</f>
        <v>#N/A</v>
      </c>
      <c r="J202" s="84" t="e">
        <f>VLOOKUP(Table13[[#This Row],[kbli5]],kata_kunci!$B:$H,6,FALSE)</f>
        <v>#N/A</v>
      </c>
      <c r="K202" s="84" t="e">
        <f>VLOOKUP(Table13[[#This Row],[kbli5]],kata_kunci!$B:$H,7,FALSE)</f>
        <v>#N/A</v>
      </c>
    </row>
    <row r="203" spans="1:11" ht="15.75" thickBot="1" x14ac:dyDescent="0.3">
      <c r="A203" s="53" t="s">
        <v>450</v>
      </c>
      <c r="B203" s="40">
        <v>10414</v>
      </c>
      <c r="C203" s="41" t="s">
        <v>480</v>
      </c>
      <c r="D203" s="30" t="e">
        <f>VLOOKUP(Table13[[#This Row],[kbli5]],Table1[[#All],[kbli5]:[digital_hijau]],3,)</f>
        <v>#N/A</v>
      </c>
      <c r="E203" s="53" t="e">
        <f>VLOOKUP(Table13[[#This Row],[kbli5]],kata_kunci!$B:$H,4,FALSE)</f>
        <v>#N/A</v>
      </c>
      <c r="F203" s="53" t="e">
        <f>VLOOKUP(Table13[[#This Row],[kbli5]],Table1[[#All],[kbli5]:[digital_hijau]],5,)</f>
        <v>#N/A</v>
      </c>
      <c r="G203" s="53" t="e">
        <f>VLOOKUP(Table13[[#This Row],[kbli5]],Table1[[#All],[kbli5]:[digital_hijau]],6,)</f>
        <v>#N/A</v>
      </c>
      <c r="H203" s="54" t="e">
        <f>VLOOKUP(Table13[[#This Row],[kbli5]],kata_kunci!$B:$H,3,FALSE)</f>
        <v>#N/A</v>
      </c>
      <c r="I203" s="84" t="e">
        <f>VLOOKUP(Table13[[#This Row],[kbli5]],kata_kunci!$B:$H,5,FALSE)</f>
        <v>#N/A</v>
      </c>
      <c r="J203" s="84" t="e">
        <f>VLOOKUP(Table13[[#This Row],[kbli5]],kata_kunci!$B:$H,6,FALSE)</f>
        <v>#N/A</v>
      </c>
      <c r="K203" s="84" t="e">
        <f>VLOOKUP(Table13[[#This Row],[kbli5]],kata_kunci!$B:$H,7,FALSE)</f>
        <v>#N/A</v>
      </c>
    </row>
    <row r="204" spans="1:11" ht="45.75" thickBot="1" x14ac:dyDescent="0.3">
      <c r="A204" s="53" t="s">
        <v>450</v>
      </c>
      <c r="B204" s="40">
        <v>10415</v>
      </c>
      <c r="C204" s="41" t="s">
        <v>481</v>
      </c>
      <c r="D204" s="30" t="e">
        <f>VLOOKUP(Table13[[#This Row],[kbli5]],Table1[[#All],[kbli5]:[digital_hijau]],3,)</f>
        <v>#N/A</v>
      </c>
      <c r="E204" s="53" t="e">
        <f>VLOOKUP(Table13[[#This Row],[kbli5]],kata_kunci!$B:$H,4,FALSE)</f>
        <v>#N/A</v>
      </c>
      <c r="F204" s="53" t="e">
        <f>VLOOKUP(Table13[[#This Row],[kbli5]],Table1[[#All],[kbli5]:[digital_hijau]],5,)</f>
        <v>#N/A</v>
      </c>
      <c r="G204" s="53" t="e">
        <f>VLOOKUP(Table13[[#This Row],[kbli5]],Table1[[#All],[kbli5]:[digital_hijau]],6,)</f>
        <v>#N/A</v>
      </c>
      <c r="H204" s="54" t="e">
        <f>VLOOKUP(Table13[[#This Row],[kbli5]],kata_kunci!$B:$H,3,FALSE)</f>
        <v>#N/A</v>
      </c>
      <c r="I204" s="84" t="e">
        <f>VLOOKUP(Table13[[#This Row],[kbli5]],kata_kunci!$B:$H,5,FALSE)</f>
        <v>#N/A</v>
      </c>
      <c r="J204" s="84" t="e">
        <f>VLOOKUP(Table13[[#This Row],[kbli5]],kata_kunci!$B:$H,6,FALSE)</f>
        <v>#N/A</v>
      </c>
      <c r="K204" s="84" t="e">
        <f>VLOOKUP(Table13[[#This Row],[kbli5]],kata_kunci!$B:$H,7,FALSE)</f>
        <v>#N/A</v>
      </c>
    </row>
    <row r="205" spans="1:11" ht="45.75" thickBot="1" x14ac:dyDescent="0.3">
      <c r="A205" s="53" t="s">
        <v>450</v>
      </c>
      <c r="B205" s="40">
        <v>10419</v>
      </c>
      <c r="C205" s="41" t="s">
        <v>482</v>
      </c>
      <c r="D205" s="30" t="e">
        <f>VLOOKUP(Table13[[#This Row],[kbli5]],Table1[[#All],[kbli5]:[digital_hijau]],3,)</f>
        <v>#N/A</v>
      </c>
      <c r="E205" s="53" t="e">
        <f>VLOOKUP(Table13[[#This Row],[kbli5]],kata_kunci!$B:$H,4,FALSE)</f>
        <v>#N/A</v>
      </c>
      <c r="F205" s="53" t="e">
        <f>VLOOKUP(Table13[[#This Row],[kbli5]],Table1[[#All],[kbli5]:[digital_hijau]],5,)</f>
        <v>#N/A</v>
      </c>
      <c r="G205" s="53" t="e">
        <f>VLOOKUP(Table13[[#This Row],[kbli5]],Table1[[#All],[kbli5]:[digital_hijau]],6,)</f>
        <v>#N/A</v>
      </c>
      <c r="H205" s="54" t="e">
        <f>VLOOKUP(Table13[[#This Row],[kbli5]],kata_kunci!$B:$H,3,FALSE)</f>
        <v>#N/A</v>
      </c>
      <c r="I205" s="84" t="e">
        <f>VLOOKUP(Table13[[#This Row],[kbli5]],kata_kunci!$B:$H,5,FALSE)</f>
        <v>#N/A</v>
      </c>
      <c r="J205" s="84" t="e">
        <f>VLOOKUP(Table13[[#This Row],[kbli5]],kata_kunci!$B:$H,6,FALSE)</f>
        <v>#N/A</v>
      </c>
      <c r="K205" s="84" t="e">
        <f>VLOOKUP(Table13[[#This Row],[kbli5]],kata_kunci!$B:$H,7,FALSE)</f>
        <v>#N/A</v>
      </c>
    </row>
    <row r="206" spans="1:11" ht="15.75" thickBot="1" x14ac:dyDescent="0.3">
      <c r="A206" s="53" t="s">
        <v>450</v>
      </c>
      <c r="B206" s="40">
        <v>10421</v>
      </c>
      <c r="C206" s="41" t="s">
        <v>483</v>
      </c>
      <c r="D206" s="30" t="e">
        <f>VLOOKUP(Table13[[#This Row],[kbli5]],Table1[[#All],[kbli5]:[digital_hijau]],3,)</f>
        <v>#N/A</v>
      </c>
      <c r="E206" s="53" t="e">
        <f>VLOOKUP(Table13[[#This Row],[kbli5]],kata_kunci!$B:$H,4,FALSE)</f>
        <v>#N/A</v>
      </c>
      <c r="F206" s="53" t="e">
        <f>VLOOKUP(Table13[[#This Row],[kbli5]],Table1[[#All],[kbli5]:[digital_hijau]],5,)</f>
        <v>#N/A</v>
      </c>
      <c r="G206" s="53" t="e">
        <f>VLOOKUP(Table13[[#This Row],[kbli5]],Table1[[#All],[kbli5]:[digital_hijau]],6,)</f>
        <v>#N/A</v>
      </c>
      <c r="H206" s="54" t="e">
        <f>VLOOKUP(Table13[[#This Row],[kbli5]],kata_kunci!$B:$H,3,FALSE)</f>
        <v>#N/A</v>
      </c>
      <c r="I206" s="84" t="e">
        <f>VLOOKUP(Table13[[#This Row],[kbli5]],kata_kunci!$B:$H,5,FALSE)</f>
        <v>#N/A</v>
      </c>
      <c r="J206" s="84" t="e">
        <f>VLOOKUP(Table13[[#This Row],[kbli5]],kata_kunci!$B:$H,6,FALSE)</f>
        <v>#N/A</v>
      </c>
      <c r="K206" s="84" t="e">
        <f>VLOOKUP(Table13[[#This Row],[kbli5]],kata_kunci!$B:$H,7,FALSE)</f>
        <v>#N/A</v>
      </c>
    </row>
    <row r="207" spans="1:11" ht="30.75" thickBot="1" x14ac:dyDescent="0.3">
      <c r="A207" s="53" t="s">
        <v>450</v>
      </c>
      <c r="B207" s="40">
        <v>10422</v>
      </c>
      <c r="C207" s="41" t="s">
        <v>484</v>
      </c>
      <c r="D207" s="30" t="e">
        <f>VLOOKUP(Table13[[#This Row],[kbli5]],Table1[[#All],[kbli5]:[digital_hijau]],3,)</f>
        <v>#N/A</v>
      </c>
      <c r="E207" s="53" t="e">
        <f>VLOOKUP(Table13[[#This Row],[kbli5]],kata_kunci!$B:$H,4,FALSE)</f>
        <v>#N/A</v>
      </c>
      <c r="F207" s="53" t="e">
        <f>VLOOKUP(Table13[[#This Row],[kbli5]],Table1[[#All],[kbli5]:[digital_hijau]],5,)</f>
        <v>#N/A</v>
      </c>
      <c r="G207" s="53" t="e">
        <f>VLOOKUP(Table13[[#This Row],[kbli5]],Table1[[#All],[kbli5]:[digital_hijau]],6,)</f>
        <v>#N/A</v>
      </c>
      <c r="H207" s="54" t="e">
        <f>VLOOKUP(Table13[[#This Row],[kbli5]],kata_kunci!$B:$H,3,FALSE)</f>
        <v>#N/A</v>
      </c>
      <c r="I207" s="84" t="e">
        <f>VLOOKUP(Table13[[#This Row],[kbli5]],kata_kunci!$B:$H,5,FALSE)</f>
        <v>#N/A</v>
      </c>
      <c r="J207" s="84" t="e">
        <f>VLOOKUP(Table13[[#This Row],[kbli5]],kata_kunci!$B:$H,6,FALSE)</f>
        <v>#N/A</v>
      </c>
      <c r="K207" s="84" t="e">
        <f>VLOOKUP(Table13[[#This Row],[kbli5]],kata_kunci!$B:$H,7,FALSE)</f>
        <v>#N/A</v>
      </c>
    </row>
    <row r="208" spans="1:11" ht="30.75" thickBot="1" x14ac:dyDescent="0.3">
      <c r="A208" s="53" t="s">
        <v>450</v>
      </c>
      <c r="B208" s="40">
        <v>10423</v>
      </c>
      <c r="C208" s="41" t="s">
        <v>485</v>
      </c>
      <c r="D208" s="30" t="e">
        <f>VLOOKUP(Table13[[#This Row],[kbli5]],Table1[[#All],[kbli5]:[digital_hijau]],3,)</f>
        <v>#N/A</v>
      </c>
      <c r="E208" s="53" t="e">
        <f>VLOOKUP(Table13[[#This Row],[kbli5]],kata_kunci!$B:$H,4,FALSE)</f>
        <v>#N/A</v>
      </c>
      <c r="F208" s="53" t="e">
        <f>VLOOKUP(Table13[[#This Row],[kbli5]],Table1[[#All],[kbli5]:[digital_hijau]],5,)</f>
        <v>#N/A</v>
      </c>
      <c r="G208" s="53" t="e">
        <f>VLOOKUP(Table13[[#This Row],[kbli5]],Table1[[#All],[kbli5]:[digital_hijau]],6,)</f>
        <v>#N/A</v>
      </c>
      <c r="H208" s="54" t="e">
        <f>VLOOKUP(Table13[[#This Row],[kbli5]],kata_kunci!$B:$H,3,FALSE)</f>
        <v>#N/A</v>
      </c>
      <c r="I208" s="84" t="e">
        <f>VLOOKUP(Table13[[#This Row],[kbli5]],kata_kunci!$B:$H,5,FALSE)</f>
        <v>#N/A</v>
      </c>
      <c r="J208" s="84" t="e">
        <f>VLOOKUP(Table13[[#This Row],[kbli5]],kata_kunci!$B:$H,6,FALSE)</f>
        <v>#N/A</v>
      </c>
      <c r="K208" s="84" t="e">
        <f>VLOOKUP(Table13[[#This Row],[kbli5]],kata_kunci!$B:$H,7,FALSE)</f>
        <v>#N/A</v>
      </c>
    </row>
    <row r="209" spans="1:11" ht="45.75" thickBot="1" x14ac:dyDescent="0.3">
      <c r="A209" s="53" t="s">
        <v>450</v>
      </c>
      <c r="B209" s="40">
        <v>10431</v>
      </c>
      <c r="C209" s="41" t="s">
        <v>486</v>
      </c>
      <c r="D209" s="30" t="e">
        <f>VLOOKUP(Table13[[#This Row],[kbli5]],Table1[[#All],[kbli5]:[digital_hijau]],3,)</f>
        <v>#N/A</v>
      </c>
      <c r="E209" s="53" t="e">
        <f>VLOOKUP(Table13[[#This Row],[kbli5]],kata_kunci!$B:$H,4,FALSE)</f>
        <v>#N/A</v>
      </c>
      <c r="F209" s="53" t="e">
        <f>VLOOKUP(Table13[[#This Row],[kbli5]],Table1[[#All],[kbli5]:[digital_hijau]],5,)</f>
        <v>#N/A</v>
      </c>
      <c r="G209" s="53" t="e">
        <f>VLOOKUP(Table13[[#This Row],[kbli5]],Table1[[#All],[kbli5]:[digital_hijau]],6,)</f>
        <v>#N/A</v>
      </c>
      <c r="H209" s="54" t="e">
        <f>VLOOKUP(Table13[[#This Row],[kbli5]],kata_kunci!$B:$H,3,FALSE)</f>
        <v>#N/A</v>
      </c>
      <c r="I209" s="84" t="e">
        <f>VLOOKUP(Table13[[#This Row],[kbli5]],kata_kunci!$B:$H,5,FALSE)</f>
        <v>#N/A</v>
      </c>
      <c r="J209" s="84" t="e">
        <f>VLOOKUP(Table13[[#This Row],[kbli5]],kata_kunci!$B:$H,6,FALSE)</f>
        <v>#N/A</v>
      </c>
      <c r="K209" s="84" t="e">
        <f>VLOOKUP(Table13[[#This Row],[kbli5]],kata_kunci!$B:$H,7,FALSE)</f>
        <v>#N/A</v>
      </c>
    </row>
    <row r="210" spans="1:11" ht="45.75" thickBot="1" x14ac:dyDescent="0.3">
      <c r="A210" s="53" t="s">
        <v>450</v>
      </c>
      <c r="B210" s="40">
        <v>10432</v>
      </c>
      <c r="C210" s="41" t="s">
        <v>487</v>
      </c>
      <c r="D210" s="30" t="e">
        <f>VLOOKUP(Table13[[#This Row],[kbli5]],Table1[[#All],[kbli5]:[digital_hijau]],3,)</f>
        <v>#N/A</v>
      </c>
      <c r="E210" s="53" t="e">
        <f>VLOOKUP(Table13[[#This Row],[kbli5]],kata_kunci!$B:$H,4,FALSE)</f>
        <v>#N/A</v>
      </c>
      <c r="F210" s="53" t="e">
        <f>VLOOKUP(Table13[[#This Row],[kbli5]],Table1[[#All],[kbli5]:[digital_hijau]],5,)</f>
        <v>#N/A</v>
      </c>
      <c r="G210" s="53" t="e">
        <f>VLOOKUP(Table13[[#This Row],[kbli5]],Table1[[#All],[kbli5]:[digital_hijau]],6,)</f>
        <v>#N/A</v>
      </c>
      <c r="H210" s="54" t="e">
        <f>VLOOKUP(Table13[[#This Row],[kbli5]],kata_kunci!$B:$H,3,FALSE)</f>
        <v>#N/A</v>
      </c>
      <c r="I210" s="84" t="e">
        <f>VLOOKUP(Table13[[#This Row],[kbli5]],kata_kunci!$B:$H,5,FALSE)</f>
        <v>#N/A</v>
      </c>
      <c r="J210" s="84" t="e">
        <f>VLOOKUP(Table13[[#This Row],[kbli5]],kata_kunci!$B:$H,6,FALSE)</f>
        <v>#N/A</v>
      </c>
      <c r="K210" s="84" t="e">
        <f>VLOOKUP(Table13[[#This Row],[kbli5]],kata_kunci!$B:$H,7,FALSE)</f>
        <v>#N/A</v>
      </c>
    </row>
    <row r="211" spans="1:11" ht="60.75" thickBot="1" x14ac:dyDescent="0.3">
      <c r="A211" s="53" t="s">
        <v>450</v>
      </c>
      <c r="B211" s="40">
        <v>10433</v>
      </c>
      <c r="C211" s="41" t="s">
        <v>488</v>
      </c>
      <c r="D211" s="30" t="e">
        <f>VLOOKUP(Table13[[#This Row],[kbli5]],Table1[[#All],[kbli5]:[digital_hijau]],3,)</f>
        <v>#N/A</v>
      </c>
      <c r="E211" s="53" t="e">
        <f>VLOOKUP(Table13[[#This Row],[kbli5]],kata_kunci!$B:$H,4,FALSE)</f>
        <v>#N/A</v>
      </c>
      <c r="F211" s="53" t="e">
        <f>VLOOKUP(Table13[[#This Row],[kbli5]],Table1[[#All],[kbli5]:[digital_hijau]],5,)</f>
        <v>#N/A</v>
      </c>
      <c r="G211" s="53" t="e">
        <f>VLOOKUP(Table13[[#This Row],[kbli5]],Table1[[#All],[kbli5]:[digital_hijau]],6,)</f>
        <v>#N/A</v>
      </c>
      <c r="H211" s="54" t="e">
        <f>VLOOKUP(Table13[[#This Row],[kbli5]],kata_kunci!$B:$H,3,FALSE)</f>
        <v>#N/A</v>
      </c>
      <c r="I211" s="84" t="e">
        <f>VLOOKUP(Table13[[#This Row],[kbli5]],kata_kunci!$B:$H,5,FALSE)</f>
        <v>#N/A</v>
      </c>
      <c r="J211" s="84" t="e">
        <f>VLOOKUP(Table13[[#This Row],[kbli5]],kata_kunci!$B:$H,6,FALSE)</f>
        <v>#N/A</v>
      </c>
      <c r="K211" s="84" t="e">
        <f>VLOOKUP(Table13[[#This Row],[kbli5]],kata_kunci!$B:$H,7,FALSE)</f>
        <v>#N/A</v>
      </c>
    </row>
    <row r="212" spans="1:11" ht="45.75" thickBot="1" x14ac:dyDescent="0.3">
      <c r="A212" s="53" t="s">
        <v>450</v>
      </c>
      <c r="B212" s="40">
        <v>10434</v>
      </c>
      <c r="C212" s="41" t="s">
        <v>489</v>
      </c>
      <c r="D212" s="30" t="e">
        <f>VLOOKUP(Table13[[#This Row],[kbli5]],Table1[[#All],[kbli5]:[digital_hijau]],3,)</f>
        <v>#N/A</v>
      </c>
      <c r="E212" s="53" t="e">
        <f>VLOOKUP(Table13[[#This Row],[kbli5]],kata_kunci!$B:$H,4,FALSE)</f>
        <v>#N/A</v>
      </c>
      <c r="F212" s="53" t="e">
        <f>VLOOKUP(Table13[[#This Row],[kbli5]],Table1[[#All],[kbli5]:[digital_hijau]],5,)</f>
        <v>#N/A</v>
      </c>
      <c r="G212" s="53" t="e">
        <f>VLOOKUP(Table13[[#This Row],[kbli5]],Table1[[#All],[kbli5]:[digital_hijau]],6,)</f>
        <v>#N/A</v>
      </c>
      <c r="H212" s="54" t="e">
        <f>VLOOKUP(Table13[[#This Row],[kbli5]],kata_kunci!$B:$H,3,FALSE)</f>
        <v>#N/A</v>
      </c>
      <c r="I212" s="84" t="e">
        <f>VLOOKUP(Table13[[#This Row],[kbli5]],kata_kunci!$B:$H,5,FALSE)</f>
        <v>#N/A</v>
      </c>
      <c r="J212" s="84" t="e">
        <f>VLOOKUP(Table13[[#This Row],[kbli5]],kata_kunci!$B:$H,6,FALSE)</f>
        <v>#N/A</v>
      </c>
      <c r="K212" s="84" t="e">
        <f>VLOOKUP(Table13[[#This Row],[kbli5]],kata_kunci!$B:$H,7,FALSE)</f>
        <v>#N/A</v>
      </c>
    </row>
    <row r="213" spans="1:11" ht="60.75" thickBot="1" x14ac:dyDescent="0.3">
      <c r="A213" s="53" t="s">
        <v>450</v>
      </c>
      <c r="B213" s="40">
        <v>10435</v>
      </c>
      <c r="C213" s="41" t="s">
        <v>490</v>
      </c>
      <c r="D213" s="30" t="e">
        <f>VLOOKUP(Table13[[#This Row],[kbli5]],Table1[[#All],[kbli5]:[digital_hijau]],3,)</f>
        <v>#N/A</v>
      </c>
      <c r="E213" s="53" t="e">
        <f>VLOOKUP(Table13[[#This Row],[kbli5]],kata_kunci!$B:$H,4,FALSE)</f>
        <v>#N/A</v>
      </c>
      <c r="F213" s="53" t="e">
        <f>VLOOKUP(Table13[[#This Row],[kbli5]],Table1[[#All],[kbli5]:[digital_hijau]],5,)</f>
        <v>#N/A</v>
      </c>
      <c r="G213" s="53" t="e">
        <f>VLOOKUP(Table13[[#This Row],[kbli5]],Table1[[#All],[kbli5]:[digital_hijau]],6,)</f>
        <v>#N/A</v>
      </c>
      <c r="H213" s="54" t="e">
        <f>VLOOKUP(Table13[[#This Row],[kbli5]],kata_kunci!$B:$H,3,FALSE)</f>
        <v>#N/A</v>
      </c>
      <c r="I213" s="84" t="e">
        <f>VLOOKUP(Table13[[#This Row],[kbli5]],kata_kunci!$B:$H,5,FALSE)</f>
        <v>#N/A</v>
      </c>
      <c r="J213" s="84" t="e">
        <f>VLOOKUP(Table13[[#This Row],[kbli5]],kata_kunci!$B:$H,6,FALSE)</f>
        <v>#N/A</v>
      </c>
      <c r="K213" s="84" t="e">
        <f>VLOOKUP(Table13[[#This Row],[kbli5]],kata_kunci!$B:$H,7,FALSE)</f>
        <v>#N/A</v>
      </c>
    </row>
    <row r="214" spans="1:11" ht="60.75" thickBot="1" x14ac:dyDescent="0.3">
      <c r="A214" s="53" t="s">
        <v>450</v>
      </c>
      <c r="B214" s="40">
        <v>10436</v>
      </c>
      <c r="C214" s="41" t="s">
        <v>491</v>
      </c>
      <c r="D214" s="30" t="e">
        <f>VLOOKUP(Table13[[#This Row],[kbli5]],Table1[[#All],[kbli5]:[digital_hijau]],3,)</f>
        <v>#N/A</v>
      </c>
      <c r="E214" s="53" t="e">
        <f>VLOOKUP(Table13[[#This Row],[kbli5]],kata_kunci!$B:$H,4,FALSE)</f>
        <v>#N/A</v>
      </c>
      <c r="F214" s="53" t="e">
        <f>VLOOKUP(Table13[[#This Row],[kbli5]],Table1[[#All],[kbli5]:[digital_hijau]],5,)</f>
        <v>#N/A</v>
      </c>
      <c r="G214" s="53" t="e">
        <f>VLOOKUP(Table13[[#This Row],[kbli5]],Table1[[#All],[kbli5]:[digital_hijau]],6,)</f>
        <v>#N/A</v>
      </c>
      <c r="H214" s="54" t="e">
        <f>VLOOKUP(Table13[[#This Row],[kbli5]],kata_kunci!$B:$H,3,FALSE)</f>
        <v>#N/A</v>
      </c>
      <c r="I214" s="84" t="e">
        <f>VLOOKUP(Table13[[#This Row],[kbli5]],kata_kunci!$B:$H,5,FALSE)</f>
        <v>#N/A</v>
      </c>
      <c r="J214" s="84" t="e">
        <f>VLOOKUP(Table13[[#This Row],[kbli5]],kata_kunci!$B:$H,6,FALSE)</f>
        <v>#N/A</v>
      </c>
      <c r="K214" s="84" t="e">
        <f>VLOOKUP(Table13[[#This Row],[kbli5]],kata_kunci!$B:$H,7,FALSE)</f>
        <v>#N/A</v>
      </c>
    </row>
    <row r="215" spans="1:11" ht="30.75" thickBot="1" x14ac:dyDescent="0.3">
      <c r="A215" s="53" t="s">
        <v>450</v>
      </c>
      <c r="B215" s="40">
        <v>10437</v>
      </c>
      <c r="C215" s="41" t="s">
        <v>492</v>
      </c>
      <c r="D215" s="30" t="e">
        <f>VLOOKUP(Table13[[#This Row],[kbli5]],Table1[[#All],[kbli5]:[digital_hijau]],3,)</f>
        <v>#N/A</v>
      </c>
      <c r="E215" s="53" t="e">
        <f>VLOOKUP(Table13[[#This Row],[kbli5]],kata_kunci!$B:$H,4,FALSE)</f>
        <v>#N/A</v>
      </c>
      <c r="F215" s="53" t="e">
        <f>VLOOKUP(Table13[[#This Row],[kbli5]],Table1[[#All],[kbli5]:[digital_hijau]],5,)</f>
        <v>#N/A</v>
      </c>
      <c r="G215" s="53" t="e">
        <f>VLOOKUP(Table13[[#This Row],[kbli5]],Table1[[#All],[kbli5]:[digital_hijau]],6,)</f>
        <v>#N/A</v>
      </c>
      <c r="H215" s="54" t="e">
        <f>VLOOKUP(Table13[[#This Row],[kbli5]],kata_kunci!$B:$H,3,FALSE)</f>
        <v>#N/A</v>
      </c>
      <c r="I215" s="84" t="e">
        <f>VLOOKUP(Table13[[#This Row],[kbli5]],kata_kunci!$B:$H,5,FALSE)</f>
        <v>#N/A</v>
      </c>
      <c r="J215" s="84" t="e">
        <f>VLOOKUP(Table13[[#This Row],[kbli5]],kata_kunci!$B:$H,6,FALSE)</f>
        <v>#N/A</v>
      </c>
      <c r="K215" s="84" t="e">
        <f>VLOOKUP(Table13[[#This Row],[kbli5]],kata_kunci!$B:$H,7,FALSE)</f>
        <v>#N/A</v>
      </c>
    </row>
    <row r="216" spans="1:11" ht="30.75" thickBot="1" x14ac:dyDescent="0.3">
      <c r="A216" s="53" t="s">
        <v>450</v>
      </c>
      <c r="B216" s="40">
        <v>10501</v>
      </c>
      <c r="C216" s="41" t="s">
        <v>493</v>
      </c>
      <c r="D216" s="30" t="e">
        <f>VLOOKUP(Table13[[#This Row],[kbli5]],Table1[[#All],[kbli5]:[digital_hijau]],3,)</f>
        <v>#N/A</v>
      </c>
      <c r="E216" s="53" t="e">
        <f>VLOOKUP(Table13[[#This Row],[kbli5]],kata_kunci!$B:$H,4,FALSE)</f>
        <v>#N/A</v>
      </c>
      <c r="F216" s="53" t="e">
        <f>VLOOKUP(Table13[[#This Row],[kbli5]],Table1[[#All],[kbli5]:[digital_hijau]],5,)</f>
        <v>#N/A</v>
      </c>
      <c r="G216" s="53" t="e">
        <f>VLOOKUP(Table13[[#This Row],[kbli5]],Table1[[#All],[kbli5]:[digital_hijau]],6,)</f>
        <v>#N/A</v>
      </c>
      <c r="H216" s="54" t="e">
        <f>VLOOKUP(Table13[[#This Row],[kbli5]],kata_kunci!$B:$H,3,FALSE)</f>
        <v>#N/A</v>
      </c>
      <c r="I216" s="84" t="e">
        <f>VLOOKUP(Table13[[#This Row],[kbli5]],kata_kunci!$B:$H,5,FALSE)</f>
        <v>#N/A</v>
      </c>
      <c r="J216" s="84" t="e">
        <f>VLOOKUP(Table13[[#This Row],[kbli5]],kata_kunci!$B:$H,6,FALSE)</f>
        <v>#N/A</v>
      </c>
      <c r="K216" s="84" t="e">
        <f>VLOOKUP(Table13[[#This Row],[kbli5]],kata_kunci!$B:$H,7,FALSE)</f>
        <v>#N/A</v>
      </c>
    </row>
    <row r="217" spans="1:11" ht="30.75" thickBot="1" x14ac:dyDescent="0.3">
      <c r="A217" s="53" t="s">
        <v>450</v>
      </c>
      <c r="B217" s="40">
        <v>10502</v>
      </c>
      <c r="C217" s="41" t="s">
        <v>494</v>
      </c>
      <c r="D217" s="30" t="e">
        <f>VLOOKUP(Table13[[#This Row],[kbli5]],Table1[[#All],[kbli5]:[digital_hijau]],3,)</f>
        <v>#N/A</v>
      </c>
      <c r="E217" s="53" t="e">
        <f>VLOOKUP(Table13[[#This Row],[kbli5]],kata_kunci!$B:$H,4,FALSE)</f>
        <v>#N/A</v>
      </c>
      <c r="F217" s="53" t="e">
        <f>VLOOKUP(Table13[[#This Row],[kbli5]],Table1[[#All],[kbli5]:[digital_hijau]],5,)</f>
        <v>#N/A</v>
      </c>
      <c r="G217" s="53" t="e">
        <f>VLOOKUP(Table13[[#This Row],[kbli5]],Table1[[#All],[kbli5]:[digital_hijau]],6,)</f>
        <v>#N/A</v>
      </c>
      <c r="H217" s="54" t="e">
        <f>VLOOKUP(Table13[[#This Row],[kbli5]],kata_kunci!$B:$H,3,FALSE)</f>
        <v>#N/A</v>
      </c>
      <c r="I217" s="84" t="e">
        <f>VLOOKUP(Table13[[#This Row],[kbli5]],kata_kunci!$B:$H,5,FALSE)</f>
        <v>#N/A</v>
      </c>
      <c r="J217" s="84" t="e">
        <f>VLOOKUP(Table13[[#This Row],[kbli5]],kata_kunci!$B:$H,6,FALSE)</f>
        <v>#N/A</v>
      </c>
      <c r="K217" s="84" t="e">
        <f>VLOOKUP(Table13[[#This Row],[kbli5]],kata_kunci!$B:$H,7,FALSE)</f>
        <v>#N/A</v>
      </c>
    </row>
    <row r="218" spans="1:11" ht="15.75" thickBot="1" x14ac:dyDescent="0.3">
      <c r="A218" s="53" t="s">
        <v>450</v>
      </c>
      <c r="B218" s="40">
        <v>10503</v>
      </c>
      <c r="C218" s="41" t="s">
        <v>495</v>
      </c>
      <c r="D218" s="30" t="e">
        <f>VLOOKUP(Table13[[#This Row],[kbli5]],Table1[[#All],[kbli5]:[digital_hijau]],3,)</f>
        <v>#N/A</v>
      </c>
      <c r="E218" s="53" t="e">
        <f>VLOOKUP(Table13[[#This Row],[kbli5]],kata_kunci!$B:$H,4,FALSE)</f>
        <v>#N/A</v>
      </c>
      <c r="F218" s="53" t="e">
        <f>VLOOKUP(Table13[[#This Row],[kbli5]],Table1[[#All],[kbli5]:[digital_hijau]],5,)</f>
        <v>#N/A</v>
      </c>
      <c r="G218" s="53" t="e">
        <f>VLOOKUP(Table13[[#This Row],[kbli5]],Table1[[#All],[kbli5]:[digital_hijau]],6,)</f>
        <v>#N/A</v>
      </c>
      <c r="H218" s="54" t="e">
        <f>VLOOKUP(Table13[[#This Row],[kbli5]],kata_kunci!$B:$H,3,FALSE)</f>
        <v>#N/A</v>
      </c>
      <c r="I218" s="84" t="e">
        <f>VLOOKUP(Table13[[#This Row],[kbli5]],kata_kunci!$B:$H,5,FALSE)</f>
        <v>#N/A</v>
      </c>
      <c r="J218" s="84" t="e">
        <f>VLOOKUP(Table13[[#This Row],[kbli5]],kata_kunci!$B:$H,6,FALSE)</f>
        <v>#N/A</v>
      </c>
      <c r="K218" s="84" t="e">
        <f>VLOOKUP(Table13[[#This Row],[kbli5]],kata_kunci!$B:$H,7,FALSE)</f>
        <v>#N/A</v>
      </c>
    </row>
    <row r="219" spans="1:11" ht="45.75" thickBot="1" x14ac:dyDescent="0.3">
      <c r="A219" s="53" t="s">
        <v>450</v>
      </c>
      <c r="B219" s="40">
        <v>10504</v>
      </c>
      <c r="C219" s="41" t="s">
        <v>496</v>
      </c>
      <c r="D219" s="30" t="e">
        <f>VLOOKUP(Table13[[#This Row],[kbli5]],Table1[[#All],[kbli5]:[digital_hijau]],3,)</f>
        <v>#N/A</v>
      </c>
      <c r="E219" s="53" t="e">
        <f>VLOOKUP(Table13[[#This Row],[kbli5]],kata_kunci!$B:$H,4,FALSE)</f>
        <v>#N/A</v>
      </c>
      <c r="F219" s="53" t="e">
        <f>VLOOKUP(Table13[[#This Row],[kbli5]],Table1[[#All],[kbli5]:[digital_hijau]],5,)</f>
        <v>#N/A</v>
      </c>
      <c r="G219" s="53" t="e">
        <f>VLOOKUP(Table13[[#This Row],[kbli5]],Table1[[#All],[kbli5]:[digital_hijau]],6,)</f>
        <v>#N/A</v>
      </c>
      <c r="H219" s="54" t="e">
        <f>VLOOKUP(Table13[[#This Row],[kbli5]],kata_kunci!$B:$H,3,FALSE)</f>
        <v>#N/A</v>
      </c>
      <c r="I219" s="84" t="e">
        <f>VLOOKUP(Table13[[#This Row],[kbli5]],kata_kunci!$B:$H,5,FALSE)</f>
        <v>#N/A</v>
      </c>
      <c r="J219" s="84" t="e">
        <f>VLOOKUP(Table13[[#This Row],[kbli5]],kata_kunci!$B:$H,6,FALSE)</f>
        <v>#N/A</v>
      </c>
      <c r="K219" s="84" t="e">
        <f>VLOOKUP(Table13[[#This Row],[kbli5]],kata_kunci!$B:$H,7,FALSE)</f>
        <v>#N/A</v>
      </c>
    </row>
    <row r="220" spans="1:11" ht="30.75" thickBot="1" x14ac:dyDescent="0.3">
      <c r="A220" s="53" t="s">
        <v>450</v>
      </c>
      <c r="B220" s="40">
        <v>10509</v>
      </c>
      <c r="C220" s="41" t="s">
        <v>497</v>
      </c>
      <c r="D220" s="30" t="e">
        <f>VLOOKUP(Table13[[#This Row],[kbli5]],Table1[[#All],[kbli5]:[digital_hijau]],3,)</f>
        <v>#N/A</v>
      </c>
      <c r="E220" s="53" t="e">
        <f>VLOOKUP(Table13[[#This Row],[kbli5]],kata_kunci!$B:$H,4,FALSE)</f>
        <v>#N/A</v>
      </c>
      <c r="F220" s="53" t="e">
        <f>VLOOKUP(Table13[[#This Row],[kbli5]],Table1[[#All],[kbli5]:[digital_hijau]],5,)</f>
        <v>#N/A</v>
      </c>
      <c r="G220" s="53" t="e">
        <f>VLOOKUP(Table13[[#This Row],[kbli5]],Table1[[#All],[kbli5]:[digital_hijau]],6,)</f>
        <v>#N/A</v>
      </c>
      <c r="H220" s="54" t="e">
        <f>VLOOKUP(Table13[[#This Row],[kbli5]],kata_kunci!$B:$H,3,FALSE)</f>
        <v>#N/A</v>
      </c>
      <c r="I220" s="84" t="e">
        <f>VLOOKUP(Table13[[#This Row],[kbli5]],kata_kunci!$B:$H,5,FALSE)</f>
        <v>#N/A</v>
      </c>
      <c r="J220" s="84" t="e">
        <f>VLOOKUP(Table13[[#This Row],[kbli5]],kata_kunci!$B:$H,6,FALSE)</f>
        <v>#N/A</v>
      </c>
      <c r="K220" s="84" t="e">
        <f>VLOOKUP(Table13[[#This Row],[kbli5]],kata_kunci!$B:$H,7,FALSE)</f>
        <v>#N/A</v>
      </c>
    </row>
    <row r="221" spans="1:11" ht="60.75" thickBot="1" x14ac:dyDescent="0.3">
      <c r="A221" s="53" t="s">
        <v>450</v>
      </c>
      <c r="B221" s="40">
        <v>10611</v>
      </c>
      <c r="C221" s="41" t="s">
        <v>498</v>
      </c>
      <c r="D221" s="30" t="e">
        <f>VLOOKUP(Table13[[#This Row],[kbli5]],Table1[[#All],[kbli5]:[digital_hijau]],3,)</f>
        <v>#N/A</v>
      </c>
      <c r="E221" s="53" t="e">
        <f>VLOOKUP(Table13[[#This Row],[kbli5]],kata_kunci!$B:$H,4,FALSE)</f>
        <v>#N/A</v>
      </c>
      <c r="F221" s="53" t="e">
        <f>VLOOKUP(Table13[[#This Row],[kbli5]],Table1[[#All],[kbli5]:[digital_hijau]],5,)</f>
        <v>#N/A</v>
      </c>
      <c r="G221" s="53" t="e">
        <f>VLOOKUP(Table13[[#This Row],[kbli5]],Table1[[#All],[kbli5]:[digital_hijau]],6,)</f>
        <v>#N/A</v>
      </c>
      <c r="H221" s="54" t="e">
        <f>VLOOKUP(Table13[[#This Row],[kbli5]],kata_kunci!$B:$H,3,FALSE)</f>
        <v>#N/A</v>
      </c>
      <c r="I221" s="84" t="e">
        <f>VLOOKUP(Table13[[#This Row],[kbli5]],kata_kunci!$B:$H,5,FALSE)</f>
        <v>#N/A</v>
      </c>
      <c r="J221" s="84" t="e">
        <f>VLOOKUP(Table13[[#This Row],[kbli5]],kata_kunci!$B:$H,6,FALSE)</f>
        <v>#N/A</v>
      </c>
      <c r="K221" s="84" t="e">
        <f>VLOOKUP(Table13[[#This Row],[kbli5]],kata_kunci!$B:$H,7,FALSE)</f>
        <v>#N/A</v>
      </c>
    </row>
    <row r="222" spans="1:11" ht="30.75" thickBot="1" x14ac:dyDescent="0.3">
      <c r="A222" s="53" t="s">
        <v>450</v>
      </c>
      <c r="B222" s="40">
        <v>10612</v>
      </c>
      <c r="C222" s="41" t="s">
        <v>499</v>
      </c>
      <c r="D222" s="30" t="e">
        <f>VLOOKUP(Table13[[#This Row],[kbli5]],Table1[[#All],[kbli5]:[digital_hijau]],3,)</f>
        <v>#N/A</v>
      </c>
      <c r="E222" s="53" t="e">
        <f>VLOOKUP(Table13[[#This Row],[kbli5]],kata_kunci!$B:$H,4,FALSE)</f>
        <v>#N/A</v>
      </c>
      <c r="F222" s="53" t="e">
        <f>VLOOKUP(Table13[[#This Row],[kbli5]],Table1[[#All],[kbli5]:[digital_hijau]],5,)</f>
        <v>#N/A</v>
      </c>
      <c r="G222" s="53" t="e">
        <f>VLOOKUP(Table13[[#This Row],[kbli5]],Table1[[#All],[kbli5]:[digital_hijau]],6,)</f>
        <v>#N/A</v>
      </c>
      <c r="H222" s="54" t="e">
        <f>VLOOKUP(Table13[[#This Row],[kbli5]],kata_kunci!$B:$H,3,FALSE)</f>
        <v>#N/A</v>
      </c>
      <c r="I222" s="84" t="e">
        <f>VLOOKUP(Table13[[#This Row],[kbli5]],kata_kunci!$B:$H,5,FALSE)</f>
        <v>#N/A</v>
      </c>
      <c r="J222" s="84" t="e">
        <f>VLOOKUP(Table13[[#This Row],[kbli5]],kata_kunci!$B:$H,6,FALSE)</f>
        <v>#N/A</v>
      </c>
      <c r="K222" s="84" t="e">
        <f>VLOOKUP(Table13[[#This Row],[kbli5]],kata_kunci!$B:$H,7,FALSE)</f>
        <v>#N/A</v>
      </c>
    </row>
    <row r="223" spans="1:11" ht="45.75" thickBot="1" x14ac:dyDescent="0.3">
      <c r="A223" s="53" t="s">
        <v>450</v>
      </c>
      <c r="B223" s="40">
        <v>10613</v>
      </c>
      <c r="C223" s="41" t="s">
        <v>500</v>
      </c>
      <c r="D223" s="30" t="e">
        <f>VLOOKUP(Table13[[#This Row],[kbli5]],Table1[[#All],[kbli5]:[digital_hijau]],3,)</f>
        <v>#N/A</v>
      </c>
      <c r="E223" s="53" t="e">
        <f>VLOOKUP(Table13[[#This Row],[kbli5]],kata_kunci!$B:$H,4,FALSE)</f>
        <v>#N/A</v>
      </c>
      <c r="F223" s="53" t="e">
        <f>VLOOKUP(Table13[[#This Row],[kbli5]],Table1[[#All],[kbli5]:[digital_hijau]],5,)</f>
        <v>#N/A</v>
      </c>
      <c r="G223" s="53" t="e">
        <f>VLOOKUP(Table13[[#This Row],[kbli5]],Table1[[#All],[kbli5]:[digital_hijau]],6,)</f>
        <v>#N/A</v>
      </c>
      <c r="H223" s="54" t="e">
        <f>VLOOKUP(Table13[[#This Row],[kbli5]],kata_kunci!$B:$H,3,FALSE)</f>
        <v>#N/A</v>
      </c>
      <c r="I223" s="84" t="e">
        <f>VLOOKUP(Table13[[#This Row],[kbli5]],kata_kunci!$B:$H,5,FALSE)</f>
        <v>#N/A</v>
      </c>
      <c r="J223" s="84" t="e">
        <f>VLOOKUP(Table13[[#This Row],[kbli5]],kata_kunci!$B:$H,6,FALSE)</f>
        <v>#N/A</v>
      </c>
      <c r="K223" s="84" t="e">
        <f>VLOOKUP(Table13[[#This Row],[kbli5]],kata_kunci!$B:$H,7,FALSE)</f>
        <v>#N/A</v>
      </c>
    </row>
    <row r="224" spans="1:11" ht="45.75" thickBot="1" x14ac:dyDescent="0.3">
      <c r="A224" s="53" t="s">
        <v>450</v>
      </c>
      <c r="B224" s="40">
        <v>10614</v>
      </c>
      <c r="C224" s="41" t="s">
        <v>501</v>
      </c>
      <c r="D224" s="30" t="e">
        <f>VLOOKUP(Table13[[#This Row],[kbli5]],Table1[[#All],[kbli5]:[digital_hijau]],3,)</f>
        <v>#N/A</v>
      </c>
      <c r="E224" s="53" t="e">
        <f>VLOOKUP(Table13[[#This Row],[kbli5]],kata_kunci!$B:$H,4,FALSE)</f>
        <v>#N/A</v>
      </c>
      <c r="F224" s="53" t="e">
        <f>VLOOKUP(Table13[[#This Row],[kbli5]],Table1[[#All],[kbli5]:[digital_hijau]],5,)</f>
        <v>#N/A</v>
      </c>
      <c r="G224" s="53" t="e">
        <f>VLOOKUP(Table13[[#This Row],[kbli5]],Table1[[#All],[kbli5]:[digital_hijau]],6,)</f>
        <v>#N/A</v>
      </c>
      <c r="H224" s="54" t="e">
        <f>VLOOKUP(Table13[[#This Row],[kbli5]],kata_kunci!$B:$H,3,FALSE)</f>
        <v>#N/A</v>
      </c>
      <c r="I224" s="84" t="e">
        <f>VLOOKUP(Table13[[#This Row],[kbli5]],kata_kunci!$B:$H,5,FALSE)</f>
        <v>#N/A</v>
      </c>
      <c r="J224" s="84" t="e">
        <f>VLOOKUP(Table13[[#This Row],[kbli5]],kata_kunci!$B:$H,6,FALSE)</f>
        <v>#N/A</v>
      </c>
      <c r="K224" s="84" t="e">
        <f>VLOOKUP(Table13[[#This Row],[kbli5]],kata_kunci!$B:$H,7,FALSE)</f>
        <v>#N/A</v>
      </c>
    </row>
    <row r="225" spans="1:11" ht="15.75" thickBot="1" x14ac:dyDescent="0.3">
      <c r="A225" s="53" t="s">
        <v>450</v>
      </c>
      <c r="B225" s="40">
        <v>10615</v>
      </c>
      <c r="C225" s="41" t="s">
        <v>502</v>
      </c>
      <c r="D225" s="30" t="e">
        <f>VLOOKUP(Table13[[#This Row],[kbli5]],Table1[[#All],[kbli5]:[digital_hijau]],3,)</f>
        <v>#N/A</v>
      </c>
      <c r="E225" s="53" t="e">
        <f>VLOOKUP(Table13[[#This Row],[kbli5]],kata_kunci!$B:$H,4,FALSE)</f>
        <v>#N/A</v>
      </c>
      <c r="F225" s="53" t="e">
        <f>VLOOKUP(Table13[[#This Row],[kbli5]],Table1[[#All],[kbli5]:[digital_hijau]],5,)</f>
        <v>#N/A</v>
      </c>
      <c r="G225" s="53" t="e">
        <f>VLOOKUP(Table13[[#This Row],[kbli5]],Table1[[#All],[kbli5]:[digital_hijau]],6,)</f>
        <v>#N/A</v>
      </c>
      <c r="H225" s="54" t="e">
        <f>VLOOKUP(Table13[[#This Row],[kbli5]],kata_kunci!$B:$H,3,FALSE)</f>
        <v>#N/A</v>
      </c>
      <c r="I225" s="84" t="e">
        <f>VLOOKUP(Table13[[#This Row],[kbli5]],kata_kunci!$B:$H,5,FALSE)</f>
        <v>#N/A</v>
      </c>
      <c r="J225" s="84" t="e">
        <f>VLOOKUP(Table13[[#This Row],[kbli5]],kata_kunci!$B:$H,6,FALSE)</f>
        <v>#N/A</v>
      </c>
      <c r="K225" s="84" t="e">
        <f>VLOOKUP(Table13[[#This Row],[kbli5]],kata_kunci!$B:$H,7,FALSE)</f>
        <v>#N/A</v>
      </c>
    </row>
    <row r="226" spans="1:11" ht="15.75" thickBot="1" x14ac:dyDescent="0.3">
      <c r="A226" s="53" t="s">
        <v>450</v>
      </c>
      <c r="B226" s="40">
        <v>10616</v>
      </c>
      <c r="C226" s="41" t="s">
        <v>503</v>
      </c>
      <c r="D226" s="30" t="e">
        <f>VLOOKUP(Table13[[#This Row],[kbli5]],Table1[[#All],[kbli5]:[digital_hijau]],3,)</f>
        <v>#N/A</v>
      </c>
      <c r="E226" s="53" t="e">
        <f>VLOOKUP(Table13[[#This Row],[kbli5]],kata_kunci!$B:$H,4,FALSE)</f>
        <v>#N/A</v>
      </c>
      <c r="F226" s="53" t="e">
        <f>VLOOKUP(Table13[[#This Row],[kbli5]],Table1[[#All],[kbli5]:[digital_hijau]],5,)</f>
        <v>#N/A</v>
      </c>
      <c r="G226" s="53" t="e">
        <f>VLOOKUP(Table13[[#This Row],[kbli5]],Table1[[#All],[kbli5]:[digital_hijau]],6,)</f>
        <v>#N/A</v>
      </c>
      <c r="H226" s="54" t="e">
        <f>VLOOKUP(Table13[[#This Row],[kbli5]],kata_kunci!$B:$H,3,FALSE)</f>
        <v>#N/A</v>
      </c>
      <c r="I226" s="84" t="e">
        <f>VLOOKUP(Table13[[#This Row],[kbli5]],kata_kunci!$B:$H,5,FALSE)</f>
        <v>#N/A</v>
      </c>
      <c r="J226" s="84" t="e">
        <f>VLOOKUP(Table13[[#This Row],[kbli5]],kata_kunci!$B:$H,6,FALSE)</f>
        <v>#N/A</v>
      </c>
      <c r="K226" s="84" t="e">
        <f>VLOOKUP(Table13[[#This Row],[kbli5]],kata_kunci!$B:$H,7,FALSE)</f>
        <v>#N/A</v>
      </c>
    </row>
    <row r="227" spans="1:11" ht="15.75" thickBot="1" x14ac:dyDescent="0.3">
      <c r="A227" s="53" t="s">
        <v>450</v>
      </c>
      <c r="B227" s="40">
        <v>10621</v>
      </c>
      <c r="C227" s="41" t="s">
        <v>504</v>
      </c>
      <c r="D227" s="30" t="e">
        <f>VLOOKUP(Table13[[#This Row],[kbli5]],Table1[[#All],[kbli5]:[digital_hijau]],3,)</f>
        <v>#N/A</v>
      </c>
      <c r="E227" s="53" t="e">
        <f>VLOOKUP(Table13[[#This Row],[kbli5]],kata_kunci!$B:$H,4,FALSE)</f>
        <v>#N/A</v>
      </c>
      <c r="F227" s="53" t="e">
        <f>VLOOKUP(Table13[[#This Row],[kbli5]],Table1[[#All],[kbli5]:[digital_hijau]],5,)</f>
        <v>#N/A</v>
      </c>
      <c r="G227" s="53" t="e">
        <f>VLOOKUP(Table13[[#This Row],[kbli5]],Table1[[#All],[kbli5]:[digital_hijau]],6,)</f>
        <v>#N/A</v>
      </c>
      <c r="H227" s="54" t="e">
        <f>VLOOKUP(Table13[[#This Row],[kbli5]],kata_kunci!$B:$H,3,FALSE)</f>
        <v>#N/A</v>
      </c>
      <c r="I227" s="84" t="e">
        <f>VLOOKUP(Table13[[#This Row],[kbli5]],kata_kunci!$B:$H,5,FALSE)</f>
        <v>#N/A</v>
      </c>
      <c r="J227" s="84" t="e">
        <f>VLOOKUP(Table13[[#This Row],[kbli5]],kata_kunci!$B:$H,6,FALSE)</f>
        <v>#N/A</v>
      </c>
      <c r="K227" s="84" t="e">
        <f>VLOOKUP(Table13[[#This Row],[kbli5]],kata_kunci!$B:$H,7,FALSE)</f>
        <v>#N/A</v>
      </c>
    </row>
    <row r="228" spans="1:11" ht="30.75" thickBot="1" x14ac:dyDescent="0.3">
      <c r="A228" s="53" t="s">
        <v>450</v>
      </c>
      <c r="B228" s="40">
        <v>10622</v>
      </c>
      <c r="C228" s="41" t="s">
        <v>505</v>
      </c>
      <c r="D228" s="30" t="e">
        <f>VLOOKUP(Table13[[#This Row],[kbli5]],Table1[[#All],[kbli5]:[digital_hijau]],3,)</f>
        <v>#N/A</v>
      </c>
      <c r="E228" s="53" t="e">
        <f>VLOOKUP(Table13[[#This Row],[kbli5]],kata_kunci!$B:$H,4,FALSE)</f>
        <v>#N/A</v>
      </c>
      <c r="F228" s="53" t="e">
        <f>VLOOKUP(Table13[[#This Row],[kbli5]],Table1[[#All],[kbli5]:[digital_hijau]],5,)</f>
        <v>#N/A</v>
      </c>
      <c r="G228" s="53" t="e">
        <f>VLOOKUP(Table13[[#This Row],[kbli5]],Table1[[#All],[kbli5]:[digital_hijau]],6,)</f>
        <v>#N/A</v>
      </c>
      <c r="H228" s="54" t="e">
        <f>VLOOKUP(Table13[[#This Row],[kbli5]],kata_kunci!$B:$H,3,FALSE)</f>
        <v>#N/A</v>
      </c>
      <c r="I228" s="84" t="e">
        <f>VLOOKUP(Table13[[#This Row],[kbli5]],kata_kunci!$B:$H,5,FALSE)</f>
        <v>#N/A</v>
      </c>
      <c r="J228" s="84" t="e">
        <f>VLOOKUP(Table13[[#This Row],[kbli5]],kata_kunci!$B:$H,6,FALSE)</f>
        <v>#N/A</v>
      </c>
      <c r="K228" s="84" t="e">
        <f>VLOOKUP(Table13[[#This Row],[kbli5]],kata_kunci!$B:$H,7,FALSE)</f>
        <v>#N/A</v>
      </c>
    </row>
    <row r="229" spans="1:11" ht="30.75" thickBot="1" x14ac:dyDescent="0.3">
      <c r="A229" s="53" t="s">
        <v>450</v>
      </c>
      <c r="B229" s="40">
        <v>10623</v>
      </c>
      <c r="C229" s="41" t="s">
        <v>506</v>
      </c>
      <c r="D229" s="30" t="e">
        <f>VLOOKUP(Table13[[#This Row],[kbli5]],Table1[[#All],[kbli5]:[digital_hijau]],3,)</f>
        <v>#N/A</v>
      </c>
      <c r="E229" s="53" t="e">
        <f>VLOOKUP(Table13[[#This Row],[kbli5]],kata_kunci!$B:$H,4,FALSE)</f>
        <v>#N/A</v>
      </c>
      <c r="F229" s="53" t="e">
        <f>VLOOKUP(Table13[[#This Row],[kbli5]],Table1[[#All],[kbli5]:[digital_hijau]],5,)</f>
        <v>#N/A</v>
      </c>
      <c r="G229" s="53" t="e">
        <f>VLOOKUP(Table13[[#This Row],[kbli5]],Table1[[#All],[kbli5]:[digital_hijau]],6,)</f>
        <v>#N/A</v>
      </c>
      <c r="H229" s="54" t="e">
        <f>VLOOKUP(Table13[[#This Row],[kbli5]],kata_kunci!$B:$H,3,FALSE)</f>
        <v>#N/A</v>
      </c>
      <c r="I229" s="84" t="e">
        <f>VLOOKUP(Table13[[#This Row],[kbli5]],kata_kunci!$B:$H,5,FALSE)</f>
        <v>#N/A</v>
      </c>
      <c r="J229" s="84" t="e">
        <f>VLOOKUP(Table13[[#This Row],[kbli5]],kata_kunci!$B:$H,6,FALSE)</f>
        <v>#N/A</v>
      </c>
      <c r="K229" s="84" t="e">
        <f>VLOOKUP(Table13[[#This Row],[kbli5]],kata_kunci!$B:$H,7,FALSE)</f>
        <v>#N/A</v>
      </c>
    </row>
    <row r="230" spans="1:11" ht="30.75" thickBot="1" x14ac:dyDescent="0.3">
      <c r="A230" s="53" t="s">
        <v>450</v>
      </c>
      <c r="B230" s="40">
        <v>10629</v>
      </c>
      <c r="C230" s="41" t="s">
        <v>507</v>
      </c>
      <c r="D230" s="30" t="e">
        <f>VLOOKUP(Table13[[#This Row],[kbli5]],Table1[[#All],[kbli5]:[digital_hijau]],3,)</f>
        <v>#N/A</v>
      </c>
      <c r="E230" s="53" t="e">
        <f>VLOOKUP(Table13[[#This Row],[kbli5]],kata_kunci!$B:$H,4,FALSE)</f>
        <v>#N/A</v>
      </c>
      <c r="F230" s="53" t="e">
        <f>VLOOKUP(Table13[[#This Row],[kbli5]],Table1[[#All],[kbli5]:[digital_hijau]],5,)</f>
        <v>#N/A</v>
      </c>
      <c r="G230" s="53" t="e">
        <f>VLOOKUP(Table13[[#This Row],[kbli5]],Table1[[#All],[kbli5]:[digital_hijau]],6,)</f>
        <v>#N/A</v>
      </c>
      <c r="H230" s="54" t="e">
        <f>VLOOKUP(Table13[[#This Row],[kbli5]],kata_kunci!$B:$H,3,FALSE)</f>
        <v>#N/A</v>
      </c>
      <c r="I230" s="84" t="e">
        <f>VLOOKUP(Table13[[#This Row],[kbli5]],kata_kunci!$B:$H,5,FALSE)</f>
        <v>#N/A</v>
      </c>
      <c r="J230" s="84" t="e">
        <f>VLOOKUP(Table13[[#This Row],[kbli5]],kata_kunci!$B:$H,6,FALSE)</f>
        <v>#N/A</v>
      </c>
      <c r="K230" s="84" t="e">
        <f>VLOOKUP(Table13[[#This Row],[kbli5]],kata_kunci!$B:$H,7,FALSE)</f>
        <v>#N/A</v>
      </c>
    </row>
    <row r="231" spans="1:11" ht="45.75" thickBot="1" x14ac:dyDescent="0.3">
      <c r="A231" s="53" t="s">
        <v>450</v>
      </c>
      <c r="B231" s="40">
        <v>10631</v>
      </c>
      <c r="C231" s="41" t="s">
        <v>508</v>
      </c>
      <c r="D231" s="30" t="e">
        <f>VLOOKUP(Table13[[#This Row],[kbli5]],Table1[[#All],[kbli5]:[digital_hijau]],3,)</f>
        <v>#N/A</v>
      </c>
      <c r="E231" s="53" t="e">
        <f>VLOOKUP(Table13[[#This Row],[kbli5]],kata_kunci!$B:$H,4,FALSE)</f>
        <v>#N/A</v>
      </c>
      <c r="F231" s="53" t="e">
        <f>VLOOKUP(Table13[[#This Row],[kbli5]],Table1[[#All],[kbli5]:[digital_hijau]],5,)</f>
        <v>#N/A</v>
      </c>
      <c r="G231" s="53" t="e">
        <f>VLOOKUP(Table13[[#This Row],[kbli5]],Table1[[#All],[kbli5]:[digital_hijau]],6,)</f>
        <v>#N/A</v>
      </c>
      <c r="H231" s="54" t="e">
        <f>VLOOKUP(Table13[[#This Row],[kbli5]],kata_kunci!$B:$H,3,FALSE)</f>
        <v>#N/A</v>
      </c>
      <c r="I231" s="84" t="e">
        <f>VLOOKUP(Table13[[#This Row],[kbli5]],kata_kunci!$B:$H,5,FALSE)</f>
        <v>#N/A</v>
      </c>
      <c r="J231" s="84" t="e">
        <f>VLOOKUP(Table13[[#This Row],[kbli5]],kata_kunci!$B:$H,6,FALSE)</f>
        <v>#N/A</v>
      </c>
      <c r="K231" s="84" t="e">
        <f>VLOOKUP(Table13[[#This Row],[kbli5]],kata_kunci!$B:$H,7,FALSE)</f>
        <v>#N/A</v>
      </c>
    </row>
    <row r="232" spans="1:11" ht="30.75" thickBot="1" x14ac:dyDescent="0.3">
      <c r="A232" s="53" t="s">
        <v>450</v>
      </c>
      <c r="B232" s="40">
        <v>10632</v>
      </c>
      <c r="C232" s="41" t="s">
        <v>509</v>
      </c>
      <c r="D232" s="30" t="e">
        <f>VLOOKUP(Table13[[#This Row],[kbli5]],Table1[[#All],[kbli5]:[digital_hijau]],3,)</f>
        <v>#N/A</v>
      </c>
      <c r="E232" s="53" t="e">
        <f>VLOOKUP(Table13[[#This Row],[kbli5]],kata_kunci!$B:$H,4,FALSE)</f>
        <v>#N/A</v>
      </c>
      <c r="F232" s="53" t="e">
        <f>VLOOKUP(Table13[[#This Row],[kbli5]],Table1[[#All],[kbli5]:[digital_hijau]],5,)</f>
        <v>#N/A</v>
      </c>
      <c r="G232" s="53" t="e">
        <f>VLOOKUP(Table13[[#This Row],[kbli5]],Table1[[#All],[kbli5]:[digital_hijau]],6,)</f>
        <v>#N/A</v>
      </c>
      <c r="H232" s="54" t="e">
        <f>VLOOKUP(Table13[[#This Row],[kbli5]],kata_kunci!$B:$H,3,FALSE)</f>
        <v>#N/A</v>
      </c>
      <c r="I232" s="84" t="e">
        <f>VLOOKUP(Table13[[#This Row],[kbli5]],kata_kunci!$B:$H,5,FALSE)</f>
        <v>#N/A</v>
      </c>
      <c r="J232" s="84" t="e">
        <f>VLOOKUP(Table13[[#This Row],[kbli5]],kata_kunci!$B:$H,6,FALSE)</f>
        <v>#N/A</v>
      </c>
      <c r="K232" s="84" t="e">
        <f>VLOOKUP(Table13[[#This Row],[kbli5]],kata_kunci!$B:$H,7,FALSE)</f>
        <v>#N/A</v>
      </c>
    </row>
    <row r="233" spans="1:11" ht="30.75" thickBot="1" x14ac:dyDescent="0.3">
      <c r="A233" s="53" t="s">
        <v>450</v>
      </c>
      <c r="B233" s="40">
        <v>10633</v>
      </c>
      <c r="C233" s="41" t="s">
        <v>510</v>
      </c>
      <c r="D233" s="30" t="e">
        <f>VLOOKUP(Table13[[#This Row],[kbli5]],Table1[[#All],[kbli5]:[digital_hijau]],3,)</f>
        <v>#N/A</v>
      </c>
      <c r="E233" s="53" t="e">
        <f>VLOOKUP(Table13[[#This Row],[kbli5]],kata_kunci!$B:$H,4,FALSE)</f>
        <v>#N/A</v>
      </c>
      <c r="F233" s="53" t="e">
        <f>VLOOKUP(Table13[[#This Row],[kbli5]],Table1[[#All],[kbli5]:[digital_hijau]],5,)</f>
        <v>#N/A</v>
      </c>
      <c r="G233" s="53" t="e">
        <f>VLOOKUP(Table13[[#This Row],[kbli5]],Table1[[#All],[kbli5]:[digital_hijau]],6,)</f>
        <v>#N/A</v>
      </c>
      <c r="H233" s="54" t="e">
        <f>VLOOKUP(Table13[[#This Row],[kbli5]],kata_kunci!$B:$H,3,FALSE)</f>
        <v>#N/A</v>
      </c>
      <c r="I233" s="84" t="e">
        <f>VLOOKUP(Table13[[#This Row],[kbli5]],kata_kunci!$B:$H,5,FALSE)</f>
        <v>#N/A</v>
      </c>
      <c r="J233" s="84" t="e">
        <f>VLOOKUP(Table13[[#This Row],[kbli5]],kata_kunci!$B:$H,6,FALSE)</f>
        <v>#N/A</v>
      </c>
      <c r="K233" s="84" t="e">
        <f>VLOOKUP(Table13[[#This Row],[kbli5]],kata_kunci!$B:$H,7,FALSE)</f>
        <v>#N/A</v>
      </c>
    </row>
    <row r="234" spans="1:11" ht="30.75" thickBot="1" x14ac:dyDescent="0.3">
      <c r="A234" s="53" t="s">
        <v>450</v>
      </c>
      <c r="B234" s="40">
        <v>10634</v>
      </c>
      <c r="C234" s="41" t="s">
        <v>511</v>
      </c>
      <c r="D234" s="30" t="e">
        <f>VLOOKUP(Table13[[#This Row],[kbli5]],Table1[[#All],[kbli5]:[digital_hijau]],3,)</f>
        <v>#N/A</v>
      </c>
      <c r="E234" s="53" t="e">
        <f>VLOOKUP(Table13[[#This Row],[kbli5]],kata_kunci!$B:$H,4,FALSE)</f>
        <v>#N/A</v>
      </c>
      <c r="F234" s="53" t="e">
        <f>VLOOKUP(Table13[[#This Row],[kbli5]],Table1[[#All],[kbli5]:[digital_hijau]],5,)</f>
        <v>#N/A</v>
      </c>
      <c r="G234" s="53" t="e">
        <f>VLOOKUP(Table13[[#This Row],[kbli5]],Table1[[#All],[kbli5]:[digital_hijau]],6,)</f>
        <v>#N/A</v>
      </c>
      <c r="H234" s="54" t="e">
        <f>VLOOKUP(Table13[[#This Row],[kbli5]],kata_kunci!$B:$H,3,FALSE)</f>
        <v>#N/A</v>
      </c>
      <c r="I234" s="84" t="e">
        <f>VLOOKUP(Table13[[#This Row],[kbli5]],kata_kunci!$B:$H,5,FALSE)</f>
        <v>#N/A</v>
      </c>
      <c r="J234" s="84" t="e">
        <f>VLOOKUP(Table13[[#This Row],[kbli5]],kata_kunci!$B:$H,6,FALSE)</f>
        <v>#N/A</v>
      </c>
      <c r="K234" s="84" t="e">
        <f>VLOOKUP(Table13[[#This Row],[kbli5]],kata_kunci!$B:$H,7,FALSE)</f>
        <v>#N/A</v>
      </c>
    </row>
    <row r="235" spans="1:11" ht="30.75" thickBot="1" x14ac:dyDescent="0.3">
      <c r="A235" s="53" t="s">
        <v>450</v>
      </c>
      <c r="B235" s="40">
        <v>10635</v>
      </c>
      <c r="C235" s="41" t="s">
        <v>512</v>
      </c>
      <c r="D235" s="30" t="e">
        <f>VLOOKUP(Table13[[#This Row],[kbli5]],Table1[[#All],[kbli5]:[digital_hijau]],3,)</f>
        <v>#N/A</v>
      </c>
      <c r="E235" s="53" t="e">
        <f>VLOOKUP(Table13[[#This Row],[kbli5]],kata_kunci!$B:$H,4,FALSE)</f>
        <v>#N/A</v>
      </c>
      <c r="F235" s="53" t="e">
        <f>VLOOKUP(Table13[[#This Row],[kbli5]],Table1[[#All],[kbli5]:[digital_hijau]],5,)</f>
        <v>#N/A</v>
      </c>
      <c r="G235" s="53" t="e">
        <f>VLOOKUP(Table13[[#This Row],[kbli5]],Table1[[#All],[kbli5]:[digital_hijau]],6,)</f>
        <v>#N/A</v>
      </c>
      <c r="H235" s="54" t="e">
        <f>VLOOKUP(Table13[[#This Row],[kbli5]],kata_kunci!$B:$H,3,FALSE)</f>
        <v>#N/A</v>
      </c>
      <c r="I235" s="84" t="e">
        <f>VLOOKUP(Table13[[#This Row],[kbli5]],kata_kunci!$B:$H,5,FALSE)</f>
        <v>#N/A</v>
      </c>
      <c r="J235" s="84" t="e">
        <f>VLOOKUP(Table13[[#This Row],[kbli5]],kata_kunci!$B:$H,6,FALSE)</f>
        <v>#N/A</v>
      </c>
      <c r="K235" s="84" t="e">
        <f>VLOOKUP(Table13[[#This Row],[kbli5]],kata_kunci!$B:$H,7,FALSE)</f>
        <v>#N/A</v>
      </c>
    </row>
    <row r="236" spans="1:11" ht="30.75" thickBot="1" x14ac:dyDescent="0.3">
      <c r="A236" s="53" t="s">
        <v>450</v>
      </c>
      <c r="B236" s="40">
        <v>10636</v>
      </c>
      <c r="C236" s="41" t="s">
        <v>513</v>
      </c>
      <c r="D236" s="30" t="e">
        <f>VLOOKUP(Table13[[#This Row],[kbli5]],Table1[[#All],[kbli5]:[digital_hijau]],3,)</f>
        <v>#N/A</v>
      </c>
      <c r="E236" s="53" t="e">
        <f>VLOOKUP(Table13[[#This Row],[kbli5]],kata_kunci!$B:$H,4,FALSE)</f>
        <v>#N/A</v>
      </c>
      <c r="F236" s="53" t="e">
        <f>VLOOKUP(Table13[[#This Row],[kbli5]],Table1[[#All],[kbli5]:[digital_hijau]],5,)</f>
        <v>#N/A</v>
      </c>
      <c r="G236" s="53" t="e">
        <f>VLOOKUP(Table13[[#This Row],[kbli5]],Table1[[#All],[kbli5]:[digital_hijau]],6,)</f>
        <v>#N/A</v>
      </c>
      <c r="H236" s="54" t="e">
        <f>VLOOKUP(Table13[[#This Row],[kbli5]],kata_kunci!$B:$H,3,FALSE)</f>
        <v>#N/A</v>
      </c>
      <c r="I236" s="84" t="e">
        <f>VLOOKUP(Table13[[#This Row],[kbli5]],kata_kunci!$B:$H,5,FALSE)</f>
        <v>#N/A</v>
      </c>
      <c r="J236" s="84" t="e">
        <f>VLOOKUP(Table13[[#This Row],[kbli5]],kata_kunci!$B:$H,6,FALSE)</f>
        <v>#N/A</v>
      </c>
      <c r="K236" s="84" t="e">
        <f>VLOOKUP(Table13[[#This Row],[kbli5]],kata_kunci!$B:$H,7,FALSE)</f>
        <v>#N/A</v>
      </c>
    </row>
    <row r="237" spans="1:11" ht="15.75" thickBot="1" x14ac:dyDescent="0.3">
      <c r="A237" s="53" t="s">
        <v>450</v>
      </c>
      <c r="B237" s="40">
        <v>10710</v>
      </c>
      <c r="C237" s="41" t="s">
        <v>514</v>
      </c>
      <c r="D237" s="30" t="e">
        <f>VLOOKUP(Table13[[#This Row],[kbli5]],Table1[[#All],[kbli5]:[digital_hijau]],3,)</f>
        <v>#N/A</v>
      </c>
      <c r="E237" s="53" t="e">
        <f>VLOOKUP(Table13[[#This Row],[kbli5]],kata_kunci!$B:$H,4,FALSE)</f>
        <v>#N/A</v>
      </c>
      <c r="F237" s="53" t="e">
        <f>VLOOKUP(Table13[[#This Row],[kbli5]],Table1[[#All],[kbli5]:[digital_hijau]],5,)</f>
        <v>#N/A</v>
      </c>
      <c r="G237" s="53" t="e">
        <f>VLOOKUP(Table13[[#This Row],[kbli5]],Table1[[#All],[kbli5]:[digital_hijau]],6,)</f>
        <v>#N/A</v>
      </c>
      <c r="H237" s="54" t="e">
        <f>VLOOKUP(Table13[[#This Row],[kbli5]],kata_kunci!$B:$H,3,FALSE)</f>
        <v>#N/A</v>
      </c>
      <c r="I237" s="84" t="e">
        <f>VLOOKUP(Table13[[#This Row],[kbli5]],kata_kunci!$B:$H,5,FALSE)</f>
        <v>#N/A</v>
      </c>
      <c r="J237" s="84" t="e">
        <f>VLOOKUP(Table13[[#This Row],[kbli5]],kata_kunci!$B:$H,6,FALSE)</f>
        <v>#N/A</v>
      </c>
      <c r="K237" s="84" t="e">
        <f>VLOOKUP(Table13[[#This Row],[kbli5]],kata_kunci!$B:$H,7,FALSE)</f>
        <v>#N/A</v>
      </c>
    </row>
    <row r="238" spans="1:11" ht="15.75" thickBot="1" x14ac:dyDescent="0.3">
      <c r="A238" s="53" t="s">
        <v>450</v>
      </c>
      <c r="B238" s="40">
        <v>10721</v>
      </c>
      <c r="C238" s="41" t="s">
        <v>515</v>
      </c>
      <c r="D238" s="30" t="e">
        <f>VLOOKUP(Table13[[#This Row],[kbli5]],Table1[[#All],[kbli5]:[digital_hijau]],3,)</f>
        <v>#N/A</v>
      </c>
      <c r="E238" s="53" t="e">
        <f>VLOOKUP(Table13[[#This Row],[kbli5]],kata_kunci!$B:$H,4,FALSE)</f>
        <v>#N/A</v>
      </c>
      <c r="F238" s="53" t="e">
        <f>VLOOKUP(Table13[[#This Row],[kbli5]],Table1[[#All],[kbli5]:[digital_hijau]],5,)</f>
        <v>#N/A</v>
      </c>
      <c r="G238" s="53" t="e">
        <f>VLOOKUP(Table13[[#This Row],[kbli5]],Table1[[#All],[kbli5]:[digital_hijau]],6,)</f>
        <v>#N/A</v>
      </c>
      <c r="H238" s="54" t="e">
        <f>VLOOKUP(Table13[[#This Row],[kbli5]],kata_kunci!$B:$H,3,FALSE)</f>
        <v>#N/A</v>
      </c>
      <c r="I238" s="84" t="e">
        <f>VLOOKUP(Table13[[#This Row],[kbli5]],kata_kunci!$B:$H,5,FALSE)</f>
        <v>#N/A</v>
      </c>
      <c r="J238" s="84" t="e">
        <f>VLOOKUP(Table13[[#This Row],[kbli5]],kata_kunci!$B:$H,6,FALSE)</f>
        <v>#N/A</v>
      </c>
      <c r="K238" s="84" t="e">
        <f>VLOOKUP(Table13[[#This Row],[kbli5]],kata_kunci!$B:$H,7,FALSE)</f>
        <v>#N/A</v>
      </c>
    </row>
    <row r="239" spans="1:11" ht="15.75" thickBot="1" x14ac:dyDescent="0.3">
      <c r="A239" s="53" t="s">
        <v>450</v>
      </c>
      <c r="B239" s="40">
        <v>10722</v>
      </c>
      <c r="C239" s="41" t="s">
        <v>516</v>
      </c>
      <c r="D239" s="30" t="e">
        <f>VLOOKUP(Table13[[#This Row],[kbli5]],Table1[[#All],[kbli5]:[digital_hijau]],3,)</f>
        <v>#N/A</v>
      </c>
      <c r="E239" s="53" t="e">
        <f>VLOOKUP(Table13[[#This Row],[kbli5]],kata_kunci!$B:$H,4,FALSE)</f>
        <v>#N/A</v>
      </c>
      <c r="F239" s="53" t="e">
        <f>VLOOKUP(Table13[[#This Row],[kbli5]],Table1[[#All],[kbli5]:[digital_hijau]],5,)</f>
        <v>#N/A</v>
      </c>
      <c r="G239" s="53" t="e">
        <f>VLOOKUP(Table13[[#This Row],[kbli5]],Table1[[#All],[kbli5]:[digital_hijau]],6,)</f>
        <v>#N/A</v>
      </c>
      <c r="H239" s="54" t="e">
        <f>VLOOKUP(Table13[[#This Row],[kbli5]],kata_kunci!$B:$H,3,FALSE)</f>
        <v>#N/A</v>
      </c>
      <c r="I239" s="84" t="e">
        <f>VLOOKUP(Table13[[#This Row],[kbli5]],kata_kunci!$B:$H,5,FALSE)</f>
        <v>#N/A</v>
      </c>
      <c r="J239" s="84" t="e">
        <f>VLOOKUP(Table13[[#This Row],[kbli5]],kata_kunci!$B:$H,6,FALSE)</f>
        <v>#N/A</v>
      </c>
      <c r="K239" s="84" t="e">
        <f>VLOOKUP(Table13[[#This Row],[kbli5]],kata_kunci!$B:$H,7,FALSE)</f>
        <v>#N/A</v>
      </c>
    </row>
    <row r="240" spans="1:11" ht="15.75" thickBot="1" x14ac:dyDescent="0.3">
      <c r="A240" s="53" t="s">
        <v>450</v>
      </c>
      <c r="B240" s="40">
        <v>10723</v>
      </c>
      <c r="C240" s="41" t="s">
        <v>517</v>
      </c>
      <c r="D240" s="30" t="e">
        <f>VLOOKUP(Table13[[#This Row],[kbli5]],Table1[[#All],[kbli5]:[digital_hijau]],3,)</f>
        <v>#N/A</v>
      </c>
      <c r="E240" s="53" t="e">
        <f>VLOOKUP(Table13[[#This Row],[kbli5]],kata_kunci!$B:$H,4,FALSE)</f>
        <v>#N/A</v>
      </c>
      <c r="F240" s="53" t="e">
        <f>VLOOKUP(Table13[[#This Row],[kbli5]],Table1[[#All],[kbli5]:[digital_hijau]],5,)</f>
        <v>#N/A</v>
      </c>
      <c r="G240" s="53" t="e">
        <f>VLOOKUP(Table13[[#This Row],[kbli5]],Table1[[#All],[kbli5]:[digital_hijau]],6,)</f>
        <v>#N/A</v>
      </c>
      <c r="H240" s="54" t="e">
        <f>VLOOKUP(Table13[[#This Row],[kbli5]],kata_kunci!$B:$H,3,FALSE)</f>
        <v>#N/A</v>
      </c>
      <c r="I240" s="84" t="e">
        <f>VLOOKUP(Table13[[#This Row],[kbli5]],kata_kunci!$B:$H,5,FALSE)</f>
        <v>#N/A</v>
      </c>
      <c r="J240" s="84" t="e">
        <f>VLOOKUP(Table13[[#This Row],[kbli5]],kata_kunci!$B:$H,6,FALSE)</f>
        <v>#N/A</v>
      </c>
      <c r="K240" s="84" t="e">
        <f>VLOOKUP(Table13[[#This Row],[kbli5]],kata_kunci!$B:$H,7,FALSE)</f>
        <v>#N/A</v>
      </c>
    </row>
    <row r="241" spans="1:11" ht="15.75" thickBot="1" x14ac:dyDescent="0.3">
      <c r="A241" s="53" t="s">
        <v>450</v>
      </c>
      <c r="B241" s="40">
        <v>10729</v>
      </c>
      <c r="C241" s="41" t="s">
        <v>518</v>
      </c>
      <c r="D241" s="30" t="e">
        <f>VLOOKUP(Table13[[#This Row],[kbli5]],Table1[[#All],[kbli5]:[digital_hijau]],3,)</f>
        <v>#N/A</v>
      </c>
      <c r="E241" s="53" t="e">
        <f>VLOOKUP(Table13[[#This Row],[kbli5]],kata_kunci!$B:$H,4,FALSE)</f>
        <v>#N/A</v>
      </c>
      <c r="F241" s="53" t="e">
        <f>VLOOKUP(Table13[[#This Row],[kbli5]],Table1[[#All],[kbli5]:[digital_hijau]],5,)</f>
        <v>#N/A</v>
      </c>
      <c r="G241" s="53" t="e">
        <f>VLOOKUP(Table13[[#This Row],[kbli5]],Table1[[#All],[kbli5]:[digital_hijau]],6,)</f>
        <v>#N/A</v>
      </c>
      <c r="H241" s="54" t="e">
        <f>VLOOKUP(Table13[[#This Row],[kbli5]],kata_kunci!$B:$H,3,FALSE)</f>
        <v>#N/A</v>
      </c>
      <c r="I241" s="84" t="e">
        <f>VLOOKUP(Table13[[#This Row],[kbli5]],kata_kunci!$B:$H,5,FALSE)</f>
        <v>#N/A</v>
      </c>
      <c r="J241" s="84" t="e">
        <f>VLOOKUP(Table13[[#This Row],[kbli5]],kata_kunci!$B:$H,6,FALSE)</f>
        <v>#N/A</v>
      </c>
      <c r="K241" s="84" t="e">
        <f>VLOOKUP(Table13[[#This Row],[kbli5]],kata_kunci!$B:$H,7,FALSE)</f>
        <v>#N/A</v>
      </c>
    </row>
    <row r="242" spans="1:11" ht="30.75" thickBot="1" x14ac:dyDescent="0.3">
      <c r="A242" s="53" t="s">
        <v>450</v>
      </c>
      <c r="B242" s="40">
        <v>10731</v>
      </c>
      <c r="C242" s="41" t="s">
        <v>519</v>
      </c>
      <c r="D242" s="30" t="e">
        <f>VLOOKUP(Table13[[#This Row],[kbli5]],Table1[[#All],[kbli5]:[digital_hijau]],3,)</f>
        <v>#N/A</v>
      </c>
      <c r="E242" s="53" t="e">
        <f>VLOOKUP(Table13[[#This Row],[kbli5]],kata_kunci!$B:$H,4,FALSE)</f>
        <v>#N/A</v>
      </c>
      <c r="F242" s="53" t="e">
        <f>VLOOKUP(Table13[[#This Row],[kbli5]],Table1[[#All],[kbli5]:[digital_hijau]],5,)</f>
        <v>#N/A</v>
      </c>
      <c r="G242" s="53" t="e">
        <f>VLOOKUP(Table13[[#This Row],[kbli5]],Table1[[#All],[kbli5]:[digital_hijau]],6,)</f>
        <v>#N/A</v>
      </c>
      <c r="H242" s="54" t="e">
        <f>VLOOKUP(Table13[[#This Row],[kbli5]],kata_kunci!$B:$H,3,FALSE)</f>
        <v>#N/A</v>
      </c>
      <c r="I242" s="84" t="e">
        <f>VLOOKUP(Table13[[#This Row],[kbli5]],kata_kunci!$B:$H,5,FALSE)</f>
        <v>#N/A</v>
      </c>
      <c r="J242" s="84" t="e">
        <f>VLOOKUP(Table13[[#This Row],[kbli5]],kata_kunci!$B:$H,6,FALSE)</f>
        <v>#N/A</v>
      </c>
      <c r="K242" s="84" t="e">
        <f>VLOOKUP(Table13[[#This Row],[kbli5]],kata_kunci!$B:$H,7,FALSE)</f>
        <v>#N/A</v>
      </c>
    </row>
    <row r="243" spans="1:11" ht="45.75" thickBot="1" x14ac:dyDescent="0.3">
      <c r="A243" s="53" t="s">
        <v>450</v>
      </c>
      <c r="B243" s="40">
        <v>10732</v>
      </c>
      <c r="C243" s="41" t="s">
        <v>520</v>
      </c>
      <c r="D243" s="30" t="e">
        <f>VLOOKUP(Table13[[#This Row],[kbli5]],Table1[[#All],[kbli5]:[digital_hijau]],3,)</f>
        <v>#N/A</v>
      </c>
      <c r="E243" s="53" t="e">
        <f>VLOOKUP(Table13[[#This Row],[kbli5]],kata_kunci!$B:$H,4,FALSE)</f>
        <v>#N/A</v>
      </c>
      <c r="F243" s="53" t="e">
        <f>VLOOKUP(Table13[[#This Row],[kbli5]],Table1[[#All],[kbli5]:[digital_hijau]],5,)</f>
        <v>#N/A</v>
      </c>
      <c r="G243" s="53" t="e">
        <f>VLOOKUP(Table13[[#This Row],[kbli5]],Table1[[#All],[kbli5]:[digital_hijau]],6,)</f>
        <v>#N/A</v>
      </c>
      <c r="H243" s="54" t="e">
        <f>VLOOKUP(Table13[[#This Row],[kbli5]],kata_kunci!$B:$H,3,FALSE)</f>
        <v>#N/A</v>
      </c>
      <c r="I243" s="84" t="e">
        <f>VLOOKUP(Table13[[#This Row],[kbli5]],kata_kunci!$B:$H,5,FALSE)</f>
        <v>#N/A</v>
      </c>
      <c r="J243" s="84" t="e">
        <f>VLOOKUP(Table13[[#This Row],[kbli5]],kata_kunci!$B:$H,6,FALSE)</f>
        <v>#N/A</v>
      </c>
      <c r="K243" s="84" t="e">
        <f>VLOOKUP(Table13[[#This Row],[kbli5]],kata_kunci!$B:$H,7,FALSE)</f>
        <v>#N/A</v>
      </c>
    </row>
    <row r="244" spans="1:11" ht="45.75" thickBot="1" x14ac:dyDescent="0.3">
      <c r="A244" s="53" t="s">
        <v>450</v>
      </c>
      <c r="B244" s="40">
        <v>10733</v>
      </c>
      <c r="C244" s="41" t="s">
        <v>521</v>
      </c>
      <c r="D244" s="30" t="e">
        <f>VLOOKUP(Table13[[#This Row],[kbli5]],Table1[[#All],[kbli5]:[digital_hijau]],3,)</f>
        <v>#N/A</v>
      </c>
      <c r="E244" s="53" t="e">
        <f>VLOOKUP(Table13[[#This Row],[kbli5]],kata_kunci!$B:$H,4,FALSE)</f>
        <v>#N/A</v>
      </c>
      <c r="F244" s="53" t="e">
        <f>VLOOKUP(Table13[[#This Row],[kbli5]],Table1[[#All],[kbli5]:[digital_hijau]],5,)</f>
        <v>#N/A</v>
      </c>
      <c r="G244" s="53" t="e">
        <f>VLOOKUP(Table13[[#This Row],[kbli5]],Table1[[#All],[kbli5]:[digital_hijau]],6,)</f>
        <v>#N/A</v>
      </c>
      <c r="H244" s="54" t="e">
        <f>VLOOKUP(Table13[[#This Row],[kbli5]],kata_kunci!$B:$H,3,FALSE)</f>
        <v>#N/A</v>
      </c>
      <c r="I244" s="84" t="e">
        <f>VLOOKUP(Table13[[#This Row],[kbli5]],kata_kunci!$B:$H,5,FALSE)</f>
        <v>#N/A</v>
      </c>
      <c r="J244" s="84" t="e">
        <f>VLOOKUP(Table13[[#This Row],[kbli5]],kata_kunci!$B:$H,6,FALSE)</f>
        <v>#N/A</v>
      </c>
      <c r="K244" s="84" t="e">
        <f>VLOOKUP(Table13[[#This Row],[kbli5]],kata_kunci!$B:$H,7,FALSE)</f>
        <v>#N/A</v>
      </c>
    </row>
    <row r="245" spans="1:11" ht="30.75" thickBot="1" x14ac:dyDescent="0.3">
      <c r="A245" s="53" t="s">
        <v>450</v>
      </c>
      <c r="B245" s="40">
        <v>10739</v>
      </c>
      <c r="C245" s="41" t="s">
        <v>522</v>
      </c>
      <c r="D245" s="30" t="e">
        <f>VLOOKUP(Table13[[#This Row],[kbli5]],Table1[[#All],[kbli5]:[digital_hijau]],3,)</f>
        <v>#N/A</v>
      </c>
      <c r="E245" s="53" t="e">
        <f>VLOOKUP(Table13[[#This Row],[kbli5]],kata_kunci!$B:$H,4,FALSE)</f>
        <v>#N/A</v>
      </c>
      <c r="F245" s="53" t="e">
        <f>VLOOKUP(Table13[[#This Row],[kbli5]],Table1[[#All],[kbli5]:[digital_hijau]],5,)</f>
        <v>#N/A</v>
      </c>
      <c r="G245" s="53" t="e">
        <f>VLOOKUP(Table13[[#This Row],[kbli5]],Table1[[#All],[kbli5]:[digital_hijau]],6,)</f>
        <v>#N/A</v>
      </c>
      <c r="H245" s="54" t="e">
        <f>VLOOKUP(Table13[[#This Row],[kbli5]],kata_kunci!$B:$H,3,FALSE)</f>
        <v>#N/A</v>
      </c>
      <c r="I245" s="84" t="e">
        <f>VLOOKUP(Table13[[#This Row],[kbli5]],kata_kunci!$B:$H,5,FALSE)</f>
        <v>#N/A</v>
      </c>
      <c r="J245" s="84" t="e">
        <f>VLOOKUP(Table13[[#This Row],[kbli5]],kata_kunci!$B:$H,6,FALSE)</f>
        <v>#N/A</v>
      </c>
      <c r="K245" s="84" t="e">
        <f>VLOOKUP(Table13[[#This Row],[kbli5]],kata_kunci!$B:$H,7,FALSE)</f>
        <v>#N/A</v>
      </c>
    </row>
    <row r="246" spans="1:11" ht="45.75" thickBot="1" x14ac:dyDescent="0.3">
      <c r="A246" s="53" t="s">
        <v>450</v>
      </c>
      <c r="B246" s="40">
        <v>10740</v>
      </c>
      <c r="C246" s="41" t="s">
        <v>523</v>
      </c>
      <c r="D246" s="30" t="e">
        <f>VLOOKUP(Table13[[#This Row],[kbli5]],Table1[[#All],[kbli5]:[digital_hijau]],3,)</f>
        <v>#N/A</v>
      </c>
      <c r="E246" s="53" t="e">
        <f>VLOOKUP(Table13[[#This Row],[kbli5]],kata_kunci!$B:$H,4,FALSE)</f>
        <v>#N/A</v>
      </c>
      <c r="F246" s="53" t="e">
        <f>VLOOKUP(Table13[[#This Row],[kbli5]],Table1[[#All],[kbli5]:[digital_hijau]],5,)</f>
        <v>#N/A</v>
      </c>
      <c r="G246" s="53" t="e">
        <f>VLOOKUP(Table13[[#This Row],[kbli5]],Table1[[#All],[kbli5]:[digital_hijau]],6,)</f>
        <v>#N/A</v>
      </c>
      <c r="H246" s="54" t="e">
        <f>VLOOKUP(Table13[[#This Row],[kbli5]],kata_kunci!$B:$H,3,FALSE)</f>
        <v>#N/A</v>
      </c>
      <c r="I246" s="84" t="e">
        <f>VLOOKUP(Table13[[#This Row],[kbli5]],kata_kunci!$B:$H,5,FALSE)</f>
        <v>#N/A</v>
      </c>
      <c r="J246" s="84" t="e">
        <f>VLOOKUP(Table13[[#This Row],[kbli5]],kata_kunci!$B:$H,6,FALSE)</f>
        <v>#N/A</v>
      </c>
      <c r="K246" s="84" t="e">
        <f>VLOOKUP(Table13[[#This Row],[kbli5]],kata_kunci!$B:$H,7,FALSE)</f>
        <v>#N/A</v>
      </c>
    </row>
    <row r="247" spans="1:11" ht="30.75" thickBot="1" x14ac:dyDescent="0.3">
      <c r="A247" s="53" t="s">
        <v>450</v>
      </c>
      <c r="B247" s="40">
        <v>10750</v>
      </c>
      <c r="C247" s="41" t="s">
        <v>524</v>
      </c>
      <c r="D247" s="30" t="e">
        <f>VLOOKUP(Table13[[#This Row],[kbli5]],Table1[[#All],[kbli5]:[digital_hijau]],3,)</f>
        <v>#N/A</v>
      </c>
      <c r="E247" s="53" t="e">
        <f>VLOOKUP(Table13[[#This Row],[kbli5]],kata_kunci!$B:$H,4,FALSE)</f>
        <v>#N/A</v>
      </c>
      <c r="F247" s="53" t="e">
        <f>VLOOKUP(Table13[[#This Row],[kbli5]],Table1[[#All],[kbli5]:[digital_hijau]],5,)</f>
        <v>#N/A</v>
      </c>
      <c r="G247" s="53" t="e">
        <f>VLOOKUP(Table13[[#This Row],[kbli5]],Table1[[#All],[kbli5]:[digital_hijau]],6,)</f>
        <v>#N/A</v>
      </c>
      <c r="H247" s="54" t="e">
        <f>VLOOKUP(Table13[[#This Row],[kbli5]],kata_kunci!$B:$H,3,FALSE)</f>
        <v>#N/A</v>
      </c>
      <c r="I247" s="84" t="e">
        <f>VLOOKUP(Table13[[#This Row],[kbli5]],kata_kunci!$B:$H,5,FALSE)</f>
        <v>#N/A</v>
      </c>
      <c r="J247" s="84" t="e">
        <f>VLOOKUP(Table13[[#This Row],[kbli5]],kata_kunci!$B:$H,6,FALSE)</f>
        <v>#N/A</v>
      </c>
      <c r="K247" s="84" t="e">
        <f>VLOOKUP(Table13[[#This Row],[kbli5]],kata_kunci!$B:$H,7,FALSE)</f>
        <v>#N/A</v>
      </c>
    </row>
    <row r="248" spans="1:11" ht="15.75" thickBot="1" x14ac:dyDescent="0.3">
      <c r="A248" s="53" t="s">
        <v>450</v>
      </c>
      <c r="B248" s="40">
        <v>10761</v>
      </c>
      <c r="C248" s="41" t="s">
        <v>525</v>
      </c>
      <c r="D248" s="30" t="e">
        <f>VLOOKUP(Table13[[#This Row],[kbli5]],Table1[[#All],[kbli5]:[digital_hijau]],3,)</f>
        <v>#N/A</v>
      </c>
      <c r="E248" s="53" t="e">
        <f>VLOOKUP(Table13[[#This Row],[kbli5]],kata_kunci!$B:$H,4,FALSE)</f>
        <v>#N/A</v>
      </c>
      <c r="F248" s="53" t="e">
        <f>VLOOKUP(Table13[[#This Row],[kbli5]],Table1[[#All],[kbli5]:[digital_hijau]],5,)</f>
        <v>#N/A</v>
      </c>
      <c r="G248" s="53" t="e">
        <f>VLOOKUP(Table13[[#This Row],[kbli5]],Table1[[#All],[kbli5]:[digital_hijau]],6,)</f>
        <v>#N/A</v>
      </c>
      <c r="H248" s="54" t="e">
        <f>VLOOKUP(Table13[[#This Row],[kbli5]],kata_kunci!$B:$H,3,FALSE)</f>
        <v>#N/A</v>
      </c>
      <c r="I248" s="84" t="e">
        <f>VLOOKUP(Table13[[#This Row],[kbli5]],kata_kunci!$B:$H,5,FALSE)</f>
        <v>#N/A</v>
      </c>
      <c r="J248" s="84" t="e">
        <f>VLOOKUP(Table13[[#This Row],[kbli5]],kata_kunci!$B:$H,6,FALSE)</f>
        <v>#N/A</v>
      </c>
      <c r="K248" s="84" t="e">
        <f>VLOOKUP(Table13[[#This Row],[kbli5]],kata_kunci!$B:$H,7,FALSE)</f>
        <v>#N/A</v>
      </c>
    </row>
    <row r="249" spans="1:11" ht="15.75" thickBot="1" x14ac:dyDescent="0.3">
      <c r="A249" s="53" t="s">
        <v>450</v>
      </c>
      <c r="B249" s="40">
        <v>10762</v>
      </c>
      <c r="C249" s="41" t="s">
        <v>526</v>
      </c>
      <c r="D249" s="30" t="e">
        <f>VLOOKUP(Table13[[#This Row],[kbli5]],Table1[[#All],[kbli5]:[digital_hijau]],3,)</f>
        <v>#N/A</v>
      </c>
      <c r="E249" s="53" t="e">
        <f>VLOOKUP(Table13[[#This Row],[kbli5]],kata_kunci!$B:$H,4,FALSE)</f>
        <v>#N/A</v>
      </c>
      <c r="F249" s="53" t="e">
        <f>VLOOKUP(Table13[[#This Row],[kbli5]],Table1[[#All],[kbli5]:[digital_hijau]],5,)</f>
        <v>#N/A</v>
      </c>
      <c r="G249" s="53" t="e">
        <f>VLOOKUP(Table13[[#This Row],[kbli5]],Table1[[#All],[kbli5]:[digital_hijau]],6,)</f>
        <v>#N/A</v>
      </c>
      <c r="H249" s="54" t="e">
        <f>VLOOKUP(Table13[[#This Row],[kbli5]],kata_kunci!$B:$H,3,FALSE)</f>
        <v>#N/A</v>
      </c>
      <c r="I249" s="84" t="e">
        <f>VLOOKUP(Table13[[#This Row],[kbli5]],kata_kunci!$B:$H,5,FALSE)</f>
        <v>#N/A</v>
      </c>
      <c r="J249" s="84" t="e">
        <f>VLOOKUP(Table13[[#This Row],[kbli5]],kata_kunci!$B:$H,6,FALSE)</f>
        <v>#N/A</v>
      </c>
      <c r="K249" s="84" t="e">
        <f>VLOOKUP(Table13[[#This Row],[kbli5]],kata_kunci!$B:$H,7,FALSE)</f>
        <v>#N/A</v>
      </c>
    </row>
    <row r="250" spans="1:11" ht="15.75" thickBot="1" x14ac:dyDescent="0.3">
      <c r="A250" s="53" t="s">
        <v>450</v>
      </c>
      <c r="B250" s="40">
        <v>10771</v>
      </c>
      <c r="C250" s="41" t="s">
        <v>527</v>
      </c>
      <c r="D250" s="30" t="e">
        <f>VLOOKUP(Table13[[#This Row],[kbli5]],Table1[[#All],[kbli5]:[digital_hijau]],3,)</f>
        <v>#N/A</v>
      </c>
      <c r="E250" s="53" t="e">
        <f>VLOOKUP(Table13[[#This Row],[kbli5]],kata_kunci!$B:$H,4,FALSE)</f>
        <v>#N/A</v>
      </c>
      <c r="F250" s="53" t="e">
        <f>VLOOKUP(Table13[[#This Row],[kbli5]],Table1[[#All],[kbli5]:[digital_hijau]],5,)</f>
        <v>#N/A</v>
      </c>
      <c r="G250" s="53" t="e">
        <f>VLOOKUP(Table13[[#This Row],[kbli5]],Table1[[#All],[kbli5]:[digital_hijau]],6,)</f>
        <v>#N/A</v>
      </c>
      <c r="H250" s="54" t="e">
        <f>VLOOKUP(Table13[[#This Row],[kbli5]],kata_kunci!$B:$H,3,FALSE)</f>
        <v>#N/A</v>
      </c>
      <c r="I250" s="84" t="e">
        <f>VLOOKUP(Table13[[#This Row],[kbli5]],kata_kunci!$B:$H,5,FALSE)</f>
        <v>#N/A</v>
      </c>
      <c r="J250" s="84" t="e">
        <f>VLOOKUP(Table13[[#This Row],[kbli5]],kata_kunci!$B:$H,6,FALSE)</f>
        <v>#N/A</v>
      </c>
      <c r="K250" s="84" t="e">
        <f>VLOOKUP(Table13[[#This Row],[kbli5]],kata_kunci!$B:$H,7,FALSE)</f>
        <v>#N/A</v>
      </c>
    </row>
    <row r="251" spans="1:11" ht="30.75" thickBot="1" x14ac:dyDescent="0.3">
      <c r="A251" s="53" t="s">
        <v>450</v>
      </c>
      <c r="B251" s="40">
        <v>10772</v>
      </c>
      <c r="C251" s="41" t="s">
        <v>528</v>
      </c>
      <c r="D251" s="30" t="e">
        <f>VLOOKUP(Table13[[#This Row],[kbli5]],Table1[[#All],[kbli5]:[digital_hijau]],3,)</f>
        <v>#N/A</v>
      </c>
      <c r="E251" s="53" t="e">
        <f>VLOOKUP(Table13[[#This Row],[kbli5]],kata_kunci!$B:$H,4,FALSE)</f>
        <v>#N/A</v>
      </c>
      <c r="F251" s="53" t="e">
        <f>VLOOKUP(Table13[[#This Row],[kbli5]],Table1[[#All],[kbli5]:[digital_hijau]],5,)</f>
        <v>#N/A</v>
      </c>
      <c r="G251" s="53" t="e">
        <f>VLOOKUP(Table13[[#This Row],[kbli5]],Table1[[#All],[kbli5]:[digital_hijau]],6,)</f>
        <v>#N/A</v>
      </c>
      <c r="H251" s="54" t="e">
        <f>VLOOKUP(Table13[[#This Row],[kbli5]],kata_kunci!$B:$H,3,FALSE)</f>
        <v>#N/A</v>
      </c>
      <c r="I251" s="84" t="e">
        <f>VLOOKUP(Table13[[#This Row],[kbli5]],kata_kunci!$B:$H,5,FALSE)</f>
        <v>#N/A</v>
      </c>
      <c r="J251" s="84" t="e">
        <f>VLOOKUP(Table13[[#This Row],[kbli5]],kata_kunci!$B:$H,6,FALSE)</f>
        <v>#N/A</v>
      </c>
      <c r="K251" s="84" t="e">
        <f>VLOOKUP(Table13[[#This Row],[kbli5]],kata_kunci!$B:$H,7,FALSE)</f>
        <v>#N/A</v>
      </c>
    </row>
    <row r="252" spans="1:11" ht="30.75" thickBot="1" x14ac:dyDescent="0.3">
      <c r="A252" s="53" t="s">
        <v>450</v>
      </c>
      <c r="B252" s="40">
        <v>10773</v>
      </c>
      <c r="C252" s="41" t="s">
        <v>529</v>
      </c>
      <c r="D252" s="30" t="e">
        <f>VLOOKUP(Table13[[#This Row],[kbli5]],Table1[[#All],[kbli5]:[digital_hijau]],3,)</f>
        <v>#N/A</v>
      </c>
      <c r="E252" s="53" t="e">
        <f>VLOOKUP(Table13[[#This Row],[kbli5]],kata_kunci!$B:$H,4,FALSE)</f>
        <v>#N/A</v>
      </c>
      <c r="F252" s="53" t="e">
        <f>VLOOKUP(Table13[[#This Row],[kbli5]],Table1[[#All],[kbli5]:[digital_hijau]],5,)</f>
        <v>#N/A</v>
      </c>
      <c r="G252" s="53" t="e">
        <f>VLOOKUP(Table13[[#This Row],[kbli5]],Table1[[#All],[kbli5]:[digital_hijau]],6,)</f>
        <v>#N/A</v>
      </c>
      <c r="H252" s="54" t="e">
        <f>VLOOKUP(Table13[[#This Row],[kbli5]],kata_kunci!$B:$H,3,FALSE)</f>
        <v>#N/A</v>
      </c>
      <c r="I252" s="84" t="e">
        <f>VLOOKUP(Table13[[#This Row],[kbli5]],kata_kunci!$B:$H,5,FALSE)</f>
        <v>#N/A</v>
      </c>
      <c r="J252" s="84" t="e">
        <f>VLOOKUP(Table13[[#This Row],[kbli5]],kata_kunci!$B:$H,6,FALSE)</f>
        <v>#N/A</v>
      </c>
      <c r="K252" s="84" t="e">
        <f>VLOOKUP(Table13[[#This Row],[kbli5]],kata_kunci!$B:$H,7,FALSE)</f>
        <v>#N/A</v>
      </c>
    </row>
    <row r="253" spans="1:11" ht="30.75" thickBot="1" x14ac:dyDescent="0.3">
      <c r="A253" s="53" t="s">
        <v>450</v>
      </c>
      <c r="B253" s="40">
        <v>10779</v>
      </c>
      <c r="C253" s="41" t="s">
        <v>530</v>
      </c>
      <c r="D253" s="30" t="e">
        <f>VLOOKUP(Table13[[#This Row],[kbli5]],Table1[[#All],[kbli5]:[digital_hijau]],3,)</f>
        <v>#N/A</v>
      </c>
      <c r="E253" s="53" t="e">
        <f>VLOOKUP(Table13[[#This Row],[kbli5]],kata_kunci!$B:$H,4,FALSE)</f>
        <v>#N/A</v>
      </c>
      <c r="F253" s="53" t="e">
        <f>VLOOKUP(Table13[[#This Row],[kbli5]],Table1[[#All],[kbli5]:[digital_hijau]],5,)</f>
        <v>#N/A</v>
      </c>
      <c r="G253" s="53" t="e">
        <f>VLOOKUP(Table13[[#This Row],[kbli5]],Table1[[#All],[kbli5]:[digital_hijau]],6,)</f>
        <v>#N/A</v>
      </c>
      <c r="H253" s="54" t="e">
        <f>VLOOKUP(Table13[[#This Row],[kbli5]],kata_kunci!$B:$H,3,FALSE)</f>
        <v>#N/A</v>
      </c>
      <c r="I253" s="84" t="e">
        <f>VLOOKUP(Table13[[#This Row],[kbli5]],kata_kunci!$B:$H,5,FALSE)</f>
        <v>#N/A</v>
      </c>
      <c r="J253" s="84" t="e">
        <f>VLOOKUP(Table13[[#This Row],[kbli5]],kata_kunci!$B:$H,6,FALSE)</f>
        <v>#N/A</v>
      </c>
      <c r="K253" s="84" t="e">
        <f>VLOOKUP(Table13[[#This Row],[kbli5]],kata_kunci!$B:$H,7,FALSE)</f>
        <v>#N/A</v>
      </c>
    </row>
    <row r="254" spans="1:11" ht="30.75" thickBot="1" x14ac:dyDescent="0.3">
      <c r="A254" s="53" t="s">
        <v>450</v>
      </c>
      <c r="B254" s="40">
        <v>10791</v>
      </c>
      <c r="C254" s="41" t="s">
        <v>531</v>
      </c>
      <c r="D254" s="30" t="e">
        <f>VLOOKUP(Table13[[#This Row],[kbli5]],Table1[[#All],[kbli5]:[digital_hijau]],3,)</f>
        <v>#N/A</v>
      </c>
      <c r="E254" s="53" t="e">
        <f>VLOOKUP(Table13[[#This Row],[kbli5]],kata_kunci!$B:$H,4,FALSE)</f>
        <v>#N/A</v>
      </c>
      <c r="F254" s="53" t="e">
        <f>VLOOKUP(Table13[[#This Row],[kbli5]],Table1[[#All],[kbli5]:[digital_hijau]],5,)</f>
        <v>#N/A</v>
      </c>
      <c r="G254" s="53" t="e">
        <f>VLOOKUP(Table13[[#This Row],[kbli5]],Table1[[#All],[kbli5]:[digital_hijau]],6,)</f>
        <v>#N/A</v>
      </c>
      <c r="H254" s="54" t="e">
        <f>VLOOKUP(Table13[[#This Row],[kbli5]],kata_kunci!$B:$H,3,FALSE)</f>
        <v>#N/A</v>
      </c>
      <c r="I254" s="84" t="e">
        <f>VLOOKUP(Table13[[#This Row],[kbli5]],kata_kunci!$B:$H,5,FALSE)</f>
        <v>#N/A</v>
      </c>
      <c r="J254" s="84" t="e">
        <f>VLOOKUP(Table13[[#This Row],[kbli5]],kata_kunci!$B:$H,6,FALSE)</f>
        <v>#N/A</v>
      </c>
      <c r="K254" s="84" t="e">
        <f>VLOOKUP(Table13[[#This Row],[kbli5]],kata_kunci!$B:$H,7,FALSE)</f>
        <v>#N/A</v>
      </c>
    </row>
    <row r="255" spans="1:11" ht="15.75" thickBot="1" x14ac:dyDescent="0.3">
      <c r="A255" s="53" t="s">
        <v>450</v>
      </c>
      <c r="B255" s="40">
        <v>10792</v>
      </c>
      <c r="C255" s="41" t="s">
        <v>532</v>
      </c>
      <c r="D255" s="30" t="e">
        <f>VLOOKUP(Table13[[#This Row],[kbli5]],Table1[[#All],[kbli5]:[digital_hijau]],3,)</f>
        <v>#N/A</v>
      </c>
      <c r="E255" s="53" t="e">
        <f>VLOOKUP(Table13[[#This Row],[kbli5]],kata_kunci!$B:$H,4,FALSE)</f>
        <v>#N/A</v>
      </c>
      <c r="F255" s="53" t="e">
        <f>VLOOKUP(Table13[[#This Row],[kbli5]],Table1[[#All],[kbli5]:[digital_hijau]],5,)</f>
        <v>#N/A</v>
      </c>
      <c r="G255" s="53" t="e">
        <f>VLOOKUP(Table13[[#This Row],[kbli5]],Table1[[#All],[kbli5]:[digital_hijau]],6,)</f>
        <v>#N/A</v>
      </c>
      <c r="H255" s="54" t="e">
        <f>VLOOKUP(Table13[[#This Row],[kbli5]],kata_kunci!$B:$H,3,FALSE)</f>
        <v>#N/A</v>
      </c>
      <c r="I255" s="84" t="e">
        <f>VLOOKUP(Table13[[#This Row],[kbli5]],kata_kunci!$B:$H,5,FALSE)</f>
        <v>#N/A</v>
      </c>
      <c r="J255" s="84" t="e">
        <f>VLOOKUP(Table13[[#This Row],[kbli5]],kata_kunci!$B:$H,6,FALSE)</f>
        <v>#N/A</v>
      </c>
      <c r="K255" s="84" t="e">
        <f>VLOOKUP(Table13[[#This Row],[kbli5]],kata_kunci!$B:$H,7,FALSE)</f>
        <v>#N/A</v>
      </c>
    </row>
    <row r="256" spans="1:11" ht="30.75" thickBot="1" x14ac:dyDescent="0.3">
      <c r="A256" s="53" t="s">
        <v>450</v>
      </c>
      <c r="B256" s="40">
        <v>10793</v>
      </c>
      <c r="C256" s="41" t="s">
        <v>533</v>
      </c>
      <c r="D256" s="30" t="e">
        <f>VLOOKUP(Table13[[#This Row],[kbli5]],Table1[[#All],[kbli5]:[digital_hijau]],3,)</f>
        <v>#N/A</v>
      </c>
      <c r="E256" s="53" t="e">
        <f>VLOOKUP(Table13[[#This Row],[kbli5]],kata_kunci!$B:$H,4,FALSE)</f>
        <v>#N/A</v>
      </c>
      <c r="F256" s="53" t="e">
        <f>VLOOKUP(Table13[[#This Row],[kbli5]],Table1[[#All],[kbli5]:[digital_hijau]],5,)</f>
        <v>#N/A</v>
      </c>
      <c r="G256" s="53" t="e">
        <f>VLOOKUP(Table13[[#This Row],[kbli5]],Table1[[#All],[kbli5]:[digital_hijau]],6,)</f>
        <v>#N/A</v>
      </c>
      <c r="H256" s="54" t="e">
        <f>VLOOKUP(Table13[[#This Row],[kbli5]],kata_kunci!$B:$H,3,FALSE)</f>
        <v>#N/A</v>
      </c>
      <c r="I256" s="84" t="e">
        <f>VLOOKUP(Table13[[#This Row],[kbli5]],kata_kunci!$B:$H,5,FALSE)</f>
        <v>#N/A</v>
      </c>
      <c r="J256" s="84" t="e">
        <f>VLOOKUP(Table13[[#This Row],[kbli5]],kata_kunci!$B:$H,6,FALSE)</f>
        <v>#N/A</v>
      </c>
      <c r="K256" s="84" t="e">
        <f>VLOOKUP(Table13[[#This Row],[kbli5]],kata_kunci!$B:$H,7,FALSE)</f>
        <v>#N/A</v>
      </c>
    </row>
    <row r="257" spans="1:11" ht="45.75" thickBot="1" x14ac:dyDescent="0.3">
      <c r="A257" s="53" t="s">
        <v>450</v>
      </c>
      <c r="B257" s="40">
        <v>10794</v>
      </c>
      <c r="C257" s="41" t="s">
        <v>534</v>
      </c>
      <c r="D257" s="30" t="e">
        <f>VLOOKUP(Table13[[#This Row],[kbli5]],Table1[[#All],[kbli5]:[digital_hijau]],3,)</f>
        <v>#N/A</v>
      </c>
      <c r="E257" s="53" t="e">
        <f>VLOOKUP(Table13[[#This Row],[kbli5]],kata_kunci!$B:$H,4,FALSE)</f>
        <v>#N/A</v>
      </c>
      <c r="F257" s="53" t="e">
        <f>VLOOKUP(Table13[[#This Row],[kbli5]],Table1[[#All],[kbli5]:[digital_hijau]],5,)</f>
        <v>#N/A</v>
      </c>
      <c r="G257" s="53" t="e">
        <f>VLOOKUP(Table13[[#This Row],[kbli5]],Table1[[#All],[kbli5]:[digital_hijau]],6,)</f>
        <v>#N/A</v>
      </c>
      <c r="H257" s="54" t="e">
        <f>VLOOKUP(Table13[[#This Row],[kbli5]],kata_kunci!$B:$H,3,FALSE)</f>
        <v>#N/A</v>
      </c>
      <c r="I257" s="84" t="e">
        <f>VLOOKUP(Table13[[#This Row],[kbli5]],kata_kunci!$B:$H,5,FALSE)</f>
        <v>#N/A</v>
      </c>
      <c r="J257" s="84" t="e">
        <f>VLOOKUP(Table13[[#This Row],[kbli5]],kata_kunci!$B:$H,6,FALSE)</f>
        <v>#N/A</v>
      </c>
      <c r="K257" s="84" t="e">
        <f>VLOOKUP(Table13[[#This Row],[kbli5]],kata_kunci!$B:$H,7,FALSE)</f>
        <v>#N/A</v>
      </c>
    </row>
    <row r="258" spans="1:11" ht="30.75" thickBot="1" x14ac:dyDescent="0.3">
      <c r="A258" s="53" t="s">
        <v>450</v>
      </c>
      <c r="B258" s="40">
        <v>10795</v>
      </c>
      <c r="C258" s="41" t="s">
        <v>535</v>
      </c>
      <c r="D258" s="30" t="e">
        <f>VLOOKUP(Table13[[#This Row],[kbli5]],Table1[[#All],[kbli5]:[digital_hijau]],3,)</f>
        <v>#N/A</v>
      </c>
      <c r="E258" s="53" t="e">
        <f>VLOOKUP(Table13[[#This Row],[kbli5]],kata_kunci!$B:$H,4,FALSE)</f>
        <v>#N/A</v>
      </c>
      <c r="F258" s="53" t="e">
        <f>VLOOKUP(Table13[[#This Row],[kbli5]],Table1[[#All],[kbli5]:[digital_hijau]],5,)</f>
        <v>#N/A</v>
      </c>
      <c r="G258" s="53" t="e">
        <f>VLOOKUP(Table13[[#This Row],[kbli5]],Table1[[#All],[kbli5]:[digital_hijau]],6,)</f>
        <v>#N/A</v>
      </c>
      <c r="H258" s="54" t="e">
        <f>VLOOKUP(Table13[[#This Row],[kbli5]],kata_kunci!$B:$H,3,FALSE)</f>
        <v>#N/A</v>
      </c>
      <c r="I258" s="84" t="e">
        <f>VLOOKUP(Table13[[#This Row],[kbli5]],kata_kunci!$B:$H,5,FALSE)</f>
        <v>#N/A</v>
      </c>
      <c r="J258" s="84" t="e">
        <f>VLOOKUP(Table13[[#This Row],[kbli5]],kata_kunci!$B:$H,6,FALSE)</f>
        <v>#N/A</v>
      </c>
      <c r="K258" s="84" t="e">
        <f>VLOOKUP(Table13[[#This Row],[kbli5]],kata_kunci!$B:$H,7,FALSE)</f>
        <v>#N/A</v>
      </c>
    </row>
    <row r="259" spans="1:11" ht="15.75" thickBot="1" x14ac:dyDescent="0.3">
      <c r="A259" s="53" t="s">
        <v>450</v>
      </c>
      <c r="B259" s="40">
        <v>10796</v>
      </c>
      <c r="C259" s="41" t="s">
        <v>536</v>
      </c>
      <c r="D259" s="30" t="e">
        <f>VLOOKUP(Table13[[#This Row],[kbli5]],Table1[[#All],[kbli5]:[digital_hijau]],3,)</f>
        <v>#N/A</v>
      </c>
      <c r="E259" s="53" t="e">
        <f>VLOOKUP(Table13[[#This Row],[kbli5]],kata_kunci!$B:$H,4,FALSE)</f>
        <v>#N/A</v>
      </c>
      <c r="F259" s="53" t="e">
        <f>VLOOKUP(Table13[[#This Row],[kbli5]],Table1[[#All],[kbli5]:[digital_hijau]],5,)</f>
        <v>#N/A</v>
      </c>
      <c r="G259" s="53" t="e">
        <f>VLOOKUP(Table13[[#This Row],[kbli5]],Table1[[#All],[kbli5]:[digital_hijau]],6,)</f>
        <v>#N/A</v>
      </c>
      <c r="H259" s="54" t="e">
        <f>VLOOKUP(Table13[[#This Row],[kbli5]],kata_kunci!$B:$H,3,FALSE)</f>
        <v>#N/A</v>
      </c>
      <c r="I259" s="84" t="e">
        <f>VLOOKUP(Table13[[#This Row],[kbli5]],kata_kunci!$B:$H,5,FALSE)</f>
        <v>#N/A</v>
      </c>
      <c r="J259" s="84" t="e">
        <f>VLOOKUP(Table13[[#This Row],[kbli5]],kata_kunci!$B:$H,6,FALSE)</f>
        <v>#N/A</v>
      </c>
      <c r="K259" s="84" t="e">
        <f>VLOOKUP(Table13[[#This Row],[kbli5]],kata_kunci!$B:$H,7,FALSE)</f>
        <v>#N/A</v>
      </c>
    </row>
    <row r="260" spans="1:11" ht="30.75" thickBot="1" x14ac:dyDescent="0.3">
      <c r="A260" s="53" t="s">
        <v>450</v>
      </c>
      <c r="B260" s="40">
        <v>10797</v>
      </c>
      <c r="C260" s="41" t="s">
        <v>537</v>
      </c>
      <c r="D260" s="30" t="e">
        <f>VLOOKUP(Table13[[#This Row],[kbli5]],Table1[[#All],[kbli5]:[digital_hijau]],3,)</f>
        <v>#N/A</v>
      </c>
      <c r="E260" s="53" t="e">
        <f>VLOOKUP(Table13[[#This Row],[kbli5]],kata_kunci!$B:$H,4,FALSE)</f>
        <v>#N/A</v>
      </c>
      <c r="F260" s="53" t="e">
        <f>VLOOKUP(Table13[[#This Row],[kbli5]],Table1[[#All],[kbli5]:[digital_hijau]],5,)</f>
        <v>#N/A</v>
      </c>
      <c r="G260" s="53" t="e">
        <f>VLOOKUP(Table13[[#This Row],[kbli5]],Table1[[#All],[kbli5]:[digital_hijau]],6,)</f>
        <v>#N/A</v>
      </c>
      <c r="H260" s="54" t="e">
        <f>VLOOKUP(Table13[[#This Row],[kbli5]],kata_kunci!$B:$H,3,FALSE)</f>
        <v>#N/A</v>
      </c>
      <c r="I260" s="84" t="e">
        <f>VLOOKUP(Table13[[#This Row],[kbli5]],kata_kunci!$B:$H,5,FALSE)</f>
        <v>#N/A</v>
      </c>
      <c r="J260" s="84" t="e">
        <f>VLOOKUP(Table13[[#This Row],[kbli5]],kata_kunci!$B:$H,6,FALSE)</f>
        <v>#N/A</v>
      </c>
      <c r="K260" s="84" t="e">
        <f>VLOOKUP(Table13[[#This Row],[kbli5]],kata_kunci!$B:$H,7,FALSE)</f>
        <v>#N/A</v>
      </c>
    </row>
    <row r="261" spans="1:11" ht="45.75" thickBot="1" x14ac:dyDescent="0.3">
      <c r="A261" s="53" t="s">
        <v>450</v>
      </c>
      <c r="B261" s="40">
        <v>10798</v>
      </c>
      <c r="C261" s="41" t="s">
        <v>538</v>
      </c>
      <c r="D261" s="30" t="e">
        <f>VLOOKUP(Table13[[#This Row],[kbli5]],Table1[[#All],[kbli5]:[digital_hijau]],3,)</f>
        <v>#N/A</v>
      </c>
      <c r="E261" s="53" t="e">
        <f>VLOOKUP(Table13[[#This Row],[kbli5]],kata_kunci!$B:$H,4,FALSE)</f>
        <v>#N/A</v>
      </c>
      <c r="F261" s="53" t="e">
        <f>VLOOKUP(Table13[[#This Row],[kbli5]],Table1[[#All],[kbli5]:[digital_hijau]],5,)</f>
        <v>#N/A</v>
      </c>
      <c r="G261" s="53" t="e">
        <f>VLOOKUP(Table13[[#This Row],[kbli5]],Table1[[#All],[kbli5]:[digital_hijau]],6,)</f>
        <v>#N/A</v>
      </c>
      <c r="H261" s="54" t="e">
        <f>VLOOKUP(Table13[[#This Row],[kbli5]],kata_kunci!$B:$H,3,FALSE)</f>
        <v>#N/A</v>
      </c>
      <c r="I261" s="84" t="e">
        <f>VLOOKUP(Table13[[#This Row],[kbli5]],kata_kunci!$B:$H,5,FALSE)</f>
        <v>#N/A</v>
      </c>
      <c r="J261" s="84" t="e">
        <f>VLOOKUP(Table13[[#This Row],[kbli5]],kata_kunci!$B:$H,6,FALSE)</f>
        <v>#N/A</v>
      </c>
      <c r="K261" s="84" t="e">
        <f>VLOOKUP(Table13[[#This Row],[kbli5]],kata_kunci!$B:$H,7,FALSE)</f>
        <v>#N/A</v>
      </c>
    </row>
    <row r="262" spans="1:11" ht="30.75" thickBot="1" x14ac:dyDescent="0.3">
      <c r="A262" s="53" t="s">
        <v>450</v>
      </c>
      <c r="B262" s="40">
        <v>10799</v>
      </c>
      <c r="C262" s="41" t="s">
        <v>539</v>
      </c>
      <c r="D262" s="30" t="e">
        <f>VLOOKUP(Table13[[#This Row],[kbli5]],Table1[[#All],[kbli5]:[digital_hijau]],3,)</f>
        <v>#N/A</v>
      </c>
      <c r="E262" s="53" t="e">
        <f>VLOOKUP(Table13[[#This Row],[kbli5]],kata_kunci!$B:$H,4,FALSE)</f>
        <v>#N/A</v>
      </c>
      <c r="F262" s="53" t="e">
        <f>VLOOKUP(Table13[[#This Row],[kbli5]],Table1[[#All],[kbli5]:[digital_hijau]],5,)</f>
        <v>#N/A</v>
      </c>
      <c r="G262" s="53" t="e">
        <f>VLOOKUP(Table13[[#This Row],[kbli5]],Table1[[#All],[kbli5]:[digital_hijau]],6,)</f>
        <v>#N/A</v>
      </c>
      <c r="H262" s="54" t="e">
        <f>VLOOKUP(Table13[[#This Row],[kbli5]],kata_kunci!$B:$H,3,FALSE)</f>
        <v>#N/A</v>
      </c>
      <c r="I262" s="84" t="e">
        <f>VLOOKUP(Table13[[#This Row],[kbli5]],kata_kunci!$B:$H,5,FALSE)</f>
        <v>#N/A</v>
      </c>
      <c r="J262" s="84" t="e">
        <f>VLOOKUP(Table13[[#This Row],[kbli5]],kata_kunci!$B:$H,6,FALSE)</f>
        <v>#N/A</v>
      </c>
      <c r="K262" s="84" t="e">
        <f>VLOOKUP(Table13[[#This Row],[kbli5]],kata_kunci!$B:$H,7,FALSE)</f>
        <v>#N/A</v>
      </c>
    </row>
    <row r="263" spans="1:11" ht="30.75" thickBot="1" x14ac:dyDescent="0.3">
      <c r="A263" s="53" t="s">
        <v>450</v>
      </c>
      <c r="B263" s="40">
        <v>10801</v>
      </c>
      <c r="C263" s="41" t="s">
        <v>540</v>
      </c>
      <c r="D263" s="30" t="e">
        <f>VLOOKUP(Table13[[#This Row],[kbli5]],Table1[[#All],[kbli5]:[digital_hijau]],3,)</f>
        <v>#N/A</v>
      </c>
      <c r="E263" s="53" t="e">
        <f>VLOOKUP(Table13[[#This Row],[kbli5]],kata_kunci!$B:$H,4,FALSE)</f>
        <v>#N/A</v>
      </c>
      <c r="F263" s="53" t="e">
        <f>VLOOKUP(Table13[[#This Row],[kbli5]],Table1[[#All],[kbli5]:[digital_hijau]],5,)</f>
        <v>#N/A</v>
      </c>
      <c r="G263" s="53" t="e">
        <f>VLOOKUP(Table13[[#This Row],[kbli5]],Table1[[#All],[kbli5]:[digital_hijau]],6,)</f>
        <v>#N/A</v>
      </c>
      <c r="H263" s="54" t="e">
        <f>VLOOKUP(Table13[[#This Row],[kbli5]],kata_kunci!$B:$H,3,FALSE)</f>
        <v>#N/A</v>
      </c>
      <c r="I263" s="84" t="e">
        <f>VLOOKUP(Table13[[#This Row],[kbli5]],kata_kunci!$B:$H,5,FALSE)</f>
        <v>#N/A</v>
      </c>
      <c r="J263" s="84" t="e">
        <f>VLOOKUP(Table13[[#This Row],[kbli5]],kata_kunci!$B:$H,6,FALSE)</f>
        <v>#N/A</v>
      </c>
      <c r="K263" s="84" t="e">
        <f>VLOOKUP(Table13[[#This Row],[kbli5]],kata_kunci!$B:$H,7,FALSE)</f>
        <v>#N/A</v>
      </c>
    </row>
    <row r="264" spans="1:11" ht="30.75" thickBot="1" x14ac:dyDescent="0.3">
      <c r="A264" s="53" t="s">
        <v>450</v>
      </c>
      <c r="B264" s="40">
        <v>10802</v>
      </c>
      <c r="C264" s="41" t="s">
        <v>541</v>
      </c>
      <c r="D264" s="30" t="e">
        <f>VLOOKUP(Table13[[#This Row],[kbli5]],Table1[[#All],[kbli5]:[digital_hijau]],3,)</f>
        <v>#N/A</v>
      </c>
      <c r="E264" s="53" t="e">
        <f>VLOOKUP(Table13[[#This Row],[kbli5]],kata_kunci!$B:$H,4,FALSE)</f>
        <v>#N/A</v>
      </c>
      <c r="F264" s="53" t="e">
        <f>VLOOKUP(Table13[[#This Row],[kbli5]],Table1[[#All],[kbli5]:[digital_hijau]],5,)</f>
        <v>#N/A</v>
      </c>
      <c r="G264" s="53" t="e">
        <f>VLOOKUP(Table13[[#This Row],[kbli5]],Table1[[#All],[kbli5]:[digital_hijau]],6,)</f>
        <v>#N/A</v>
      </c>
      <c r="H264" s="54" t="e">
        <f>VLOOKUP(Table13[[#This Row],[kbli5]],kata_kunci!$B:$H,3,FALSE)</f>
        <v>#N/A</v>
      </c>
      <c r="I264" s="84" t="e">
        <f>VLOOKUP(Table13[[#This Row],[kbli5]],kata_kunci!$B:$H,5,FALSE)</f>
        <v>#N/A</v>
      </c>
      <c r="J264" s="84" t="e">
        <f>VLOOKUP(Table13[[#This Row],[kbli5]],kata_kunci!$B:$H,6,FALSE)</f>
        <v>#N/A</v>
      </c>
      <c r="K264" s="84" t="e">
        <f>VLOOKUP(Table13[[#This Row],[kbli5]],kata_kunci!$B:$H,7,FALSE)</f>
        <v>#N/A</v>
      </c>
    </row>
    <row r="265" spans="1:11" ht="45.75" thickBot="1" x14ac:dyDescent="0.3">
      <c r="A265" s="53" t="s">
        <v>450</v>
      </c>
      <c r="B265" s="40">
        <v>11010</v>
      </c>
      <c r="C265" s="41" t="s">
        <v>542</v>
      </c>
      <c r="D265" s="30" t="e">
        <f>VLOOKUP(Table13[[#This Row],[kbli5]],Table1[[#All],[kbli5]:[digital_hijau]],3,)</f>
        <v>#N/A</v>
      </c>
      <c r="E265" s="53" t="e">
        <f>VLOOKUP(Table13[[#This Row],[kbli5]],kata_kunci!$B:$H,4,FALSE)</f>
        <v>#N/A</v>
      </c>
      <c r="F265" s="53" t="e">
        <f>VLOOKUP(Table13[[#This Row],[kbli5]],Table1[[#All],[kbli5]:[digital_hijau]],5,)</f>
        <v>#N/A</v>
      </c>
      <c r="G265" s="53" t="e">
        <f>VLOOKUP(Table13[[#This Row],[kbli5]],Table1[[#All],[kbli5]:[digital_hijau]],6,)</f>
        <v>#N/A</v>
      </c>
      <c r="H265" s="54" t="e">
        <f>VLOOKUP(Table13[[#This Row],[kbli5]],kata_kunci!$B:$H,3,FALSE)</f>
        <v>#N/A</v>
      </c>
      <c r="I265" s="84" t="e">
        <f>VLOOKUP(Table13[[#This Row],[kbli5]],kata_kunci!$B:$H,5,FALSE)</f>
        <v>#N/A</v>
      </c>
      <c r="J265" s="84" t="e">
        <f>VLOOKUP(Table13[[#This Row],[kbli5]],kata_kunci!$B:$H,6,FALSE)</f>
        <v>#N/A</v>
      </c>
      <c r="K265" s="84" t="e">
        <f>VLOOKUP(Table13[[#This Row],[kbli5]],kata_kunci!$B:$H,7,FALSE)</f>
        <v>#N/A</v>
      </c>
    </row>
    <row r="266" spans="1:11" ht="45.75" thickBot="1" x14ac:dyDescent="0.3">
      <c r="A266" s="53" t="s">
        <v>450</v>
      </c>
      <c r="B266" s="40">
        <v>11020</v>
      </c>
      <c r="C266" s="41" t="s">
        <v>543</v>
      </c>
      <c r="D266" s="30" t="e">
        <f>VLOOKUP(Table13[[#This Row],[kbli5]],Table1[[#All],[kbli5]:[digital_hijau]],3,)</f>
        <v>#N/A</v>
      </c>
      <c r="E266" s="53" t="e">
        <f>VLOOKUP(Table13[[#This Row],[kbli5]],kata_kunci!$B:$H,4,FALSE)</f>
        <v>#N/A</v>
      </c>
      <c r="F266" s="53" t="e">
        <f>VLOOKUP(Table13[[#This Row],[kbli5]],Table1[[#All],[kbli5]:[digital_hijau]],5,)</f>
        <v>#N/A</v>
      </c>
      <c r="G266" s="53" t="e">
        <f>VLOOKUP(Table13[[#This Row],[kbli5]],Table1[[#All],[kbli5]:[digital_hijau]],6,)</f>
        <v>#N/A</v>
      </c>
      <c r="H266" s="54" t="e">
        <f>VLOOKUP(Table13[[#This Row],[kbli5]],kata_kunci!$B:$H,3,FALSE)</f>
        <v>#N/A</v>
      </c>
      <c r="I266" s="84" t="e">
        <f>VLOOKUP(Table13[[#This Row],[kbli5]],kata_kunci!$B:$H,5,FALSE)</f>
        <v>#N/A</v>
      </c>
      <c r="J266" s="84" t="e">
        <f>VLOOKUP(Table13[[#This Row],[kbli5]],kata_kunci!$B:$H,6,FALSE)</f>
        <v>#N/A</v>
      </c>
      <c r="K266" s="84" t="e">
        <f>VLOOKUP(Table13[[#This Row],[kbli5]],kata_kunci!$B:$H,7,FALSE)</f>
        <v>#N/A</v>
      </c>
    </row>
    <row r="267" spans="1:11" ht="45.75" thickBot="1" x14ac:dyDescent="0.3">
      <c r="A267" s="53" t="s">
        <v>450</v>
      </c>
      <c r="B267" s="40">
        <v>11030</v>
      </c>
      <c r="C267" s="41" t="s">
        <v>544</v>
      </c>
      <c r="D267" s="30" t="e">
        <f>VLOOKUP(Table13[[#This Row],[kbli5]],Table1[[#All],[kbli5]:[digital_hijau]],3,)</f>
        <v>#N/A</v>
      </c>
      <c r="E267" s="53" t="e">
        <f>VLOOKUP(Table13[[#This Row],[kbli5]],kata_kunci!$B:$H,4,FALSE)</f>
        <v>#N/A</v>
      </c>
      <c r="F267" s="53" t="e">
        <f>VLOOKUP(Table13[[#This Row],[kbli5]],Table1[[#All],[kbli5]:[digital_hijau]],5,)</f>
        <v>#N/A</v>
      </c>
      <c r="G267" s="53" t="e">
        <f>VLOOKUP(Table13[[#This Row],[kbli5]],Table1[[#All],[kbli5]:[digital_hijau]],6,)</f>
        <v>#N/A</v>
      </c>
      <c r="H267" s="54" t="e">
        <f>VLOOKUP(Table13[[#This Row],[kbli5]],kata_kunci!$B:$H,3,FALSE)</f>
        <v>#N/A</v>
      </c>
      <c r="I267" s="84" t="e">
        <f>VLOOKUP(Table13[[#This Row],[kbli5]],kata_kunci!$B:$H,5,FALSE)</f>
        <v>#N/A</v>
      </c>
      <c r="J267" s="84" t="e">
        <f>VLOOKUP(Table13[[#This Row],[kbli5]],kata_kunci!$B:$H,6,FALSE)</f>
        <v>#N/A</v>
      </c>
      <c r="K267" s="84" t="e">
        <f>VLOOKUP(Table13[[#This Row],[kbli5]],kata_kunci!$B:$H,7,FALSE)</f>
        <v>#N/A</v>
      </c>
    </row>
    <row r="268" spans="1:11" ht="15.75" thickBot="1" x14ac:dyDescent="0.3">
      <c r="A268" s="53" t="s">
        <v>450</v>
      </c>
      <c r="B268" s="40">
        <v>11040</v>
      </c>
      <c r="C268" s="41" t="s">
        <v>545</v>
      </c>
      <c r="D268" s="30" t="e">
        <f>VLOOKUP(Table13[[#This Row],[kbli5]],Table1[[#All],[kbli5]:[digital_hijau]],3,)</f>
        <v>#N/A</v>
      </c>
      <c r="E268" s="53" t="e">
        <f>VLOOKUP(Table13[[#This Row],[kbli5]],kata_kunci!$B:$H,4,FALSE)</f>
        <v>#N/A</v>
      </c>
      <c r="F268" s="53" t="e">
        <f>VLOOKUP(Table13[[#This Row],[kbli5]],Table1[[#All],[kbli5]:[digital_hijau]],5,)</f>
        <v>#N/A</v>
      </c>
      <c r="G268" s="53" t="e">
        <f>VLOOKUP(Table13[[#This Row],[kbli5]],Table1[[#All],[kbli5]:[digital_hijau]],6,)</f>
        <v>#N/A</v>
      </c>
      <c r="H268" s="54" t="e">
        <f>VLOOKUP(Table13[[#This Row],[kbli5]],kata_kunci!$B:$H,3,FALSE)</f>
        <v>#N/A</v>
      </c>
      <c r="I268" s="84" t="e">
        <f>VLOOKUP(Table13[[#This Row],[kbli5]],kata_kunci!$B:$H,5,FALSE)</f>
        <v>#N/A</v>
      </c>
      <c r="J268" s="84" t="e">
        <f>VLOOKUP(Table13[[#This Row],[kbli5]],kata_kunci!$B:$H,6,FALSE)</f>
        <v>#N/A</v>
      </c>
      <c r="K268" s="84" t="e">
        <f>VLOOKUP(Table13[[#This Row],[kbli5]],kata_kunci!$B:$H,7,FALSE)</f>
        <v>#N/A</v>
      </c>
    </row>
    <row r="269" spans="1:11" ht="15.75" thickBot="1" x14ac:dyDescent="0.3">
      <c r="A269" s="53" t="s">
        <v>450</v>
      </c>
      <c r="B269" s="40">
        <v>11051</v>
      </c>
      <c r="C269" s="41" t="s">
        <v>546</v>
      </c>
      <c r="D269" s="30" t="e">
        <f>VLOOKUP(Table13[[#This Row],[kbli5]],Table1[[#All],[kbli5]:[digital_hijau]],3,)</f>
        <v>#N/A</v>
      </c>
      <c r="E269" s="53" t="e">
        <f>VLOOKUP(Table13[[#This Row],[kbli5]],kata_kunci!$B:$H,4,FALSE)</f>
        <v>#N/A</v>
      </c>
      <c r="F269" s="53" t="e">
        <f>VLOOKUP(Table13[[#This Row],[kbli5]],Table1[[#All],[kbli5]:[digital_hijau]],5,)</f>
        <v>#N/A</v>
      </c>
      <c r="G269" s="53" t="e">
        <f>VLOOKUP(Table13[[#This Row],[kbli5]],Table1[[#All],[kbli5]:[digital_hijau]],6,)</f>
        <v>#N/A</v>
      </c>
      <c r="H269" s="54" t="e">
        <f>VLOOKUP(Table13[[#This Row],[kbli5]],kata_kunci!$B:$H,3,FALSE)</f>
        <v>#N/A</v>
      </c>
      <c r="I269" s="84" t="e">
        <f>VLOOKUP(Table13[[#This Row],[kbli5]],kata_kunci!$B:$H,5,FALSE)</f>
        <v>#N/A</v>
      </c>
      <c r="J269" s="84" t="e">
        <f>VLOOKUP(Table13[[#This Row],[kbli5]],kata_kunci!$B:$H,6,FALSE)</f>
        <v>#N/A</v>
      </c>
      <c r="K269" s="84" t="e">
        <f>VLOOKUP(Table13[[#This Row],[kbli5]],kata_kunci!$B:$H,7,FALSE)</f>
        <v>#N/A</v>
      </c>
    </row>
    <row r="270" spans="1:11" ht="30.75" thickBot="1" x14ac:dyDescent="0.3">
      <c r="A270" s="53" t="s">
        <v>450</v>
      </c>
      <c r="B270" s="40">
        <v>11052</v>
      </c>
      <c r="C270" s="41" t="s">
        <v>547</v>
      </c>
      <c r="D270" s="30" t="e">
        <f>VLOOKUP(Table13[[#This Row],[kbli5]],Table1[[#All],[kbli5]:[digital_hijau]],3,)</f>
        <v>#N/A</v>
      </c>
      <c r="E270" s="53" t="e">
        <f>VLOOKUP(Table13[[#This Row],[kbli5]],kata_kunci!$B:$H,4,FALSE)</f>
        <v>#N/A</v>
      </c>
      <c r="F270" s="53" t="e">
        <f>VLOOKUP(Table13[[#This Row],[kbli5]],Table1[[#All],[kbli5]:[digital_hijau]],5,)</f>
        <v>#N/A</v>
      </c>
      <c r="G270" s="53" t="e">
        <f>VLOOKUP(Table13[[#This Row],[kbli5]],Table1[[#All],[kbli5]:[digital_hijau]],6,)</f>
        <v>#N/A</v>
      </c>
      <c r="H270" s="54" t="e">
        <f>VLOOKUP(Table13[[#This Row],[kbli5]],kata_kunci!$B:$H,3,FALSE)</f>
        <v>#N/A</v>
      </c>
      <c r="I270" s="84" t="e">
        <f>VLOOKUP(Table13[[#This Row],[kbli5]],kata_kunci!$B:$H,5,FALSE)</f>
        <v>#N/A</v>
      </c>
      <c r="J270" s="84" t="e">
        <f>VLOOKUP(Table13[[#This Row],[kbli5]],kata_kunci!$B:$H,6,FALSE)</f>
        <v>#N/A</v>
      </c>
      <c r="K270" s="84" t="e">
        <f>VLOOKUP(Table13[[#This Row],[kbli5]],kata_kunci!$B:$H,7,FALSE)</f>
        <v>#N/A</v>
      </c>
    </row>
    <row r="271" spans="1:11" ht="30.75" thickBot="1" x14ac:dyDescent="0.3">
      <c r="A271" s="53" t="s">
        <v>450</v>
      </c>
      <c r="B271" s="40">
        <v>11053</v>
      </c>
      <c r="C271" s="41" t="s">
        <v>548</v>
      </c>
      <c r="D271" s="30" t="e">
        <f>VLOOKUP(Table13[[#This Row],[kbli5]],Table1[[#All],[kbli5]:[digital_hijau]],3,)</f>
        <v>#N/A</v>
      </c>
      <c r="E271" s="53" t="e">
        <f>VLOOKUP(Table13[[#This Row],[kbli5]],kata_kunci!$B:$H,4,FALSE)</f>
        <v>#N/A</v>
      </c>
      <c r="F271" s="53" t="e">
        <f>VLOOKUP(Table13[[#This Row],[kbli5]],Table1[[#All],[kbli5]:[digital_hijau]],5,)</f>
        <v>#N/A</v>
      </c>
      <c r="G271" s="53" t="e">
        <f>VLOOKUP(Table13[[#This Row],[kbli5]],Table1[[#All],[kbli5]:[digital_hijau]],6,)</f>
        <v>#N/A</v>
      </c>
      <c r="H271" s="54" t="e">
        <f>VLOOKUP(Table13[[#This Row],[kbli5]],kata_kunci!$B:$H,3,FALSE)</f>
        <v>#N/A</v>
      </c>
      <c r="I271" s="84" t="e">
        <f>VLOOKUP(Table13[[#This Row],[kbli5]],kata_kunci!$B:$H,5,FALSE)</f>
        <v>#N/A</v>
      </c>
      <c r="J271" s="84" t="e">
        <f>VLOOKUP(Table13[[#This Row],[kbli5]],kata_kunci!$B:$H,6,FALSE)</f>
        <v>#N/A</v>
      </c>
      <c r="K271" s="84" t="e">
        <f>VLOOKUP(Table13[[#This Row],[kbli5]],kata_kunci!$B:$H,7,FALSE)</f>
        <v>#N/A</v>
      </c>
    </row>
    <row r="272" spans="1:11" ht="30.75" thickBot="1" x14ac:dyDescent="0.3">
      <c r="A272" s="53" t="s">
        <v>450</v>
      </c>
      <c r="B272" s="40">
        <v>11059</v>
      </c>
      <c r="C272" s="41" t="s">
        <v>549</v>
      </c>
      <c r="D272" s="30" t="e">
        <f>VLOOKUP(Table13[[#This Row],[kbli5]],Table1[[#All],[kbli5]:[digital_hijau]],3,)</f>
        <v>#N/A</v>
      </c>
      <c r="E272" s="53" t="e">
        <f>VLOOKUP(Table13[[#This Row],[kbli5]],kata_kunci!$B:$H,4,FALSE)</f>
        <v>#N/A</v>
      </c>
      <c r="F272" s="53" t="e">
        <f>VLOOKUP(Table13[[#This Row],[kbli5]],Table1[[#All],[kbli5]:[digital_hijau]],5,)</f>
        <v>#N/A</v>
      </c>
      <c r="G272" s="53" t="e">
        <f>VLOOKUP(Table13[[#This Row],[kbli5]],Table1[[#All],[kbli5]:[digital_hijau]],6,)</f>
        <v>#N/A</v>
      </c>
      <c r="H272" s="54" t="e">
        <f>VLOOKUP(Table13[[#This Row],[kbli5]],kata_kunci!$B:$H,3,FALSE)</f>
        <v>#N/A</v>
      </c>
      <c r="I272" s="84" t="e">
        <f>VLOOKUP(Table13[[#This Row],[kbli5]],kata_kunci!$B:$H,5,FALSE)</f>
        <v>#N/A</v>
      </c>
      <c r="J272" s="84" t="e">
        <f>VLOOKUP(Table13[[#This Row],[kbli5]],kata_kunci!$B:$H,6,FALSE)</f>
        <v>#N/A</v>
      </c>
      <c r="K272" s="84" t="e">
        <f>VLOOKUP(Table13[[#This Row],[kbli5]],kata_kunci!$B:$H,7,FALSE)</f>
        <v>#N/A</v>
      </c>
    </row>
    <row r="273" spans="1:11" ht="30.75" thickBot="1" x14ac:dyDescent="0.3">
      <c r="A273" s="53" t="s">
        <v>450</v>
      </c>
      <c r="B273" s="40">
        <v>12001</v>
      </c>
      <c r="C273" s="41" t="s">
        <v>550</v>
      </c>
      <c r="D273" s="30" t="e">
        <f>VLOOKUP(Table13[[#This Row],[kbli5]],Table1[[#All],[kbli5]:[digital_hijau]],3,)</f>
        <v>#N/A</v>
      </c>
      <c r="E273" s="53" t="e">
        <f>VLOOKUP(Table13[[#This Row],[kbli5]],kata_kunci!$B:$H,4,FALSE)</f>
        <v>#N/A</v>
      </c>
      <c r="F273" s="53" t="e">
        <f>VLOOKUP(Table13[[#This Row],[kbli5]],Table1[[#All],[kbli5]:[digital_hijau]],5,)</f>
        <v>#N/A</v>
      </c>
      <c r="G273" s="53" t="e">
        <f>VLOOKUP(Table13[[#This Row],[kbli5]],Table1[[#All],[kbli5]:[digital_hijau]],6,)</f>
        <v>#N/A</v>
      </c>
      <c r="H273" s="54" t="e">
        <f>VLOOKUP(Table13[[#This Row],[kbli5]],kata_kunci!$B:$H,3,FALSE)</f>
        <v>#N/A</v>
      </c>
      <c r="I273" s="84" t="e">
        <f>VLOOKUP(Table13[[#This Row],[kbli5]],kata_kunci!$B:$H,5,FALSE)</f>
        <v>#N/A</v>
      </c>
      <c r="J273" s="84" t="e">
        <f>VLOOKUP(Table13[[#This Row],[kbli5]],kata_kunci!$B:$H,6,FALSE)</f>
        <v>#N/A</v>
      </c>
      <c r="K273" s="84" t="e">
        <f>VLOOKUP(Table13[[#This Row],[kbli5]],kata_kunci!$B:$H,7,FALSE)</f>
        <v>#N/A</v>
      </c>
    </row>
    <row r="274" spans="1:11" ht="30.75" thickBot="1" x14ac:dyDescent="0.3">
      <c r="A274" s="53" t="s">
        <v>450</v>
      </c>
      <c r="B274" s="40">
        <v>12002</v>
      </c>
      <c r="C274" s="41" t="s">
        <v>551</v>
      </c>
      <c r="D274" s="30" t="e">
        <f>VLOOKUP(Table13[[#This Row],[kbli5]],Table1[[#All],[kbli5]:[digital_hijau]],3,)</f>
        <v>#N/A</v>
      </c>
      <c r="E274" s="53" t="e">
        <f>VLOOKUP(Table13[[#This Row],[kbli5]],kata_kunci!$B:$H,4,FALSE)</f>
        <v>#N/A</v>
      </c>
      <c r="F274" s="53" t="e">
        <f>VLOOKUP(Table13[[#This Row],[kbli5]],Table1[[#All],[kbli5]:[digital_hijau]],5,)</f>
        <v>#N/A</v>
      </c>
      <c r="G274" s="53" t="e">
        <f>VLOOKUP(Table13[[#This Row],[kbli5]],Table1[[#All],[kbli5]:[digital_hijau]],6,)</f>
        <v>#N/A</v>
      </c>
      <c r="H274" s="54" t="e">
        <f>VLOOKUP(Table13[[#This Row],[kbli5]],kata_kunci!$B:$H,3,FALSE)</f>
        <v>#N/A</v>
      </c>
      <c r="I274" s="84" t="e">
        <f>VLOOKUP(Table13[[#This Row],[kbli5]],kata_kunci!$B:$H,5,FALSE)</f>
        <v>#N/A</v>
      </c>
      <c r="J274" s="84" t="e">
        <f>VLOOKUP(Table13[[#This Row],[kbli5]],kata_kunci!$B:$H,6,FALSE)</f>
        <v>#N/A</v>
      </c>
      <c r="K274" s="84" t="e">
        <f>VLOOKUP(Table13[[#This Row],[kbli5]],kata_kunci!$B:$H,7,FALSE)</f>
        <v>#N/A</v>
      </c>
    </row>
    <row r="275" spans="1:11" ht="15.75" thickBot="1" x14ac:dyDescent="0.3">
      <c r="A275" s="53" t="s">
        <v>450</v>
      </c>
      <c r="B275" s="40">
        <v>12003</v>
      </c>
      <c r="C275" s="41" t="s">
        <v>552</v>
      </c>
      <c r="D275" s="30" t="e">
        <f>VLOOKUP(Table13[[#This Row],[kbli5]],Table1[[#All],[kbli5]:[digital_hijau]],3,)</f>
        <v>#N/A</v>
      </c>
      <c r="E275" s="53" t="e">
        <f>VLOOKUP(Table13[[#This Row],[kbli5]],kata_kunci!$B:$H,4,FALSE)</f>
        <v>#N/A</v>
      </c>
      <c r="F275" s="53" t="e">
        <f>VLOOKUP(Table13[[#This Row],[kbli5]],Table1[[#All],[kbli5]:[digital_hijau]],5,)</f>
        <v>#N/A</v>
      </c>
      <c r="G275" s="53" t="e">
        <f>VLOOKUP(Table13[[#This Row],[kbli5]],Table1[[#All],[kbli5]:[digital_hijau]],6,)</f>
        <v>#N/A</v>
      </c>
      <c r="H275" s="54" t="e">
        <f>VLOOKUP(Table13[[#This Row],[kbli5]],kata_kunci!$B:$H,3,FALSE)</f>
        <v>#N/A</v>
      </c>
      <c r="I275" s="84" t="e">
        <f>VLOOKUP(Table13[[#This Row],[kbli5]],kata_kunci!$B:$H,5,FALSE)</f>
        <v>#N/A</v>
      </c>
      <c r="J275" s="84" t="e">
        <f>VLOOKUP(Table13[[#This Row],[kbli5]],kata_kunci!$B:$H,6,FALSE)</f>
        <v>#N/A</v>
      </c>
      <c r="K275" s="84" t="e">
        <f>VLOOKUP(Table13[[#This Row],[kbli5]],kata_kunci!$B:$H,7,FALSE)</f>
        <v>#N/A</v>
      </c>
    </row>
    <row r="276" spans="1:11" ht="45.75" thickBot="1" x14ac:dyDescent="0.3">
      <c r="A276" s="53" t="s">
        <v>450</v>
      </c>
      <c r="B276" s="40">
        <v>12004</v>
      </c>
      <c r="C276" s="41" t="s">
        <v>553</v>
      </c>
      <c r="D276" s="30" t="e">
        <f>VLOOKUP(Table13[[#This Row],[kbli5]],Table1[[#All],[kbli5]:[digital_hijau]],3,)</f>
        <v>#N/A</v>
      </c>
      <c r="E276" s="53" t="e">
        <f>VLOOKUP(Table13[[#This Row],[kbli5]],kata_kunci!$B:$H,4,FALSE)</f>
        <v>#N/A</v>
      </c>
      <c r="F276" s="53" t="e">
        <f>VLOOKUP(Table13[[#This Row],[kbli5]],Table1[[#All],[kbli5]:[digital_hijau]],5,)</f>
        <v>#N/A</v>
      </c>
      <c r="G276" s="53" t="e">
        <f>VLOOKUP(Table13[[#This Row],[kbli5]],Table1[[#All],[kbli5]:[digital_hijau]],6,)</f>
        <v>#N/A</v>
      </c>
      <c r="H276" s="54" t="e">
        <f>VLOOKUP(Table13[[#This Row],[kbli5]],kata_kunci!$B:$H,3,FALSE)</f>
        <v>#N/A</v>
      </c>
      <c r="I276" s="84" t="e">
        <f>VLOOKUP(Table13[[#This Row],[kbli5]],kata_kunci!$B:$H,5,FALSE)</f>
        <v>#N/A</v>
      </c>
      <c r="J276" s="84" t="e">
        <f>VLOOKUP(Table13[[#This Row],[kbli5]],kata_kunci!$B:$H,6,FALSE)</f>
        <v>#N/A</v>
      </c>
      <c r="K276" s="84" t="e">
        <f>VLOOKUP(Table13[[#This Row],[kbli5]],kata_kunci!$B:$H,7,FALSE)</f>
        <v>#N/A</v>
      </c>
    </row>
    <row r="277" spans="1:11" ht="15.75" thickBot="1" x14ac:dyDescent="0.3">
      <c r="A277" s="53" t="s">
        <v>450</v>
      </c>
      <c r="B277" s="40">
        <v>12005</v>
      </c>
      <c r="C277" s="41" t="s">
        <v>554</v>
      </c>
      <c r="D277" s="30" t="e">
        <f>VLOOKUP(Table13[[#This Row],[kbli5]],Table1[[#All],[kbli5]:[digital_hijau]],3,)</f>
        <v>#N/A</v>
      </c>
      <c r="E277" s="53" t="e">
        <f>VLOOKUP(Table13[[#This Row],[kbli5]],kata_kunci!$B:$H,4,FALSE)</f>
        <v>#N/A</v>
      </c>
      <c r="F277" s="53" t="e">
        <f>VLOOKUP(Table13[[#This Row],[kbli5]],Table1[[#All],[kbli5]:[digital_hijau]],5,)</f>
        <v>#N/A</v>
      </c>
      <c r="G277" s="53" t="e">
        <f>VLOOKUP(Table13[[#This Row],[kbli5]],Table1[[#All],[kbli5]:[digital_hijau]],6,)</f>
        <v>#N/A</v>
      </c>
      <c r="H277" s="54" t="e">
        <f>VLOOKUP(Table13[[#This Row],[kbli5]],kata_kunci!$B:$H,3,FALSE)</f>
        <v>#N/A</v>
      </c>
      <c r="I277" s="84" t="e">
        <f>VLOOKUP(Table13[[#This Row],[kbli5]],kata_kunci!$B:$H,5,FALSE)</f>
        <v>#N/A</v>
      </c>
      <c r="J277" s="84" t="e">
        <f>VLOOKUP(Table13[[#This Row],[kbli5]],kata_kunci!$B:$H,6,FALSE)</f>
        <v>#N/A</v>
      </c>
      <c r="K277" s="84" t="e">
        <f>VLOOKUP(Table13[[#This Row],[kbli5]],kata_kunci!$B:$H,7,FALSE)</f>
        <v>#N/A</v>
      </c>
    </row>
    <row r="278" spans="1:11" ht="30.75" thickBot="1" x14ac:dyDescent="0.3">
      <c r="A278" s="53" t="s">
        <v>450</v>
      </c>
      <c r="B278" s="40">
        <v>12009</v>
      </c>
      <c r="C278" s="41" t="s">
        <v>555</v>
      </c>
      <c r="D278" s="30" t="e">
        <f>VLOOKUP(Table13[[#This Row],[kbli5]],Table1[[#All],[kbli5]:[digital_hijau]],3,)</f>
        <v>#N/A</v>
      </c>
      <c r="E278" s="53" t="e">
        <f>VLOOKUP(Table13[[#This Row],[kbli5]],kata_kunci!$B:$H,4,FALSE)</f>
        <v>#N/A</v>
      </c>
      <c r="F278" s="53" t="e">
        <f>VLOOKUP(Table13[[#This Row],[kbli5]],Table1[[#All],[kbli5]:[digital_hijau]],5,)</f>
        <v>#N/A</v>
      </c>
      <c r="G278" s="53" t="e">
        <f>VLOOKUP(Table13[[#This Row],[kbli5]],Table1[[#All],[kbli5]:[digital_hijau]],6,)</f>
        <v>#N/A</v>
      </c>
      <c r="H278" s="54" t="e">
        <f>VLOOKUP(Table13[[#This Row],[kbli5]],kata_kunci!$B:$H,3,FALSE)</f>
        <v>#N/A</v>
      </c>
      <c r="I278" s="84" t="e">
        <f>VLOOKUP(Table13[[#This Row],[kbli5]],kata_kunci!$B:$H,5,FALSE)</f>
        <v>#N/A</v>
      </c>
      <c r="J278" s="84" t="e">
        <f>VLOOKUP(Table13[[#This Row],[kbli5]],kata_kunci!$B:$H,6,FALSE)</f>
        <v>#N/A</v>
      </c>
      <c r="K278" s="84" t="e">
        <f>VLOOKUP(Table13[[#This Row],[kbli5]],kata_kunci!$B:$H,7,FALSE)</f>
        <v>#N/A</v>
      </c>
    </row>
    <row r="279" spans="1:11" ht="15.75" thickBot="1" x14ac:dyDescent="0.3">
      <c r="A279" s="53" t="s">
        <v>450</v>
      </c>
      <c r="B279" s="40">
        <v>13111</v>
      </c>
      <c r="C279" s="41" t="s">
        <v>556</v>
      </c>
      <c r="D279" s="30" t="e">
        <f>VLOOKUP(Table13[[#This Row],[kbli5]],Table1[[#All],[kbli5]:[digital_hijau]],3,)</f>
        <v>#N/A</v>
      </c>
      <c r="E279" s="53" t="e">
        <f>VLOOKUP(Table13[[#This Row],[kbli5]],kata_kunci!$B:$H,4,FALSE)</f>
        <v>#N/A</v>
      </c>
      <c r="F279" s="53" t="e">
        <f>VLOOKUP(Table13[[#This Row],[kbli5]],Table1[[#All],[kbli5]:[digital_hijau]],5,)</f>
        <v>#N/A</v>
      </c>
      <c r="G279" s="53" t="e">
        <f>VLOOKUP(Table13[[#This Row],[kbli5]],Table1[[#All],[kbli5]:[digital_hijau]],6,)</f>
        <v>#N/A</v>
      </c>
      <c r="H279" s="54" t="e">
        <f>VLOOKUP(Table13[[#This Row],[kbli5]],kata_kunci!$B:$H,3,FALSE)</f>
        <v>#N/A</v>
      </c>
      <c r="I279" s="84" t="e">
        <f>VLOOKUP(Table13[[#This Row],[kbli5]],kata_kunci!$B:$H,5,FALSE)</f>
        <v>#N/A</v>
      </c>
      <c r="J279" s="84" t="e">
        <f>VLOOKUP(Table13[[#This Row],[kbli5]],kata_kunci!$B:$H,6,FALSE)</f>
        <v>#N/A</v>
      </c>
      <c r="K279" s="84" t="e">
        <f>VLOOKUP(Table13[[#This Row],[kbli5]],kata_kunci!$B:$H,7,FALSE)</f>
        <v>#N/A</v>
      </c>
    </row>
    <row r="280" spans="1:11" ht="30.75" thickBot="1" x14ac:dyDescent="0.3">
      <c r="A280" s="53" t="s">
        <v>450</v>
      </c>
      <c r="B280" s="40">
        <v>13112</v>
      </c>
      <c r="C280" s="41" t="s">
        <v>557</v>
      </c>
      <c r="D280" s="30" t="e">
        <f>VLOOKUP(Table13[[#This Row],[kbli5]],Table1[[#All],[kbli5]:[digital_hijau]],3,)</f>
        <v>#N/A</v>
      </c>
      <c r="E280" s="53" t="e">
        <f>VLOOKUP(Table13[[#This Row],[kbli5]],kata_kunci!$B:$H,4,FALSE)</f>
        <v>#N/A</v>
      </c>
      <c r="F280" s="53" t="e">
        <f>VLOOKUP(Table13[[#This Row],[kbli5]],Table1[[#All],[kbli5]:[digital_hijau]],5,)</f>
        <v>#N/A</v>
      </c>
      <c r="G280" s="53" t="e">
        <f>VLOOKUP(Table13[[#This Row],[kbli5]],Table1[[#All],[kbli5]:[digital_hijau]],6,)</f>
        <v>#N/A</v>
      </c>
      <c r="H280" s="54" t="e">
        <f>VLOOKUP(Table13[[#This Row],[kbli5]],kata_kunci!$B:$H,3,FALSE)</f>
        <v>#N/A</v>
      </c>
      <c r="I280" s="84" t="e">
        <f>VLOOKUP(Table13[[#This Row],[kbli5]],kata_kunci!$B:$H,5,FALSE)</f>
        <v>#N/A</v>
      </c>
      <c r="J280" s="84" t="e">
        <f>VLOOKUP(Table13[[#This Row],[kbli5]],kata_kunci!$B:$H,6,FALSE)</f>
        <v>#N/A</v>
      </c>
      <c r="K280" s="84" t="e">
        <f>VLOOKUP(Table13[[#This Row],[kbli5]],kata_kunci!$B:$H,7,FALSE)</f>
        <v>#N/A</v>
      </c>
    </row>
    <row r="281" spans="1:11" ht="15.75" thickBot="1" x14ac:dyDescent="0.3">
      <c r="A281" s="53" t="s">
        <v>450</v>
      </c>
      <c r="B281" s="40">
        <v>13113</v>
      </c>
      <c r="C281" s="41" t="s">
        <v>558</v>
      </c>
      <c r="D281" s="30" t="e">
        <f>VLOOKUP(Table13[[#This Row],[kbli5]],Table1[[#All],[kbli5]:[digital_hijau]],3,)</f>
        <v>#N/A</v>
      </c>
      <c r="E281" s="53" t="e">
        <f>VLOOKUP(Table13[[#This Row],[kbli5]],kata_kunci!$B:$H,4,FALSE)</f>
        <v>#N/A</v>
      </c>
      <c r="F281" s="53" t="e">
        <f>VLOOKUP(Table13[[#This Row],[kbli5]],Table1[[#All],[kbli5]:[digital_hijau]],5,)</f>
        <v>#N/A</v>
      </c>
      <c r="G281" s="53" t="e">
        <f>VLOOKUP(Table13[[#This Row],[kbli5]],Table1[[#All],[kbli5]:[digital_hijau]],6,)</f>
        <v>#N/A</v>
      </c>
      <c r="H281" s="54" t="e">
        <f>VLOOKUP(Table13[[#This Row],[kbli5]],kata_kunci!$B:$H,3,FALSE)</f>
        <v>#N/A</v>
      </c>
      <c r="I281" s="84" t="e">
        <f>VLOOKUP(Table13[[#This Row],[kbli5]],kata_kunci!$B:$H,5,FALSE)</f>
        <v>#N/A</v>
      </c>
      <c r="J281" s="84" t="e">
        <f>VLOOKUP(Table13[[#This Row],[kbli5]],kata_kunci!$B:$H,6,FALSE)</f>
        <v>#N/A</v>
      </c>
      <c r="K281" s="84" t="e">
        <f>VLOOKUP(Table13[[#This Row],[kbli5]],kata_kunci!$B:$H,7,FALSE)</f>
        <v>#N/A</v>
      </c>
    </row>
    <row r="282" spans="1:11" ht="30.75" thickBot="1" x14ac:dyDescent="0.3">
      <c r="A282" s="53" t="s">
        <v>450</v>
      </c>
      <c r="B282" s="40">
        <v>13121</v>
      </c>
      <c r="C282" s="41" t="s">
        <v>559</v>
      </c>
      <c r="D282" s="30" t="e">
        <f>VLOOKUP(Table13[[#This Row],[kbli5]],Table1[[#All],[kbli5]:[digital_hijau]],3,)</f>
        <v>#N/A</v>
      </c>
      <c r="E282" s="53" t="e">
        <f>VLOOKUP(Table13[[#This Row],[kbli5]],kata_kunci!$B:$H,4,FALSE)</f>
        <v>#N/A</v>
      </c>
      <c r="F282" s="53" t="e">
        <f>VLOOKUP(Table13[[#This Row],[kbli5]],Table1[[#All],[kbli5]:[digital_hijau]],5,)</f>
        <v>#N/A</v>
      </c>
      <c r="G282" s="53" t="e">
        <f>VLOOKUP(Table13[[#This Row],[kbli5]],Table1[[#All],[kbli5]:[digital_hijau]],6,)</f>
        <v>#N/A</v>
      </c>
      <c r="H282" s="54" t="e">
        <f>VLOOKUP(Table13[[#This Row],[kbli5]],kata_kunci!$B:$H,3,FALSE)</f>
        <v>#N/A</v>
      </c>
      <c r="I282" s="84" t="e">
        <f>VLOOKUP(Table13[[#This Row],[kbli5]],kata_kunci!$B:$H,5,FALSE)</f>
        <v>#N/A</v>
      </c>
      <c r="J282" s="84" t="e">
        <f>VLOOKUP(Table13[[#This Row],[kbli5]],kata_kunci!$B:$H,6,FALSE)</f>
        <v>#N/A</v>
      </c>
      <c r="K282" s="84" t="e">
        <f>VLOOKUP(Table13[[#This Row],[kbli5]],kata_kunci!$B:$H,7,FALSE)</f>
        <v>#N/A</v>
      </c>
    </row>
    <row r="283" spans="1:11" ht="30.75" thickBot="1" x14ac:dyDescent="0.3">
      <c r="A283" s="53" t="s">
        <v>450</v>
      </c>
      <c r="B283" s="40">
        <v>13122</v>
      </c>
      <c r="C283" s="41" t="s">
        <v>560</v>
      </c>
      <c r="D283" s="30" t="e">
        <f>VLOOKUP(Table13[[#This Row],[kbli5]],Table1[[#All],[kbli5]:[digital_hijau]],3,)</f>
        <v>#N/A</v>
      </c>
      <c r="E283" s="53" t="e">
        <f>VLOOKUP(Table13[[#This Row],[kbli5]],kata_kunci!$B:$H,4,FALSE)</f>
        <v>#N/A</v>
      </c>
      <c r="F283" s="53" t="e">
        <f>VLOOKUP(Table13[[#This Row],[kbli5]],Table1[[#All],[kbli5]:[digital_hijau]],5,)</f>
        <v>#N/A</v>
      </c>
      <c r="G283" s="53" t="e">
        <f>VLOOKUP(Table13[[#This Row],[kbli5]],Table1[[#All],[kbli5]:[digital_hijau]],6,)</f>
        <v>#N/A</v>
      </c>
      <c r="H283" s="54" t="e">
        <f>VLOOKUP(Table13[[#This Row],[kbli5]],kata_kunci!$B:$H,3,FALSE)</f>
        <v>#N/A</v>
      </c>
      <c r="I283" s="84" t="e">
        <f>VLOOKUP(Table13[[#This Row],[kbli5]],kata_kunci!$B:$H,5,FALSE)</f>
        <v>#N/A</v>
      </c>
      <c r="J283" s="84" t="e">
        <f>VLOOKUP(Table13[[#This Row],[kbli5]],kata_kunci!$B:$H,6,FALSE)</f>
        <v>#N/A</v>
      </c>
      <c r="K283" s="84" t="e">
        <f>VLOOKUP(Table13[[#This Row],[kbli5]],kata_kunci!$B:$H,7,FALSE)</f>
        <v>#N/A</v>
      </c>
    </row>
    <row r="284" spans="1:11" ht="15.75" thickBot="1" x14ac:dyDescent="0.3">
      <c r="A284" s="53" t="s">
        <v>450</v>
      </c>
      <c r="B284" s="40">
        <v>13131</v>
      </c>
      <c r="C284" s="41" t="s">
        <v>561</v>
      </c>
      <c r="D284" s="30" t="e">
        <f>VLOOKUP(Table13[[#This Row],[kbli5]],Table1[[#All],[kbli5]:[digital_hijau]],3,)</f>
        <v>#N/A</v>
      </c>
      <c r="E284" s="53" t="e">
        <f>VLOOKUP(Table13[[#This Row],[kbli5]],kata_kunci!$B:$H,4,FALSE)</f>
        <v>#N/A</v>
      </c>
      <c r="F284" s="53" t="e">
        <f>VLOOKUP(Table13[[#This Row],[kbli5]],Table1[[#All],[kbli5]:[digital_hijau]],5,)</f>
        <v>#N/A</v>
      </c>
      <c r="G284" s="53" t="e">
        <f>VLOOKUP(Table13[[#This Row],[kbli5]],Table1[[#All],[kbli5]:[digital_hijau]],6,)</f>
        <v>#N/A</v>
      </c>
      <c r="H284" s="54" t="e">
        <f>VLOOKUP(Table13[[#This Row],[kbli5]],kata_kunci!$B:$H,3,FALSE)</f>
        <v>#N/A</v>
      </c>
      <c r="I284" s="84" t="e">
        <f>VLOOKUP(Table13[[#This Row],[kbli5]],kata_kunci!$B:$H,5,FALSE)</f>
        <v>#N/A</v>
      </c>
      <c r="J284" s="84" t="e">
        <f>VLOOKUP(Table13[[#This Row],[kbli5]],kata_kunci!$B:$H,6,FALSE)</f>
        <v>#N/A</v>
      </c>
      <c r="K284" s="84" t="e">
        <f>VLOOKUP(Table13[[#This Row],[kbli5]],kata_kunci!$B:$H,7,FALSE)</f>
        <v>#N/A</v>
      </c>
    </row>
    <row r="285" spans="1:11" ht="30.75" thickBot="1" x14ac:dyDescent="0.3">
      <c r="A285" s="53" t="s">
        <v>450</v>
      </c>
      <c r="B285" s="40">
        <v>13132</v>
      </c>
      <c r="C285" s="41" t="s">
        <v>562</v>
      </c>
      <c r="D285" s="30" t="e">
        <f>VLOOKUP(Table13[[#This Row],[kbli5]],Table1[[#All],[kbli5]:[digital_hijau]],3,)</f>
        <v>#N/A</v>
      </c>
      <c r="E285" s="53" t="e">
        <f>VLOOKUP(Table13[[#This Row],[kbli5]],kata_kunci!$B:$H,4,FALSE)</f>
        <v>#N/A</v>
      </c>
      <c r="F285" s="53" t="e">
        <f>VLOOKUP(Table13[[#This Row],[kbli5]],Table1[[#All],[kbli5]:[digital_hijau]],5,)</f>
        <v>#N/A</v>
      </c>
      <c r="G285" s="53" t="e">
        <f>VLOOKUP(Table13[[#This Row],[kbli5]],Table1[[#All],[kbli5]:[digital_hijau]],6,)</f>
        <v>#N/A</v>
      </c>
      <c r="H285" s="54" t="e">
        <f>VLOOKUP(Table13[[#This Row],[kbli5]],kata_kunci!$B:$H,3,FALSE)</f>
        <v>#N/A</v>
      </c>
      <c r="I285" s="84" t="e">
        <f>VLOOKUP(Table13[[#This Row],[kbli5]],kata_kunci!$B:$H,5,FALSE)</f>
        <v>#N/A</v>
      </c>
      <c r="J285" s="84" t="e">
        <f>VLOOKUP(Table13[[#This Row],[kbli5]],kata_kunci!$B:$H,6,FALSE)</f>
        <v>#N/A</v>
      </c>
      <c r="K285" s="84" t="e">
        <f>VLOOKUP(Table13[[#This Row],[kbli5]],kata_kunci!$B:$H,7,FALSE)</f>
        <v>#N/A</v>
      </c>
    </row>
    <row r="286" spans="1:11" ht="15.75" thickBot="1" x14ac:dyDescent="0.3">
      <c r="A286" s="53" t="s">
        <v>450</v>
      </c>
      <c r="B286" s="40">
        <v>13133</v>
      </c>
      <c r="C286" s="41" t="s">
        <v>563</v>
      </c>
      <c r="D286" s="30" t="e">
        <f>VLOOKUP(Table13[[#This Row],[kbli5]],Table1[[#All],[kbli5]:[digital_hijau]],3,)</f>
        <v>#N/A</v>
      </c>
      <c r="E286" s="53" t="e">
        <f>VLOOKUP(Table13[[#This Row],[kbli5]],kata_kunci!$B:$H,4,FALSE)</f>
        <v>#N/A</v>
      </c>
      <c r="F286" s="53" t="e">
        <f>VLOOKUP(Table13[[#This Row],[kbli5]],Table1[[#All],[kbli5]:[digital_hijau]],5,)</f>
        <v>#N/A</v>
      </c>
      <c r="G286" s="53" t="e">
        <f>VLOOKUP(Table13[[#This Row],[kbli5]],Table1[[#All],[kbli5]:[digital_hijau]],6,)</f>
        <v>#N/A</v>
      </c>
      <c r="H286" s="54" t="e">
        <f>VLOOKUP(Table13[[#This Row],[kbli5]],kata_kunci!$B:$H,3,FALSE)</f>
        <v>#N/A</v>
      </c>
      <c r="I286" s="84" t="e">
        <f>VLOOKUP(Table13[[#This Row],[kbli5]],kata_kunci!$B:$H,5,FALSE)</f>
        <v>#N/A</v>
      </c>
      <c r="J286" s="84" t="e">
        <f>VLOOKUP(Table13[[#This Row],[kbli5]],kata_kunci!$B:$H,6,FALSE)</f>
        <v>#N/A</v>
      </c>
      <c r="K286" s="84" t="e">
        <f>VLOOKUP(Table13[[#This Row],[kbli5]],kata_kunci!$B:$H,7,FALSE)</f>
        <v>#N/A</v>
      </c>
    </row>
    <row r="287" spans="1:11" ht="30.75" thickBot="1" x14ac:dyDescent="0.3">
      <c r="A287" s="53" t="s">
        <v>450</v>
      </c>
      <c r="B287" s="40">
        <v>13139</v>
      </c>
      <c r="C287" s="41" t="s">
        <v>564</v>
      </c>
      <c r="D287" s="30" t="e">
        <f>VLOOKUP(Table13[[#This Row],[kbli5]],Table1[[#All],[kbli5]:[digital_hijau]],3,)</f>
        <v>#N/A</v>
      </c>
      <c r="E287" s="53" t="e">
        <f>VLOOKUP(Table13[[#This Row],[kbli5]],kata_kunci!$B:$H,4,FALSE)</f>
        <v>#N/A</v>
      </c>
      <c r="F287" s="53" t="e">
        <f>VLOOKUP(Table13[[#This Row],[kbli5]],Table1[[#All],[kbli5]:[digital_hijau]],5,)</f>
        <v>#N/A</v>
      </c>
      <c r="G287" s="53" t="e">
        <f>VLOOKUP(Table13[[#This Row],[kbli5]],Table1[[#All],[kbli5]:[digital_hijau]],6,)</f>
        <v>#N/A</v>
      </c>
      <c r="H287" s="54" t="e">
        <f>VLOOKUP(Table13[[#This Row],[kbli5]],kata_kunci!$B:$H,3,FALSE)</f>
        <v>#N/A</v>
      </c>
      <c r="I287" s="84" t="e">
        <f>VLOOKUP(Table13[[#This Row],[kbli5]],kata_kunci!$B:$H,5,FALSE)</f>
        <v>#N/A</v>
      </c>
      <c r="J287" s="84" t="e">
        <f>VLOOKUP(Table13[[#This Row],[kbli5]],kata_kunci!$B:$H,6,FALSE)</f>
        <v>#N/A</v>
      </c>
      <c r="K287" s="84" t="e">
        <f>VLOOKUP(Table13[[#This Row],[kbli5]],kata_kunci!$B:$H,7,FALSE)</f>
        <v>#N/A</v>
      </c>
    </row>
    <row r="288" spans="1:11" ht="15.75" thickBot="1" x14ac:dyDescent="0.3">
      <c r="A288" s="53" t="s">
        <v>450</v>
      </c>
      <c r="B288" s="40">
        <v>13911</v>
      </c>
      <c r="C288" s="41" t="s">
        <v>565</v>
      </c>
      <c r="D288" s="30" t="e">
        <f>VLOOKUP(Table13[[#This Row],[kbli5]],Table1[[#All],[kbli5]:[digital_hijau]],3,)</f>
        <v>#N/A</v>
      </c>
      <c r="E288" s="53" t="e">
        <f>VLOOKUP(Table13[[#This Row],[kbli5]],kata_kunci!$B:$H,4,FALSE)</f>
        <v>#N/A</v>
      </c>
      <c r="F288" s="53" t="e">
        <f>VLOOKUP(Table13[[#This Row],[kbli5]],Table1[[#All],[kbli5]:[digital_hijau]],5,)</f>
        <v>#N/A</v>
      </c>
      <c r="G288" s="53" t="e">
        <f>VLOOKUP(Table13[[#This Row],[kbli5]],Table1[[#All],[kbli5]:[digital_hijau]],6,)</f>
        <v>#N/A</v>
      </c>
      <c r="H288" s="54" t="e">
        <f>VLOOKUP(Table13[[#This Row],[kbli5]],kata_kunci!$B:$H,3,FALSE)</f>
        <v>#N/A</v>
      </c>
      <c r="I288" s="84" t="e">
        <f>VLOOKUP(Table13[[#This Row],[kbli5]],kata_kunci!$B:$H,5,FALSE)</f>
        <v>#N/A</v>
      </c>
      <c r="J288" s="84" t="e">
        <f>VLOOKUP(Table13[[#This Row],[kbli5]],kata_kunci!$B:$H,6,FALSE)</f>
        <v>#N/A</v>
      </c>
      <c r="K288" s="84" t="e">
        <f>VLOOKUP(Table13[[#This Row],[kbli5]],kata_kunci!$B:$H,7,FALSE)</f>
        <v>#N/A</v>
      </c>
    </row>
    <row r="289" spans="1:11" ht="15.75" thickBot="1" x14ac:dyDescent="0.3">
      <c r="A289" s="53" t="s">
        <v>450</v>
      </c>
      <c r="B289" s="40">
        <v>13912</v>
      </c>
      <c r="C289" s="41" t="s">
        <v>566</v>
      </c>
      <c r="D289" s="30" t="e">
        <f>VLOOKUP(Table13[[#This Row],[kbli5]],Table1[[#All],[kbli5]:[digital_hijau]],3,)</f>
        <v>#N/A</v>
      </c>
      <c r="E289" s="53" t="e">
        <f>VLOOKUP(Table13[[#This Row],[kbli5]],kata_kunci!$B:$H,4,FALSE)</f>
        <v>#N/A</v>
      </c>
      <c r="F289" s="53" t="e">
        <f>VLOOKUP(Table13[[#This Row],[kbli5]],Table1[[#All],[kbli5]:[digital_hijau]],5,)</f>
        <v>#N/A</v>
      </c>
      <c r="G289" s="53" t="e">
        <f>VLOOKUP(Table13[[#This Row],[kbli5]],Table1[[#All],[kbli5]:[digital_hijau]],6,)</f>
        <v>#N/A</v>
      </c>
      <c r="H289" s="54" t="e">
        <f>VLOOKUP(Table13[[#This Row],[kbli5]],kata_kunci!$B:$H,3,FALSE)</f>
        <v>#N/A</v>
      </c>
      <c r="I289" s="84" t="e">
        <f>VLOOKUP(Table13[[#This Row],[kbli5]],kata_kunci!$B:$H,5,FALSE)</f>
        <v>#N/A</v>
      </c>
      <c r="J289" s="84" t="e">
        <f>VLOOKUP(Table13[[#This Row],[kbli5]],kata_kunci!$B:$H,6,FALSE)</f>
        <v>#N/A</v>
      </c>
      <c r="K289" s="84" t="e">
        <f>VLOOKUP(Table13[[#This Row],[kbli5]],kata_kunci!$B:$H,7,FALSE)</f>
        <v>#N/A</v>
      </c>
    </row>
    <row r="290" spans="1:11" ht="30.75" thickBot="1" x14ac:dyDescent="0.3">
      <c r="A290" s="53" t="s">
        <v>450</v>
      </c>
      <c r="B290" s="40">
        <v>13913</v>
      </c>
      <c r="C290" s="41" t="s">
        <v>567</v>
      </c>
      <c r="D290" s="30" t="e">
        <f>VLOOKUP(Table13[[#This Row],[kbli5]],Table1[[#All],[kbli5]:[digital_hijau]],3,)</f>
        <v>#N/A</v>
      </c>
      <c r="E290" s="53" t="e">
        <f>VLOOKUP(Table13[[#This Row],[kbli5]],kata_kunci!$B:$H,4,FALSE)</f>
        <v>#N/A</v>
      </c>
      <c r="F290" s="53" t="e">
        <f>VLOOKUP(Table13[[#This Row],[kbli5]],Table1[[#All],[kbli5]:[digital_hijau]],5,)</f>
        <v>#N/A</v>
      </c>
      <c r="G290" s="53" t="e">
        <f>VLOOKUP(Table13[[#This Row],[kbli5]],Table1[[#All],[kbli5]:[digital_hijau]],6,)</f>
        <v>#N/A</v>
      </c>
      <c r="H290" s="54" t="e">
        <f>VLOOKUP(Table13[[#This Row],[kbli5]],kata_kunci!$B:$H,3,FALSE)</f>
        <v>#N/A</v>
      </c>
      <c r="I290" s="84" t="e">
        <f>VLOOKUP(Table13[[#This Row],[kbli5]],kata_kunci!$B:$H,5,FALSE)</f>
        <v>#N/A</v>
      </c>
      <c r="J290" s="84" t="e">
        <f>VLOOKUP(Table13[[#This Row],[kbli5]],kata_kunci!$B:$H,6,FALSE)</f>
        <v>#N/A</v>
      </c>
      <c r="K290" s="84" t="e">
        <f>VLOOKUP(Table13[[#This Row],[kbli5]],kata_kunci!$B:$H,7,FALSE)</f>
        <v>#N/A</v>
      </c>
    </row>
    <row r="291" spans="1:11" ht="45.75" thickBot="1" x14ac:dyDescent="0.3">
      <c r="A291" s="53" t="s">
        <v>450</v>
      </c>
      <c r="B291" s="40">
        <v>13921</v>
      </c>
      <c r="C291" s="41" t="s">
        <v>568</v>
      </c>
      <c r="D291" s="30" t="e">
        <f>VLOOKUP(Table13[[#This Row],[kbli5]],Table1[[#All],[kbli5]:[digital_hijau]],3,)</f>
        <v>#N/A</v>
      </c>
      <c r="E291" s="53" t="e">
        <f>VLOOKUP(Table13[[#This Row],[kbli5]],kata_kunci!$B:$H,4,FALSE)</f>
        <v>#N/A</v>
      </c>
      <c r="F291" s="53" t="e">
        <f>VLOOKUP(Table13[[#This Row],[kbli5]],Table1[[#All],[kbli5]:[digital_hijau]],5,)</f>
        <v>#N/A</v>
      </c>
      <c r="G291" s="53" t="e">
        <f>VLOOKUP(Table13[[#This Row],[kbli5]],Table1[[#All],[kbli5]:[digital_hijau]],6,)</f>
        <v>#N/A</v>
      </c>
      <c r="H291" s="54" t="e">
        <f>VLOOKUP(Table13[[#This Row],[kbli5]],kata_kunci!$B:$H,3,FALSE)</f>
        <v>#N/A</v>
      </c>
      <c r="I291" s="84" t="e">
        <f>VLOOKUP(Table13[[#This Row],[kbli5]],kata_kunci!$B:$H,5,FALSE)</f>
        <v>#N/A</v>
      </c>
      <c r="J291" s="84" t="e">
        <f>VLOOKUP(Table13[[#This Row],[kbli5]],kata_kunci!$B:$H,6,FALSE)</f>
        <v>#N/A</v>
      </c>
      <c r="K291" s="84" t="e">
        <f>VLOOKUP(Table13[[#This Row],[kbli5]],kata_kunci!$B:$H,7,FALSE)</f>
        <v>#N/A</v>
      </c>
    </row>
    <row r="292" spans="1:11" ht="30.75" thickBot="1" x14ac:dyDescent="0.3">
      <c r="A292" s="53" t="s">
        <v>450</v>
      </c>
      <c r="B292" s="40">
        <v>13922</v>
      </c>
      <c r="C292" s="41" t="s">
        <v>569</v>
      </c>
      <c r="D292" s="30" t="e">
        <f>VLOOKUP(Table13[[#This Row],[kbli5]],Table1[[#All],[kbli5]:[digital_hijau]],3,)</f>
        <v>#N/A</v>
      </c>
      <c r="E292" s="53" t="e">
        <f>VLOOKUP(Table13[[#This Row],[kbli5]],kata_kunci!$B:$H,4,FALSE)</f>
        <v>#N/A</v>
      </c>
      <c r="F292" s="53" t="e">
        <f>VLOOKUP(Table13[[#This Row],[kbli5]],Table1[[#All],[kbli5]:[digital_hijau]],5,)</f>
        <v>#N/A</v>
      </c>
      <c r="G292" s="53" t="e">
        <f>VLOOKUP(Table13[[#This Row],[kbli5]],Table1[[#All],[kbli5]:[digital_hijau]],6,)</f>
        <v>#N/A</v>
      </c>
      <c r="H292" s="54" t="e">
        <f>VLOOKUP(Table13[[#This Row],[kbli5]],kata_kunci!$B:$H,3,FALSE)</f>
        <v>#N/A</v>
      </c>
      <c r="I292" s="84" t="e">
        <f>VLOOKUP(Table13[[#This Row],[kbli5]],kata_kunci!$B:$H,5,FALSE)</f>
        <v>#N/A</v>
      </c>
      <c r="J292" s="84" t="e">
        <f>VLOOKUP(Table13[[#This Row],[kbli5]],kata_kunci!$B:$H,6,FALSE)</f>
        <v>#N/A</v>
      </c>
      <c r="K292" s="84" t="e">
        <f>VLOOKUP(Table13[[#This Row],[kbli5]],kata_kunci!$B:$H,7,FALSE)</f>
        <v>#N/A</v>
      </c>
    </row>
    <row r="293" spans="1:11" ht="15.75" thickBot="1" x14ac:dyDescent="0.3">
      <c r="A293" s="53" t="s">
        <v>450</v>
      </c>
      <c r="B293" s="40">
        <v>13923</v>
      </c>
      <c r="C293" s="41" t="s">
        <v>570</v>
      </c>
      <c r="D293" s="30" t="e">
        <f>VLOOKUP(Table13[[#This Row],[kbli5]],Table1[[#All],[kbli5]:[digital_hijau]],3,)</f>
        <v>#N/A</v>
      </c>
      <c r="E293" s="53" t="e">
        <f>VLOOKUP(Table13[[#This Row],[kbli5]],kata_kunci!$B:$H,4,FALSE)</f>
        <v>#N/A</v>
      </c>
      <c r="F293" s="53" t="e">
        <f>VLOOKUP(Table13[[#This Row],[kbli5]],Table1[[#All],[kbli5]:[digital_hijau]],5,)</f>
        <v>#N/A</v>
      </c>
      <c r="G293" s="53" t="e">
        <f>VLOOKUP(Table13[[#This Row],[kbli5]],Table1[[#All],[kbli5]:[digital_hijau]],6,)</f>
        <v>#N/A</v>
      </c>
      <c r="H293" s="54" t="e">
        <f>VLOOKUP(Table13[[#This Row],[kbli5]],kata_kunci!$B:$H,3,FALSE)</f>
        <v>#N/A</v>
      </c>
      <c r="I293" s="84" t="e">
        <f>VLOOKUP(Table13[[#This Row],[kbli5]],kata_kunci!$B:$H,5,FALSE)</f>
        <v>#N/A</v>
      </c>
      <c r="J293" s="84" t="e">
        <f>VLOOKUP(Table13[[#This Row],[kbli5]],kata_kunci!$B:$H,6,FALSE)</f>
        <v>#N/A</v>
      </c>
      <c r="K293" s="84" t="e">
        <f>VLOOKUP(Table13[[#This Row],[kbli5]],kata_kunci!$B:$H,7,FALSE)</f>
        <v>#N/A</v>
      </c>
    </row>
    <row r="294" spans="1:11" ht="30.75" thickBot="1" x14ac:dyDescent="0.3">
      <c r="A294" s="53" t="s">
        <v>450</v>
      </c>
      <c r="B294" s="40">
        <v>13924</v>
      </c>
      <c r="C294" s="41" t="s">
        <v>571</v>
      </c>
      <c r="D294" s="30" t="e">
        <f>VLOOKUP(Table13[[#This Row],[kbli5]],Table1[[#All],[kbli5]:[digital_hijau]],3,)</f>
        <v>#N/A</v>
      </c>
      <c r="E294" s="53" t="e">
        <f>VLOOKUP(Table13[[#This Row],[kbli5]],kata_kunci!$B:$H,4,FALSE)</f>
        <v>#N/A</v>
      </c>
      <c r="F294" s="53" t="e">
        <f>VLOOKUP(Table13[[#This Row],[kbli5]],Table1[[#All],[kbli5]:[digital_hijau]],5,)</f>
        <v>#N/A</v>
      </c>
      <c r="G294" s="53" t="e">
        <f>VLOOKUP(Table13[[#This Row],[kbli5]],Table1[[#All],[kbli5]:[digital_hijau]],6,)</f>
        <v>#N/A</v>
      </c>
      <c r="H294" s="54" t="e">
        <f>VLOOKUP(Table13[[#This Row],[kbli5]],kata_kunci!$B:$H,3,FALSE)</f>
        <v>#N/A</v>
      </c>
      <c r="I294" s="84" t="e">
        <f>VLOOKUP(Table13[[#This Row],[kbli5]],kata_kunci!$B:$H,5,FALSE)</f>
        <v>#N/A</v>
      </c>
      <c r="J294" s="84" t="e">
        <f>VLOOKUP(Table13[[#This Row],[kbli5]],kata_kunci!$B:$H,6,FALSE)</f>
        <v>#N/A</v>
      </c>
      <c r="K294" s="84" t="e">
        <f>VLOOKUP(Table13[[#This Row],[kbli5]],kata_kunci!$B:$H,7,FALSE)</f>
        <v>#N/A</v>
      </c>
    </row>
    <row r="295" spans="1:11" ht="45.75" thickBot="1" x14ac:dyDescent="0.3">
      <c r="A295" s="53" t="s">
        <v>450</v>
      </c>
      <c r="B295" s="40">
        <v>13929</v>
      </c>
      <c r="C295" s="41" t="s">
        <v>572</v>
      </c>
      <c r="D295" s="30" t="e">
        <f>VLOOKUP(Table13[[#This Row],[kbli5]],Table1[[#All],[kbli5]:[digital_hijau]],3,)</f>
        <v>#N/A</v>
      </c>
      <c r="E295" s="53" t="e">
        <f>VLOOKUP(Table13[[#This Row],[kbli5]],kata_kunci!$B:$H,4,FALSE)</f>
        <v>#N/A</v>
      </c>
      <c r="F295" s="53" t="e">
        <f>VLOOKUP(Table13[[#This Row],[kbli5]],Table1[[#All],[kbli5]:[digital_hijau]],5,)</f>
        <v>#N/A</v>
      </c>
      <c r="G295" s="53" t="e">
        <f>VLOOKUP(Table13[[#This Row],[kbli5]],Table1[[#All],[kbli5]:[digital_hijau]],6,)</f>
        <v>#N/A</v>
      </c>
      <c r="H295" s="54" t="e">
        <f>VLOOKUP(Table13[[#This Row],[kbli5]],kata_kunci!$B:$H,3,FALSE)</f>
        <v>#N/A</v>
      </c>
      <c r="I295" s="84" t="e">
        <f>VLOOKUP(Table13[[#This Row],[kbli5]],kata_kunci!$B:$H,5,FALSE)</f>
        <v>#N/A</v>
      </c>
      <c r="J295" s="84" t="e">
        <f>VLOOKUP(Table13[[#This Row],[kbli5]],kata_kunci!$B:$H,6,FALSE)</f>
        <v>#N/A</v>
      </c>
      <c r="K295" s="84" t="e">
        <f>VLOOKUP(Table13[[#This Row],[kbli5]],kata_kunci!$B:$H,7,FALSE)</f>
        <v>#N/A</v>
      </c>
    </row>
    <row r="296" spans="1:11" ht="30.75" thickBot="1" x14ac:dyDescent="0.3">
      <c r="A296" s="53" t="s">
        <v>450</v>
      </c>
      <c r="B296" s="40">
        <v>13930</v>
      </c>
      <c r="C296" s="41" t="s">
        <v>573</v>
      </c>
      <c r="D296" s="30" t="e">
        <f>VLOOKUP(Table13[[#This Row],[kbli5]],Table1[[#All],[kbli5]:[digital_hijau]],3,)</f>
        <v>#N/A</v>
      </c>
      <c r="E296" s="53" t="e">
        <f>VLOOKUP(Table13[[#This Row],[kbli5]],kata_kunci!$B:$H,4,FALSE)</f>
        <v>#N/A</v>
      </c>
      <c r="F296" s="53" t="e">
        <f>VLOOKUP(Table13[[#This Row],[kbli5]],Table1[[#All],[kbli5]:[digital_hijau]],5,)</f>
        <v>#N/A</v>
      </c>
      <c r="G296" s="53" t="e">
        <f>VLOOKUP(Table13[[#This Row],[kbli5]],Table1[[#All],[kbli5]:[digital_hijau]],6,)</f>
        <v>#N/A</v>
      </c>
      <c r="H296" s="54" t="e">
        <f>VLOOKUP(Table13[[#This Row],[kbli5]],kata_kunci!$B:$H,3,FALSE)</f>
        <v>#N/A</v>
      </c>
      <c r="I296" s="84" t="e">
        <f>VLOOKUP(Table13[[#This Row],[kbli5]],kata_kunci!$B:$H,5,FALSE)</f>
        <v>#N/A</v>
      </c>
      <c r="J296" s="84" t="e">
        <f>VLOOKUP(Table13[[#This Row],[kbli5]],kata_kunci!$B:$H,6,FALSE)</f>
        <v>#N/A</v>
      </c>
      <c r="K296" s="84" t="e">
        <f>VLOOKUP(Table13[[#This Row],[kbli5]],kata_kunci!$B:$H,7,FALSE)</f>
        <v>#N/A</v>
      </c>
    </row>
    <row r="297" spans="1:11" ht="15.75" thickBot="1" x14ac:dyDescent="0.3">
      <c r="A297" s="53" t="s">
        <v>450</v>
      </c>
      <c r="B297" s="40">
        <v>13941</v>
      </c>
      <c r="C297" s="41" t="s">
        <v>574</v>
      </c>
      <c r="D297" s="30" t="e">
        <f>VLOOKUP(Table13[[#This Row],[kbli5]],Table1[[#All],[kbli5]:[digital_hijau]],3,)</f>
        <v>#N/A</v>
      </c>
      <c r="E297" s="53" t="e">
        <f>VLOOKUP(Table13[[#This Row],[kbli5]],kata_kunci!$B:$H,4,FALSE)</f>
        <v>#N/A</v>
      </c>
      <c r="F297" s="53" t="e">
        <f>VLOOKUP(Table13[[#This Row],[kbli5]],Table1[[#All],[kbli5]:[digital_hijau]],5,)</f>
        <v>#N/A</v>
      </c>
      <c r="G297" s="53" t="e">
        <f>VLOOKUP(Table13[[#This Row],[kbli5]],Table1[[#All],[kbli5]:[digital_hijau]],6,)</f>
        <v>#N/A</v>
      </c>
      <c r="H297" s="54" t="e">
        <f>VLOOKUP(Table13[[#This Row],[kbli5]],kata_kunci!$B:$H,3,FALSE)</f>
        <v>#N/A</v>
      </c>
      <c r="I297" s="84" t="e">
        <f>VLOOKUP(Table13[[#This Row],[kbli5]],kata_kunci!$B:$H,5,FALSE)</f>
        <v>#N/A</v>
      </c>
      <c r="J297" s="84" t="e">
        <f>VLOOKUP(Table13[[#This Row],[kbli5]],kata_kunci!$B:$H,6,FALSE)</f>
        <v>#N/A</v>
      </c>
      <c r="K297" s="84" t="e">
        <f>VLOOKUP(Table13[[#This Row],[kbli5]],kata_kunci!$B:$H,7,FALSE)</f>
        <v>#N/A</v>
      </c>
    </row>
    <row r="298" spans="1:11" ht="30.75" thickBot="1" x14ac:dyDescent="0.3">
      <c r="A298" s="53" t="s">
        <v>450</v>
      </c>
      <c r="B298" s="40">
        <v>13942</v>
      </c>
      <c r="C298" s="41" t="s">
        <v>575</v>
      </c>
      <c r="D298" s="30" t="e">
        <f>VLOOKUP(Table13[[#This Row],[kbli5]],Table1[[#All],[kbli5]:[digital_hijau]],3,)</f>
        <v>#N/A</v>
      </c>
      <c r="E298" s="53" t="e">
        <f>VLOOKUP(Table13[[#This Row],[kbli5]],kata_kunci!$B:$H,4,FALSE)</f>
        <v>#N/A</v>
      </c>
      <c r="F298" s="53" t="e">
        <f>VLOOKUP(Table13[[#This Row],[kbli5]],Table1[[#All],[kbli5]:[digital_hijau]],5,)</f>
        <v>#N/A</v>
      </c>
      <c r="G298" s="53" t="e">
        <f>VLOOKUP(Table13[[#This Row],[kbli5]],Table1[[#All],[kbli5]:[digital_hijau]],6,)</f>
        <v>#N/A</v>
      </c>
      <c r="H298" s="54" t="e">
        <f>VLOOKUP(Table13[[#This Row],[kbli5]],kata_kunci!$B:$H,3,FALSE)</f>
        <v>#N/A</v>
      </c>
      <c r="I298" s="84" t="e">
        <f>VLOOKUP(Table13[[#This Row],[kbli5]],kata_kunci!$B:$H,5,FALSE)</f>
        <v>#N/A</v>
      </c>
      <c r="J298" s="84" t="e">
        <f>VLOOKUP(Table13[[#This Row],[kbli5]],kata_kunci!$B:$H,6,FALSE)</f>
        <v>#N/A</v>
      </c>
      <c r="K298" s="84" t="e">
        <f>VLOOKUP(Table13[[#This Row],[kbli5]],kata_kunci!$B:$H,7,FALSE)</f>
        <v>#N/A</v>
      </c>
    </row>
    <row r="299" spans="1:11" ht="15.75" thickBot="1" x14ac:dyDescent="0.3">
      <c r="A299" s="53" t="s">
        <v>450</v>
      </c>
      <c r="B299" s="40">
        <v>13991</v>
      </c>
      <c r="C299" s="41" t="s">
        <v>576</v>
      </c>
      <c r="D299" s="30" t="e">
        <f>VLOOKUP(Table13[[#This Row],[kbli5]],Table1[[#All],[kbli5]:[digital_hijau]],3,)</f>
        <v>#N/A</v>
      </c>
      <c r="E299" s="53" t="e">
        <f>VLOOKUP(Table13[[#This Row],[kbli5]],kata_kunci!$B:$H,4,FALSE)</f>
        <v>#N/A</v>
      </c>
      <c r="F299" s="53" t="e">
        <f>VLOOKUP(Table13[[#This Row],[kbli5]],Table1[[#All],[kbli5]:[digital_hijau]],5,)</f>
        <v>#N/A</v>
      </c>
      <c r="G299" s="53" t="e">
        <f>VLOOKUP(Table13[[#This Row],[kbli5]],Table1[[#All],[kbli5]:[digital_hijau]],6,)</f>
        <v>#N/A</v>
      </c>
      <c r="H299" s="54" t="e">
        <f>VLOOKUP(Table13[[#This Row],[kbli5]],kata_kunci!$B:$H,3,FALSE)</f>
        <v>#N/A</v>
      </c>
      <c r="I299" s="84" t="e">
        <f>VLOOKUP(Table13[[#This Row],[kbli5]],kata_kunci!$B:$H,5,FALSE)</f>
        <v>#N/A</v>
      </c>
      <c r="J299" s="84" t="e">
        <f>VLOOKUP(Table13[[#This Row],[kbli5]],kata_kunci!$B:$H,6,FALSE)</f>
        <v>#N/A</v>
      </c>
      <c r="K299" s="84" t="e">
        <f>VLOOKUP(Table13[[#This Row],[kbli5]],kata_kunci!$B:$H,7,FALSE)</f>
        <v>#N/A</v>
      </c>
    </row>
    <row r="300" spans="1:11" ht="30.75" thickBot="1" x14ac:dyDescent="0.3">
      <c r="A300" s="53" t="s">
        <v>450</v>
      </c>
      <c r="B300" s="40">
        <v>13992</v>
      </c>
      <c r="C300" s="41" t="s">
        <v>577</v>
      </c>
      <c r="D300" s="30" t="e">
        <f>VLOOKUP(Table13[[#This Row],[kbli5]],Table1[[#All],[kbli5]:[digital_hijau]],3,)</f>
        <v>#N/A</v>
      </c>
      <c r="E300" s="53" t="e">
        <f>VLOOKUP(Table13[[#This Row],[kbli5]],kata_kunci!$B:$H,4,FALSE)</f>
        <v>#N/A</v>
      </c>
      <c r="F300" s="53" t="e">
        <f>VLOOKUP(Table13[[#This Row],[kbli5]],Table1[[#All],[kbli5]:[digital_hijau]],5,)</f>
        <v>#N/A</v>
      </c>
      <c r="G300" s="53" t="e">
        <f>VLOOKUP(Table13[[#This Row],[kbli5]],Table1[[#All],[kbli5]:[digital_hijau]],6,)</f>
        <v>#N/A</v>
      </c>
      <c r="H300" s="54" t="e">
        <f>VLOOKUP(Table13[[#This Row],[kbli5]],kata_kunci!$B:$H,3,FALSE)</f>
        <v>#N/A</v>
      </c>
      <c r="I300" s="84" t="e">
        <f>VLOOKUP(Table13[[#This Row],[kbli5]],kata_kunci!$B:$H,5,FALSE)</f>
        <v>#N/A</v>
      </c>
      <c r="J300" s="84" t="e">
        <f>VLOOKUP(Table13[[#This Row],[kbli5]],kata_kunci!$B:$H,6,FALSE)</f>
        <v>#N/A</v>
      </c>
      <c r="K300" s="84" t="e">
        <f>VLOOKUP(Table13[[#This Row],[kbli5]],kata_kunci!$B:$H,7,FALSE)</f>
        <v>#N/A</v>
      </c>
    </row>
    <row r="301" spans="1:11" ht="30.75" thickBot="1" x14ac:dyDescent="0.3">
      <c r="A301" s="53" t="s">
        <v>450</v>
      </c>
      <c r="B301" s="40">
        <v>13993</v>
      </c>
      <c r="C301" s="41" t="s">
        <v>578</v>
      </c>
      <c r="D301" s="30" t="e">
        <f>VLOOKUP(Table13[[#This Row],[kbli5]],Table1[[#All],[kbli5]:[digital_hijau]],3,)</f>
        <v>#N/A</v>
      </c>
      <c r="E301" s="53" t="e">
        <f>VLOOKUP(Table13[[#This Row],[kbli5]],kata_kunci!$B:$H,4,FALSE)</f>
        <v>#N/A</v>
      </c>
      <c r="F301" s="53" t="e">
        <f>VLOOKUP(Table13[[#This Row],[kbli5]],Table1[[#All],[kbli5]:[digital_hijau]],5,)</f>
        <v>#N/A</v>
      </c>
      <c r="G301" s="53" t="e">
        <f>VLOOKUP(Table13[[#This Row],[kbli5]],Table1[[#All],[kbli5]:[digital_hijau]],6,)</f>
        <v>#N/A</v>
      </c>
      <c r="H301" s="54" t="e">
        <f>VLOOKUP(Table13[[#This Row],[kbli5]],kata_kunci!$B:$H,3,FALSE)</f>
        <v>#N/A</v>
      </c>
      <c r="I301" s="84" t="e">
        <f>VLOOKUP(Table13[[#This Row],[kbli5]],kata_kunci!$B:$H,5,FALSE)</f>
        <v>#N/A</v>
      </c>
      <c r="J301" s="84" t="e">
        <f>VLOOKUP(Table13[[#This Row],[kbli5]],kata_kunci!$B:$H,6,FALSE)</f>
        <v>#N/A</v>
      </c>
      <c r="K301" s="84" t="e">
        <f>VLOOKUP(Table13[[#This Row],[kbli5]],kata_kunci!$B:$H,7,FALSE)</f>
        <v>#N/A</v>
      </c>
    </row>
    <row r="302" spans="1:11" ht="15.75" thickBot="1" x14ac:dyDescent="0.3">
      <c r="A302" s="53" t="s">
        <v>450</v>
      </c>
      <c r="B302" s="40">
        <v>13994</v>
      </c>
      <c r="C302" s="41" t="s">
        <v>579</v>
      </c>
      <c r="D302" s="30" t="e">
        <f>VLOOKUP(Table13[[#This Row],[kbli5]],Table1[[#All],[kbli5]:[digital_hijau]],3,)</f>
        <v>#N/A</v>
      </c>
      <c r="E302" s="53" t="e">
        <f>VLOOKUP(Table13[[#This Row],[kbli5]],kata_kunci!$B:$H,4,FALSE)</f>
        <v>#N/A</v>
      </c>
      <c r="F302" s="53" t="e">
        <f>VLOOKUP(Table13[[#This Row],[kbli5]],Table1[[#All],[kbli5]:[digital_hijau]],5,)</f>
        <v>#N/A</v>
      </c>
      <c r="G302" s="53" t="e">
        <f>VLOOKUP(Table13[[#This Row],[kbli5]],Table1[[#All],[kbli5]:[digital_hijau]],6,)</f>
        <v>#N/A</v>
      </c>
      <c r="H302" s="54" t="e">
        <f>VLOOKUP(Table13[[#This Row],[kbli5]],kata_kunci!$B:$H,3,FALSE)</f>
        <v>#N/A</v>
      </c>
      <c r="I302" s="84" t="e">
        <f>VLOOKUP(Table13[[#This Row],[kbli5]],kata_kunci!$B:$H,5,FALSE)</f>
        <v>#N/A</v>
      </c>
      <c r="J302" s="84" t="e">
        <f>VLOOKUP(Table13[[#This Row],[kbli5]],kata_kunci!$B:$H,6,FALSE)</f>
        <v>#N/A</v>
      </c>
      <c r="K302" s="84" t="e">
        <f>VLOOKUP(Table13[[#This Row],[kbli5]],kata_kunci!$B:$H,7,FALSE)</f>
        <v>#N/A</v>
      </c>
    </row>
    <row r="303" spans="1:11" ht="15.75" thickBot="1" x14ac:dyDescent="0.3">
      <c r="A303" s="53" t="s">
        <v>450</v>
      </c>
      <c r="B303" s="40">
        <v>13995</v>
      </c>
      <c r="C303" s="41" t="s">
        <v>580</v>
      </c>
      <c r="D303" s="30" t="e">
        <f>VLOOKUP(Table13[[#This Row],[kbli5]],Table1[[#All],[kbli5]:[digital_hijau]],3,)</f>
        <v>#N/A</v>
      </c>
      <c r="E303" s="53" t="e">
        <f>VLOOKUP(Table13[[#This Row],[kbli5]],kata_kunci!$B:$H,4,FALSE)</f>
        <v>#N/A</v>
      </c>
      <c r="F303" s="53" t="e">
        <f>VLOOKUP(Table13[[#This Row],[kbli5]],Table1[[#All],[kbli5]:[digital_hijau]],5,)</f>
        <v>#N/A</v>
      </c>
      <c r="G303" s="53" t="e">
        <f>VLOOKUP(Table13[[#This Row],[kbli5]],Table1[[#All],[kbli5]:[digital_hijau]],6,)</f>
        <v>#N/A</v>
      </c>
      <c r="H303" s="54" t="e">
        <f>VLOOKUP(Table13[[#This Row],[kbli5]],kata_kunci!$B:$H,3,FALSE)</f>
        <v>#N/A</v>
      </c>
      <c r="I303" s="84" t="e">
        <f>VLOOKUP(Table13[[#This Row],[kbli5]],kata_kunci!$B:$H,5,FALSE)</f>
        <v>#N/A</v>
      </c>
      <c r="J303" s="84" t="e">
        <f>VLOOKUP(Table13[[#This Row],[kbli5]],kata_kunci!$B:$H,6,FALSE)</f>
        <v>#N/A</v>
      </c>
      <c r="K303" s="84" t="e">
        <f>VLOOKUP(Table13[[#This Row],[kbli5]],kata_kunci!$B:$H,7,FALSE)</f>
        <v>#N/A</v>
      </c>
    </row>
    <row r="304" spans="1:11" ht="30.75" thickBot="1" x14ac:dyDescent="0.3">
      <c r="A304" s="53" t="s">
        <v>450</v>
      </c>
      <c r="B304" s="40">
        <v>13996</v>
      </c>
      <c r="C304" s="41" t="s">
        <v>581</v>
      </c>
      <c r="D304" s="30" t="e">
        <f>VLOOKUP(Table13[[#This Row],[kbli5]],Table1[[#All],[kbli5]:[digital_hijau]],3,)</f>
        <v>#N/A</v>
      </c>
      <c r="E304" s="53" t="e">
        <f>VLOOKUP(Table13[[#This Row],[kbli5]],kata_kunci!$B:$H,4,FALSE)</f>
        <v>#N/A</v>
      </c>
      <c r="F304" s="53" t="e">
        <f>VLOOKUP(Table13[[#This Row],[kbli5]],Table1[[#All],[kbli5]:[digital_hijau]],5,)</f>
        <v>#N/A</v>
      </c>
      <c r="G304" s="53" t="e">
        <f>VLOOKUP(Table13[[#This Row],[kbli5]],Table1[[#All],[kbli5]:[digital_hijau]],6,)</f>
        <v>#N/A</v>
      </c>
      <c r="H304" s="54" t="e">
        <f>VLOOKUP(Table13[[#This Row],[kbli5]],kata_kunci!$B:$H,3,FALSE)</f>
        <v>#N/A</v>
      </c>
      <c r="I304" s="84" t="e">
        <f>VLOOKUP(Table13[[#This Row],[kbli5]],kata_kunci!$B:$H,5,FALSE)</f>
        <v>#N/A</v>
      </c>
      <c r="J304" s="84" t="e">
        <f>VLOOKUP(Table13[[#This Row],[kbli5]],kata_kunci!$B:$H,6,FALSE)</f>
        <v>#N/A</v>
      </c>
      <c r="K304" s="84" t="e">
        <f>VLOOKUP(Table13[[#This Row],[kbli5]],kata_kunci!$B:$H,7,FALSE)</f>
        <v>#N/A</v>
      </c>
    </row>
    <row r="305" spans="1:11" ht="30.75" thickBot="1" x14ac:dyDescent="0.3">
      <c r="A305" s="53" t="s">
        <v>450</v>
      </c>
      <c r="B305" s="40">
        <v>13999</v>
      </c>
      <c r="C305" s="41" t="s">
        <v>582</v>
      </c>
      <c r="D305" s="30" t="e">
        <f>VLOOKUP(Table13[[#This Row],[kbli5]],Table1[[#All],[kbli5]:[digital_hijau]],3,)</f>
        <v>#N/A</v>
      </c>
      <c r="E305" s="53" t="e">
        <f>VLOOKUP(Table13[[#This Row],[kbli5]],kata_kunci!$B:$H,4,FALSE)</f>
        <v>#N/A</v>
      </c>
      <c r="F305" s="53" t="e">
        <f>VLOOKUP(Table13[[#This Row],[kbli5]],Table1[[#All],[kbli5]:[digital_hijau]],5,)</f>
        <v>#N/A</v>
      </c>
      <c r="G305" s="53" t="e">
        <f>VLOOKUP(Table13[[#This Row],[kbli5]],Table1[[#All],[kbli5]:[digital_hijau]],6,)</f>
        <v>#N/A</v>
      </c>
      <c r="H305" s="54" t="e">
        <f>VLOOKUP(Table13[[#This Row],[kbli5]],kata_kunci!$B:$H,3,FALSE)</f>
        <v>#N/A</v>
      </c>
      <c r="I305" s="84" t="e">
        <f>VLOOKUP(Table13[[#This Row],[kbli5]],kata_kunci!$B:$H,5,FALSE)</f>
        <v>#N/A</v>
      </c>
      <c r="J305" s="84" t="e">
        <f>VLOOKUP(Table13[[#This Row],[kbli5]],kata_kunci!$B:$H,6,FALSE)</f>
        <v>#N/A</v>
      </c>
      <c r="K305" s="84" t="e">
        <f>VLOOKUP(Table13[[#This Row],[kbli5]],kata_kunci!$B:$H,7,FALSE)</f>
        <v>#N/A</v>
      </c>
    </row>
    <row r="306" spans="1:11" ht="30.75" thickBot="1" x14ac:dyDescent="0.3">
      <c r="A306" s="53" t="s">
        <v>450</v>
      </c>
      <c r="B306" s="40">
        <v>14111</v>
      </c>
      <c r="C306" s="41" t="s">
        <v>583</v>
      </c>
      <c r="D306" s="30" t="e">
        <f>VLOOKUP(Table13[[#This Row],[kbli5]],Table1[[#All],[kbli5]:[digital_hijau]],3,)</f>
        <v>#N/A</v>
      </c>
      <c r="E306" s="53" t="e">
        <f>VLOOKUP(Table13[[#This Row],[kbli5]],kata_kunci!$B:$H,4,FALSE)</f>
        <v>#N/A</v>
      </c>
      <c r="F306" s="53" t="e">
        <f>VLOOKUP(Table13[[#This Row],[kbli5]],Table1[[#All],[kbli5]:[digital_hijau]],5,)</f>
        <v>#N/A</v>
      </c>
      <c r="G306" s="53" t="e">
        <f>VLOOKUP(Table13[[#This Row],[kbli5]],Table1[[#All],[kbli5]:[digital_hijau]],6,)</f>
        <v>#N/A</v>
      </c>
      <c r="H306" s="54" t="e">
        <f>VLOOKUP(Table13[[#This Row],[kbli5]],kata_kunci!$B:$H,3,FALSE)</f>
        <v>#N/A</v>
      </c>
      <c r="I306" s="84" t="e">
        <f>VLOOKUP(Table13[[#This Row],[kbli5]],kata_kunci!$B:$H,5,FALSE)</f>
        <v>#N/A</v>
      </c>
      <c r="J306" s="84" t="e">
        <f>VLOOKUP(Table13[[#This Row],[kbli5]],kata_kunci!$B:$H,6,FALSE)</f>
        <v>#N/A</v>
      </c>
      <c r="K306" s="84" t="e">
        <f>VLOOKUP(Table13[[#This Row],[kbli5]],kata_kunci!$B:$H,7,FALSE)</f>
        <v>#N/A</v>
      </c>
    </row>
    <row r="307" spans="1:11" ht="45.75" thickBot="1" x14ac:dyDescent="0.3">
      <c r="A307" s="53" t="s">
        <v>450</v>
      </c>
      <c r="B307" s="40">
        <v>14112</v>
      </c>
      <c r="C307" s="41" t="s">
        <v>584</v>
      </c>
      <c r="D307" s="30" t="e">
        <f>VLOOKUP(Table13[[#This Row],[kbli5]],Table1[[#All],[kbli5]:[digital_hijau]],3,)</f>
        <v>#N/A</v>
      </c>
      <c r="E307" s="53" t="e">
        <f>VLOOKUP(Table13[[#This Row],[kbli5]],kata_kunci!$B:$H,4,FALSE)</f>
        <v>#N/A</v>
      </c>
      <c r="F307" s="53" t="e">
        <f>VLOOKUP(Table13[[#This Row],[kbli5]],Table1[[#All],[kbli5]:[digital_hijau]],5,)</f>
        <v>#N/A</v>
      </c>
      <c r="G307" s="53" t="e">
        <f>VLOOKUP(Table13[[#This Row],[kbli5]],Table1[[#All],[kbli5]:[digital_hijau]],6,)</f>
        <v>#N/A</v>
      </c>
      <c r="H307" s="54" t="e">
        <f>VLOOKUP(Table13[[#This Row],[kbli5]],kata_kunci!$B:$H,3,FALSE)</f>
        <v>#N/A</v>
      </c>
      <c r="I307" s="84" t="e">
        <f>VLOOKUP(Table13[[#This Row],[kbli5]],kata_kunci!$B:$H,5,FALSE)</f>
        <v>#N/A</v>
      </c>
      <c r="J307" s="84" t="e">
        <f>VLOOKUP(Table13[[#This Row],[kbli5]],kata_kunci!$B:$H,6,FALSE)</f>
        <v>#N/A</v>
      </c>
      <c r="K307" s="84" t="e">
        <f>VLOOKUP(Table13[[#This Row],[kbli5]],kata_kunci!$B:$H,7,FALSE)</f>
        <v>#N/A</v>
      </c>
    </row>
    <row r="308" spans="1:11" ht="45.75" thickBot="1" x14ac:dyDescent="0.3">
      <c r="A308" s="53" t="s">
        <v>450</v>
      </c>
      <c r="B308" s="40">
        <v>14120</v>
      </c>
      <c r="C308" s="41" t="s">
        <v>585</v>
      </c>
      <c r="D308" s="30" t="e">
        <f>VLOOKUP(Table13[[#This Row],[kbli5]],Table1[[#All],[kbli5]:[digital_hijau]],3,)</f>
        <v>#N/A</v>
      </c>
      <c r="E308" s="53" t="e">
        <f>VLOOKUP(Table13[[#This Row],[kbli5]],kata_kunci!$B:$H,4,FALSE)</f>
        <v>#N/A</v>
      </c>
      <c r="F308" s="53" t="e">
        <f>VLOOKUP(Table13[[#This Row],[kbli5]],Table1[[#All],[kbli5]:[digital_hijau]],5,)</f>
        <v>#N/A</v>
      </c>
      <c r="G308" s="53" t="e">
        <f>VLOOKUP(Table13[[#This Row],[kbli5]],Table1[[#All],[kbli5]:[digital_hijau]],6,)</f>
        <v>#N/A</v>
      </c>
      <c r="H308" s="54" t="e">
        <f>VLOOKUP(Table13[[#This Row],[kbli5]],kata_kunci!$B:$H,3,FALSE)</f>
        <v>#N/A</v>
      </c>
      <c r="I308" s="84" t="e">
        <f>VLOOKUP(Table13[[#This Row],[kbli5]],kata_kunci!$B:$H,5,FALSE)</f>
        <v>#N/A</v>
      </c>
      <c r="J308" s="84" t="e">
        <f>VLOOKUP(Table13[[#This Row],[kbli5]],kata_kunci!$B:$H,6,FALSE)</f>
        <v>#N/A</v>
      </c>
      <c r="K308" s="84" t="e">
        <f>VLOOKUP(Table13[[#This Row],[kbli5]],kata_kunci!$B:$H,7,FALSE)</f>
        <v>#N/A</v>
      </c>
    </row>
    <row r="309" spans="1:11" ht="30.75" thickBot="1" x14ac:dyDescent="0.3">
      <c r="A309" s="53" t="s">
        <v>450</v>
      </c>
      <c r="B309" s="40">
        <v>14131</v>
      </c>
      <c r="C309" s="41" t="s">
        <v>586</v>
      </c>
      <c r="D309" s="30" t="e">
        <f>VLOOKUP(Table13[[#This Row],[kbli5]],Table1[[#All],[kbli5]:[digital_hijau]],3,)</f>
        <v>#N/A</v>
      </c>
      <c r="E309" s="53" t="e">
        <f>VLOOKUP(Table13[[#This Row],[kbli5]],kata_kunci!$B:$H,4,FALSE)</f>
        <v>#N/A</v>
      </c>
      <c r="F309" s="53" t="e">
        <f>VLOOKUP(Table13[[#This Row],[kbli5]],Table1[[#All],[kbli5]:[digital_hijau]],5,)</f>
        <v>#N/A</v>
      </c>
      <c r="G309" s="53" t="e">
        <f>VLOOKUP(Table13[[#This Row],[kbli5]],Table1[[#All],[kbli5]:[digital_hijau]],6,)</f>
        <v>#N/A</v>
      </c>
      <c r="H309" s="54" t="e">
        <f>VLOOKUP(Table13[[#This Row],[kbli5]],kata_kunci!$B:$H,3,FALSE)</f>
        <v>#N/A</v>
      </c>
      <c r="I309" s="84" t="e">
        <f>VLOOKUP(Table13[[#This Row],[kbli5]],kata_kunci!$B:$H,5,FALSE)</f>
        <v>#N/A</v>
      </c>
      <c r="J309" s="84" t="e">
        <f>VLOOKUP(Table13[[#This Row],[kbli5]],kata_kunci!$B:$H,6,FALSE)</f>
        <v>#N/A</v>
      </c>
      <c r="K309" s="84" t="e">
        <f>VLOOKUP(Table13[[#This Row],[kbli5]],kata_kunci!$B:$H,7,FALSE)</f>
        <v>#N/A</v>
      </c>
    </row>
    <row r="310" spans="1:11" ht="45.75" thickBot="1" x14ac:dyDescent="0.3">
      <c r="A310" s="53" t="s">
        <v>450</v>
      </c>
      <c r="B310" s="40">
        <v>14132</v>
      </c>
      <c r="C310" s="41" t="s">
        <v>587</v>
      </c>
      <c r="D310" s="30" t="e">
        <f>VLOOKUP(Table13[[#This Row],[kbli5]],Table1[[#All],[kbli5]:[digital_hijau]],3,)</f>
        <v>#N/A</v>
      </c>
      <c r="E310" s="53" t="e">
        <f>VLOOKUP(Table13[[#This Row],[kbli5]],kata_kunci!$B:$H,4,FALSE)</f>
        <v>#N/A</v>
      </c>
      <c r="F310" s="53" t="e">
        <f>VLOOKUP(Table13[[#This Row],[kbli5]],Table1[[#All],[kbli5]:[digital_hijau]],5,)</f>
        <v>#N/A</v>
      </c>
      <c r="G310" s="53" t="e">
        <f>VLOOKUP(Table13[[#This Row],[kbli5]],Table1[[#All],[kbli5]:[digital_hijau]],6,)</f>
        <v>#N/A</v>
      </c>
      <c r="H310" s="54" t="e">
        <f>VLOOKUP(Table13[[#This Row],[kbli5]],kata_kunci!$B:$H,3,FALSE)</f>
        <v>#N/A</v>
      </c>
      <c r="I310" s="84" t="e">
        <f>VLOOKUP(Table13[[#This Row],[kbli5]],kata_kunci!$B:$H,5,FALSE)</f>
        <v>#N/A</v>
      </c>
      <c r="J310" s="84" t="e">
        <f>VLOOKUP(Table13[[#This Row],[kbli5]],kata_kunci!$B:$H,6,FALSE)</f>
        <v>#N/A</v>
      </c>
      <c r="K310" s="84" t="e">
        <f>VLOOKUP(Table13[[#This Row],[kbli5]],kata_kunci!$B:$H,7,FALSE)</f>
        <v>#N/A</v>
      </c>
    </row>
    <row r="311" spans="1:11" ht="30.75" thickBot="1" x14ac:dyDescent="0.3">
      <c r="A311" s="53" t="s">
        <v>450</v>
      </c>
      <c r="B311" s="40">
        <v>14200</v>
      </c>
      <c r="C311" s="41" t="s">
        <v>588</v>
      </c>
      <c r="D311" s="30" t="e">
        <f>VLOOKUP(Table13[[#This Row],[kbli5]],Table1[[#All],[kbli5]:[digital_hijau]],3,)</f>
        <v>#N/A</v>
      </c>
      <c r="E311" s="53" t="e">
        <f>VLOOKUP(Table13[[#This Row],[kbli5]],kata_kunci!$B:$H,4,FALSE)</f>
        <v>#N/A</v>
      </c>
      <c r="F311" s="53" t="e">
        <f>VLOOKUP(Table13[[#This Row],[kbli5]],Table1[[#All],[kbli5]:[digital_hijau]],5,)</f>
        <v>#N/A</v>
      </c>
      <c r="G311" s="53" t="e">
        <f>VLOOKUP(Table13[[#This Row],[kbli5]],Table1[[#All],[kbli5]:[digital_hijau]],6,)</f>
        <v>#N/A</v>
      </c>
      <c r="H311" s="54" t="e">
        <f>VLOOKUP(Table13[[#This Row],[kbli5]],kata_kunci!$B:$H,3,FALSE)</f>
        <v>#N/A</v>
      </c>
      <c r="I311" s="84" t="e">
        <f>VLOOKUP(Table13[[#This Row],[kbli5]],kata_kunci!$B:$H,5,FALSE)</f>
        <v>#N/A</v>
      </c>
      <c r="J311" s="84" t="e">
        <f>VLOOKUP(Table13[[#This Row],[kbli5]],kata_kunci!$B:$H,6,FALSE)</f>
        <v>#N/A</v>
      </c>
      <c r="K311" s="84" t="e">
        <f>VLOOKUP(Table13[[#This Row],[kbli5]],kata_kunci!$B:$H,7,FALSE)</f>
        <v>#N/A</v>
      </c>
    </row>
    <row r="312" spans="1:11" ht="45.75" thickBot="1" x14ac:dyDescent="0.3">
      <c r="A312" s="53" t="s">
        <v>450</v>
      </c>
      <c r="B312" s="40">
        <v>14301</v>
      </c>
      <c r="C312" s="41" t="s">
        <v>589</v>
      </c>
      <c r="D312" s="30" t="e">
        <f>VLOOKUP(Table13[[#This Row],[kbli5]],Table1[[#All],[kbli5]:[digital_hijau]],3,)</f>
        <v>#N/A</v>
      </c>
      <c r="E312" s="53" t="e">
        <f>VLOOKUP(Table13[[#This Row],[kbli5]],kata_kunci!$B:$H,4,FALSE)</f>
        <v>#N/A</v>
      </c>
      <c r="F312" s="53" t="e">
        <f>VLOOKUP(Table13[[#This Row],[kbli5]],Table1[[#All],[kbli5]:[digital_hijau]],5,)</f>
        <v>#N/A</v>
      </c>
      <c r="G312" s="53" t="e">
        <f>VLOOKUP(Table13[[#This Row],[kbli5]],Table1[[#All],[kbli5]:[digital_hijau]],6,)</f>
        <v>#N/A</v>
      </c>
      <c r="H312" s="54" t="e">
        <f>VLOOKUP(Table13[[#This Row],[kbli5]],kata_kunci!$B:$H,3,FALSE)</f>
        <v>#N/A</v>
      </c>
      <c r="I312" s="84" t="e">
        <f>VLOOKUP(Table13[[#This Row],[kbli5]],kata_kunci!$B:$H,5,FALSE)</f>
        <v>#N/A</v>
      </c>
      <c r="J312" s="84" t="e">
        <f>VLOOKUP(Table13[[#This Row],[kbli5]],kata_kunci!$B:$H,6,FALSE)</f>
        <v>#N/A</v>
      </c>
      <c r="K312" s="84" t="e">
        <f>VLOOKUP(Table13[[#This Row],[kbli5]],kata_kunci!$B:$H,7,FALSE)</f>
        <v>#N/A</v>
      </c>
    </row>
    <row r="313" spans="1:11" ht="30.75" thickBot="1" x14ac:dyDescent="0.3">
      <c r="A313" s="53" t="s">
        <v>450</v>
      </c>
      <c r="B313" s="40">
        <v>14302</v>
      </c>
      <c r="C313" s="41" t="s">
        <v>590</v>
      </c>
      <c r="D313" s="30" t="e">
        <f>VLOOKUP(Table13[[#This Row],[kbli5]],Table1[[#All],[kbli5]:[digital_hijau]],3,)</f>
        <v>#N/A</v>
      </c>
      <c r="E313" s="53" t="e">
        <f>VLOOKUP(Table13[[#This Row],[kbli5]],kata_kunci!$B:$H,4,FALSE)</f>
        <v>#N/A</v>
      </c>
      <c r="F313" s="53" t="e">
        <f>VLOOKUP(Table13[[#This Row],[kbli5]],Table1[[#All],[kbli5]:[digital_hijau]],5,)</f>
        <v>#N/A</v>
      </c>
      <c r="G313" s="53" t="e">
        <f>VLOOKUP(Table13[[#This Row],[kbli5]],Table1[[#All],[kbli5]:[digital_hijau]],6,)</f>
        <v>#N/A</v>
      </c>
      <c r="H313" s="54" t="e">
        <f>VLOOKUP(Table13[[#This Row],[kbli5]],kata_kunci!$B:$H,3,FALSE)</f>
        <v>#N/A</v>
      </c>
      <c r="I313" s="84" t="e">
        <f>VLOOKUP(Table13[[#This Row],[kbli5]],kata_kunci!$B:$H,5,FALSE)</f>
        <v>#N/A</v>
      </c>
      <c r="J313" s="84" t="e">
        <f>VLOOKUP(Table13[[#This Row],[kbli5]],kata_kunci!$B:$H,6,FALSE)</f>
        <v>#N/A</v>
      </c>
      <c r="K313" s="84" t="e">
        <f>VLOOKUP(Table13[[#This Row],[kbli5]],kata_kunci!$B:$H,7,FALSE)</f>
        <v>#N/A</v>
      </c>
    </row>
    <row r="314" spans="1:11" ht="15.75" thickBot="1" x14ac:dyDescent="0.3">
      <c r="A314" s="53" t="s">
        <v>450</v>
      </c>
      <c r="B314" s="40">
        <v>15111</v>
      </c>
      <c r="C314" s="41" t="s">
        <v>591</v>
      </c>
      <c r="D314" s="30" t="e">
        <f>VLOOKUP(Table13[[#This Row],[kbli5]],Table1[[#All],[kbli5]:[digital_hijau]],3,)</f>
        <v>#N/A</v>
      </c>
      <c r="E314" s="53" t="e">
        <f>VLOOKUP(Table13[[#This Row],[kbli5]],kata_kunci!$B:$H,4,FALSE)</f>
        <v>#N/A</v>
      </c>
      <c r="F314" s="53" t="e">
        <f>VLOOKUP(Table13[[#This Row],[kbli5]],Table1[[#All],[kbli5]:[digital_hijau]],5,)</f>
        <v>#N/A</v>
      </c>
      <c r="G314" s="53" t="e">
        <f>VLOOKUP(Table13[[#This Row],[kbli5]],Table1[[#All],[kbli5]:[digital_hijau]],6,)</f>
        <v>#N/A</v>
      </c>
      <c r="H314" s="54" t="e">
        <f>VLOOKUP(Table13[[#This Row],[kbli5]],kata_kunci!$B:$H,3,FALSE)</f>
        <v>#N/A</v>
      </c>
      <c r="I314" s="84" t="e">
        <f>VLOOKUP(Table13[[#This Row],[kbli5]],kata_kunci!$B:$H,5,FALSE)</f>
        <v>#N/A</v>
      </c>
      <c r="J314" s="84" t="e">
        <f>VLOOKUP(Table13[[#This Row],[kbli5]],kata_kunci!$B:$H,6,FALSE)</f>
        <v>#N/A</v>
      </c>
      <c r="K314" s="84" t="e">
        <f>VLOOKUP(Table13[[#This Row],[kbli5]],kata_kunci!$B:$H,7,FALSE)</f>
        <v>#N/A</v>
      </c>
    </row>
    <row r="315" spans="1:11" ht="15.75" thickBot="1" x14ac:dyDescent="0.3">
      <c r="A315" s="53" t="s">
        <v>450</v>
      </c>
      <c r="B315" s="40">
        <v>15112</v>
      </c>
      <c r="C315" s="41" t="s">
        <v>592</v>
      </c>
      <c r="D315" s="30" t="e">
        <f>VLOOKUP(Table13[[#This Row],[kbli5]],Table1[[#All],[kbli5]:[digital_hijau]],3,)</f>
        <v>#N/A</v>
      </c>
      <c r="E315" s="53" t="e">
        <f>VLOOKUP(Table13[[#This Row],[kbli5]],kata_kunci!$B:$H,4,FALSE)</f>
        <v>#N/A</v>
      </c>
      <c r="F315" s="53" t="e">
        <f>VLOOKUP(Table13[[#This Row],[kbli5]],Table1[[#All],[kbli5]:[digital_hijau]],5,)</f>
        <v>#N/A</v>
      </c>
      <c r="G315" s="53" t="e">
        <f>VLOOKUP(Table13[[#This Row],[kbli5]],Table1[[#All],[kbli5]:[digital_hijau]],6,)</f>
        <v>#N/A</v>
      </c>
      <c r="H315" s="54" t="e">
        <f>VLOOKUP(Table13[[#This Row],[kbli5]],kata_kunci!$B:$H,3,FALSE)</f>
        <v>#N/A</v>
      </c>
      <c r="I315" s="84" t="e">
        <f>VLOOKUP(Table13[[#This Row],[kbli5]],kata_kunci!$B:$H,5,FALSE)</f>
        <v>#N/A</v>
      </c>
      <c r="J315" s="84" t="e">
        <f>VLOOKUP(Table13[[#This Row],[kbli5]],kata_kunci!$B:$H,6,FALSE)</f>
        <v>#N/A</v>
      </c>
      <c r="K315" s="84" t="e">
        <f>VLOOKUP(Table13[[#This Row],[kbli5]],kata_kunci!$B:$H,7,FALSE)</f>
        <v>#N/A</v>
      </c>
    </row>
    <row r="316" spans="1:11" ht="30.75" thickBot="1" x14ac:dyDescent="0.3">
      <c r="A316" s="53" t="s">
        <v>450</v>
      </c>
      <c r="B316" s="40">
        <v>15113</v>
      </c>
      <c r="C316" s="41" t="s">
        <v>593</v>
      </c>
      <c r="D316" s="30" t="e">
        <f>VLOOKUP(Table13[[#This Row],[kbli5]],Table1[[#All],[kbli5]:[digital_hijau]],3,)</f>
        <v>#N/A</v>
      </c>
      <c r="E316" s="53" t="e">
        <f>VLOOKUP(Table13[[#This Row],[kbli5]],kata_kunci!$B:$H,4,FALSE)</f>
        <v>#N/A</v>
      </c>
      <c r="F316" s="53" t="e">
        <f>VLOOKUP(Table13[[#This Row],[kbli5]],Table1[[#All],[kbli5]:[digital_hijau]],5,)</f>
        <v>#N/A</v>
      </c>
      <c r="G316" s="53" t="e">
        <f>VLOOKUP(Table13[[#This Row],[kbli5]],Table1[[#All],[kbli5]:[digital_hijau]],6,)</f>
        <v>#N/A</v>
      </c>
      <c r="H316" s="54" t="e">
        <f>VLOOKUP(Table13[[#This Row],[kbli5]],kata_kunci!$B:$H,3,FALSE)</f>
        <v>#N/A</v>
      </c>
      <c r="I316" s="84" t="e">
        <f>VLOOKUP(Table13[[#This Row],[kbli5]],kata_kunci!$B:$H,5,FALSE)</f>
        <v>#N/A</v>
      </c>
      <c r="J316" s="84" t="e">
        <f>VLOOKUP(Table13[[#This Row],[kbli5]],kata_kunci!$B:$H,6,FALSE)</f>
        <v>#N/A</v>
      </c>
      <c r="K316" s="84" t="e">
        <f>VLOOKUP(Table13[[#This Row],[kbli5]],kata_kunci!$B:$H,7,FALSE)</f>
        <v>#N/A</v>
      </c>
    </row>
    <row r="317" spans="1:11" ht="15.75" thickBot="1" x14ac:dyDescent="0.3">
      <c r="A317" s="53" t="s">
        <v>450</v>
      </c>
      <c r="B317" s="40">
        <v>15114</v>
      </c>
      <c r="C317" s="41" t="s">
        <v>594</v>
      </c>
      <c r="D317" s="30" t="e">
        <f>VLOOKUP(Table13[[#This Row],[kbli5]],Table1[[#All],[kbli5]:[digital_hijau]],3,)</f>
        <v>#N/A</v>
      </c>
      <c r="E317" s="53" t="e">
        <f>VLOOKUP(Table13[[#This Row],[kbli5]],kata_kunci!$B:$H,4,FALSE)</f>
        <v>#N/A</v>
      </c>
      <c r="F317" s="53" t="e">
        <f>VLOOKUP(Table13[[#This Row],[kbli5]],Table1[[#All],[kbli5]:[digital_hijau]],5,)</f>
        <v>#N/A</v>
      </c>
      <c r="G317" s="53" t="e">
        <f>VLOOKUP(Table13[[#This Row],[kbli5]],Table1[[#All],[kbli5]:[digital_hijau]],6,)</f>
        <v>#N/A</v>
      </c>
      <c r="H317" s="54" t="e">
        <f>VLOOKUP(Table13[[#This Row],[kbli5]],kata_kunci!$B:$H,3,FALSE)</f>
        <v>#N/A</v>
      </c>
      <c r="I317" s="84" t="e">
        <f>VLOOKUP(Table13[[#This Row],[kbli5]],kata_kunci!$B:$H,5,FALSE)</f>
        <v>#N/A</v>
      </c>
      <c r="J317" s="84" t="e">
        <f>VLOOKUP(Table13[[#This Row],[kbli5]],kata_kunci!$B:$H,6,FALSE)</f>
        <v>#N/A</v>
      </c>
      <c r="K317" s="84" t="e">
        <f>VLOOKUP(Table13[[#This Row],[kbli5]],kata_kunci!$B:$H,7,FALSE)</f>
        <v>#N/A</v>
      </c>
    </row>
    <row r="318" spans="1:11" ht="30.75" thickBot="1" x14ac:dyDescent="0.3">
      <c r="A318" s="53" t="s">
        <v>450</v>
      </c>
      <c r="B318" s="40">
        <v>15121</v>
      </c>
      <c r="C318" s="41" t="s">
        <v>595</v>
      </c>
      <c r="D318" s="30" t="e">
        <f>VLOOKUP(Table13[[#This Row],[kbli5]],Table1[[#All],[kbli5]:[digital_hijau]],3,)</f>
        <v>#N/A</v>
      </c>
      <c r="E318" s="53" t="e">
        <f>VLOOKUP(Table13[[#This Row],[kbli5]],kata_kunci!$B:$H,4,FALSE)</f>
        <v>#N/A</v>
      </c>
      <c r="F318" s="53" t="e">
        <f>VLOOKUP(Table13[[#This Row],[kbli5]],Table1[[#All],[kbli5]:[digital_hijau]],5,)</f>
        <v>#N/A</v>
      </c>
      <c r="G318" s="53" t="e">
        <f>VLOOKUP(Table13[[#This Row],[kbli5]],Table1[[#All],[kbli5]:[digital_hijau]],6,)</f>
        <v>#N/A</v>
      </c>
      <c r="H318" s="54" t="e">
        <f>VLOOKUP(Table13[[#This Row],[kbli5]],kata_kunci!$B:$H,3,FALSE)</f>
        <v>#N/A</v>
      </c>
      <c r="I318" s="84" t="e">
        <f>VLOOKUP(Table13[[#This Row],[kbli5]],kata_kunci!$B:$H,5,FALSE)</f>
        <v>#N/A</v>
      </c>
      <c r="J318" s="84" t="e">
        <f>VLOOKUP(Table13[[#This Row],[kbli5]],kata_kunci!$B:$H,6,FALSE)</f>
        <v>#N/A</v>
      </c>
      <c r="K318" s="84" t="e">
        <f>VLOOKUP(Table13[[#This Row],[kbli5]],kata_kunci!$B:$H,7,FALSE)</f>
        <v>#N/A</v>
      </c>
    </row>
    <row r="319" spans="1:11" ht="45.75" thickBot="1" x14ac:dyDescent="0.3">
      <c r="A319" s="53" t="s">
        <v>450</v>
      </c>
      <c r="B319" s="40">
        <v>15122</v>
      </c>
      <c r="C319" s="41" t="s">
        <v>596</v>
      </c>
      <c r="D319" s="30" t="e">
        <f>VLOOKUP(Table13[[#This Row],[kbli5]],Table1[[#All],[kbli5]:[digital_hijau]],3,)</f>
        <v>#N/A</v>
      </c>
      <c r="E319" s="53" t="e">
        <f>VLOOKUP(Table13[[#This Row],[kbli5]],kata_kunci!$B:$H,4,FALSE)</f>
        <v>#N/A</v>
      </c>
      <c r="F319" s="53" t="e">
        <f>VLOOKUP(Table13[[#This Row],[kbli5]],Table1[[#All],[kbli5]:[digital_hijau]],5,)</f>
        <v>#N/A</v>
      </c>
      <c r="G319" s="53" t="e">
        <f>VLOOKUP(Table13[[#This Row],[kbli5]],Table1[[#All],[kbli5]:[digital_hijau]],6,)</f>
        <v>#N/A</v>
      </c>
      <c r="H319" s="54" t="e">
        <f>VLOOKUP(Table13[[#This Row],[kbli5]],kata_kunci!$B:$H,3,FALSE)</f>
        <v>#N/A</v>
      </c>
      <c r="I319" s="84" t="e">
        <f>VLOOKUP(Table13[[#This Row],[kbli5]],kata_kunci!$B:$H,5,FALSE)</f>
        <v>#N/A</v>
      </c>
      <c r="J319" s="84" t="e">
        <f>VLOOKUP(Table13[[#This Row],[kbli5]],kata_kunci!$B:$H,6,FALSE)</f>
        <v>#N/A</v>
      </c>
      <c r="K319" s="84" t="e">
        <f>VLOOKUP(Table13[[#This Row],[kbli5]],kata_kunci!$B:$H,7,FALSE)</f>
        <v>#N/A</v>
      </c>
    </row>
    <row r="320" spans="1:11" ht="45.75" thickBot="1" x14ac:dyDescent="0.3">
      <c r="A320" s="53" t="s">
        <v>450</v>
      </c>
      <c r="B320" s="40">
        <v>15129</v>
      </c>
      <c r="C320" s="41" t="s">
        <v>597</v>
      </c>
      <c r="D320" s="30" t="e">
        <f>VLOOKUP(Table13[[#This Row],[kbli5]],Table1[[#All],[kbli5]:[digital_hijau]],3,)</f>
        <v>#N/A</v>
      </c>
      <c r="E320" s="53" t="e">
        <f>VLOOKUP(Table13[[#This Row],[kbli5]],kata_kunci!$B:$H,4,FALSE)</f>
        <v>#N/A</v>
      </c>
      <c r="F320" s="53" t="e">
        <f>VLOOKUP(Table13[[#This Row],[kbli5]],Table1[[#All],[kbli5]:[digital_hijau]],5,)</f>
        <v>#N/A</v>
      </c>
      <c r="G320" s="53" t="e">
        <f>VLOOKUP(Table13[[#This Row],[kbli5]],Table1[[#All],[kbli5]:[digital_hijau]],6,)</f>
        <v>#N/A</v>
      </c>
      <c r="H320" s="54" t="e">
        <f>VLOOKUP(Table13[[#This Row],[kbli5]],kata_kunci!$B:$H,3,FALSE)</f>
        <v>#N/A</v>
      </c>
      <c r="I320" s="84" t="e">
        <f>VLOOKUP(Table13[[#This Row],[kbli5]],kata_kunci!$B:$H,5,FALSE)</f>
        <v>#N/A</v>
      </c>
      <c r="J320" s="84" t="e">
        <f>VLOOKUP(Table13[[#This Row],[kbli5]],kata_kunci!$B:$H,6,FALSE)</f>
        <v>#N/A</v>
      </c>
      <c r="K320" s="84" t="e">
        <f>VLOOKUP(Table13[[#This Row],[kbli5]],kata_kunci!$B:$H,7,FALSE)</f>
        <v>#N/A</v>
      </c>
    </row>
    <row r="321" spans="1:11" ht="30.75" thickBot="1" x14ac:dyDescent="0.3">
      <c r="A321" s="53" t="s">
        <v>450</v>
      </c>
      <c r="B321" s="40">
        <v>15201</v>
      </c>
      <c r="C321" s="41" t="s">
        <v>598</v>
      </c>
      <c r="D321" s="30" t="e">
        <f>VLOOKUP(Table13[[#This Row],[kbli5]],Table1[[#All],[kbli5]:[digital_hijau]],3,)</f>
        <v>#N/A</v>
      </c>
      <c r="E321" s="53" t="e">
        <f>VLOOKUP(Table13[[#This Row],[kbli5]],kata_kunci!$B:$H,4,FALSE)</f>
        <v>#N/A</v>
      </c>
      <c r="F321" s="53" t="e">
        <f>VLOOKUP(Table13[[#This Row],[kbli5]],Table1[[#All],[kbli5]:[digital_hijau]],5,)</f>
        <v>#N/A</v>
      </c>
      <c r="G321" s="53" t="e">
        <f>VLOOKUP(Table13[[#This Row],[kbli5]],Table1[[#All],[kbli5]:[digital_hijau]],6,)</f>
        <v>#N/A</v>
      </c>
      <c r="H321" s="54" t="e">
        <f>VLOOKUP(Table13[[#This Row],[kbli5]],kata_kunci!$B:$H,3,FALSE)</f>
        <v>#N/A</v>
      </c>
      <c r="I321" s="84" t="e">
        <f>VLOOKUP(Table13[[#This Row],[kbli5]],kata_kunci!$B:$H,5,FALSE)</f>
        <v>#N/A</v>
      </c>
      <c r="J321" s="84" t="e">
        <f>VLOOKUP(Table13[[#This Row],[kbli5]],kata_kunci!$B:$H,6,FALSE)</f>
        <v>#N/A</v>
      </c>
      <c r="K321" s="84" t="e">
        <f>VLOOKUP(Table13[[#This Row],[kbli5]],kata_kunci!$B:$H,7,FALSE)</f>
        <v>#N/A</v>
      </c>
    </row>
    <row r="322" spans="1:11" ht="30.75" thickBot="1" x14ac:dyDescent="0.3">
      <c r="A322" s="53" t="s">
        <v>450</v>
      </c>
      <c r="B322" s="40">
        <v>15202</v>
      </c>
      <c r="C322" s="41" t="s">
        <v>599</v>
      </c>
      <c r="D322" s="30" t="e">
        <f>VLOOKUP(Table13[[#This Row],[kbli5]],Table1[[#All],[kbli5]:[digital_hijau]],3,)</f>
        <v>#N/A</v>
      </c>
      <c r="E322" s="53" t="e">
        <f>VLOOKUP(Table13[[#This Row],[kbli5]],kata_kunci!$B:$H,4,FALSE)</f>
        <v>#N/A</v>
      </c>
      <c r="F322" s="53" t="e">
        <f>VLOOKUP(Table13[[#This Row],[kbli5]],Table1[[#All],[kbli5]:[digital_hijau]],5,)</f>
        <v>#N/A</v>
      </c>
      <c r="G322" s="53" t="e">
        <f>VLOOKUP(Table13[[#This Row],[kbli5]],Table1[[#All],[kbli5]:[digital_hijau]],6,)</f>
        <v>#N/A</v>
      </c>
      <c r="H322" s="54" t="e">
        <f>VLOOKUP(Table13[[#This Row],[kbli5]],kata_kunci!$B:$H,3,FALSE)</f>
        <v>#N/A</v>
      </c>
      <c r="I322" s="84" t="e">
        <f>VLOOKUP(Table13[[#This Row],[kbli5]],kata_kunci!$B:$H,5,FALSE)</f>
        <v>#N/A</v>
      </c>
      <c r="J322" s="84" t="e">
        <f>VLOOKUP(Table13[[#This Row],[kbli5]],kata_kunci!$B:$H,6,FALSE)</f>
        <v>#N/A</v>
      </c>
      <c r="K322" s="84" t="e">
        <f>VLOOKUP(Table13[[#This Row],[kbli5]],kata_kunci!$B:$H,7,FALSE)</f>
        <v>#N/A</v>
      </c>
    </row>
    <row r="323" spans="1:11" ht="45.75" thickBot="1" x14ac:dyDescent="0.3">
      <c r="A323" s="53" t="s">
        <v>450</v>
      </c>
      <c r="B323" s="40">
        <v>15203</v>
      </c>
      <c r="C323" s="41" t="s">
        <v>600</v>
      </c>
      <c r="D323" s="30" t="e">
        <f>VLOOKUP(Table13[[#This Row],[kbli5]],Table1[[#All],[kbli5]:[digital_hijau]],3,)</f>
        <v>#N/A</v>
      </c>
      <c r="E323" s="53" t="e">
        <f>VLOOKUP(Table13[[#This Row],[kbli5]],kata_kunci!$B:$H,4,FALSE)</f>
        <v>#N/A</v>
      </c>
      <c r="F323" s="53" t="e">
        <f>VLOOKUP(Table13[[#This Row],[kbli5]],Table1[[#All],[kbli5]:[digital_hijau]],5,)</f>
        <v>#N/A</v>
      </c>
      <c r="G323" s="53" t="e">
        <f>VLOOKUP(Table13[[#This Row],[kbli5]],Table1[[#All],[kbli5]:[digital_hijau]],6,)</f>
        <v>#N/A</v>
      </c>
      <c r="H323" s="54" t="e">
        <f>VLOOKUP(Table13[[#This Row],[kbli5]],kata_kunci!$B:$H,3,FALSE)</f>
        <v>#N/A</v>
      </c>
      <c r="I323" s="84" t="e">
        <f>VLOOKUP(Table13[[#This Row],[kbli5]],kata_kunci!$B:$H,5,FALSE)</f>
        <v>#N/A</v>
      </c>
      <c r="J323" s="84" t="e">
        <f>VLOOKUP(Table13[[#This Row],[kbli5]],kata_kunci!$B:$H,6,FALSE)</f>
        <v>#N/A</v>
      </c>
      <c r="K323" s="84" t="e">
        <f>VLOOKUP(Table13[[#This Row],[kbli5]],kata_kunci!$B:$H,7,FALSE)</f>
        <v>#N/A</v>
      </c>
    </row>
    <row r="324" spans="1:11" ht="30.75" thickBot="1" x14ac:dyDescent="0.3">
      <c r="A324" s="53" t="s">
        <v>450</v>
      </c>
      <c r="B324" s="40">
        <v>15209</v>
      </c>
      <c r="C324" s="41" t="s">
        <v>601</v>
      </c>
      <c r="D324" s="30" t="e">
        <f>VLOOKUP(Table13[[#This Row],[kbli5]],Table1[[#All],[kbli5]:[digital_hijau]],3,)</f>
        <v>#N/A</v>
      </c>
      <c r="E324" s="53" t="e">
        <f>VLOOKUP(Table13[[#This Row],[kbli5]],kata_kunci!$B:$H,4,FALSE)</f>
        <v>#N/A</v>
      </c>
      <c r="F324" s="53" t="e">
        <f>VLOOKUP(Table13[[#This Row],[kbli5]],Table1[[#All],[kbli5]:[digital_hijau]],5,)</f>
        <v>#N/A</v>
      </c>
      <c r="G324" s="53" t="e">
        <f>VLOOKUP(Table13[[#This Row],[kbli5]],Table1[[#All],[kbli5]:[digital_hijau]],6,)</f>
        <v>#N/A</v>
      </c>
      <c r="H324" s="54" t="e">
        <f>VLOOKUP(Table13[[#This Row],[kbli5]],kata_kunci!$B:$H,3,FALSE)</f>
        <v>#N/A</v>
      </c>
      <c r="I324" s="84" t="e">
        <f>VLOOKUP(Table13[[#This Row],[kbli5]],kata_kunci!$B:$H,5,FALSE)</f>
        <v>#N/A</v>
      </c>
      <c r="J324" s="84" t="e">
        <f>VLOOKUP(Table13[[#This Row],[kbli5]],kata_kunci!$B:$H,6,FALSE)</f>
        <v>#N/A</v>
      </c>
      <c r="K324" s="84" t="e">
        <f>VLOOKUP(Table13[[#This Row],[kbli5]],kata_kunci!$B:$H,7,FALSE)</f>
        <v>#N/A</v>
      </c>
    </row>
    <row r="325" spans="1:11" ht="30.75" thickBot="1" x14ac:dyDescent="0.3">
      <c r="A325" s="53" t="s">
        <v>450</v>
      </c>
      <c r="B325" s="40">
        <v>16101</v>
      </c>
      <c r="C325" s="41" t="s">
        <v>602</v>
      </c>
      <c r="D325" s="30" t="e">
        <f>VLOOKUP(Table13[[#This Row],[kbli5]],Table1[[#All],[kbli5]:[digital_hijau]],3,)</f>
        <v>#N/A</v>
      </c>
      <c r="E325" s="53" t="e">
        <f>VLOOKUP(Table13[[#This Row],[kbli5]],kata_kunci!$B:$H,4,FALSE)</f>
        <v>#N/A</v>
      </c>
      <c r="F325" s="53" t="e">
        <f>VLOOKUP(Table13[[#This Row],[kbli5]],Table1[[#All],[kbli5]:[digital_hijau]],5,)</f>
        <v>#N/A</v>
      </c>
      <c r="G325" s="53" t="e">
        <f>VLOOKUP(Table13[[#This Row],[kbli5]],Table1[[#All],[kbli5]:[digital_hijau]],6,)</f>
        <v>#N/A</v>
      </c>
      <c r="H325" s="54" t="e">
        <f>VLOOKUP(Table13[[#This Row],[kbli5]],kata_kunci!$B:$H,3,FALSE)</f>
        <v>#N/A</v>
      </c>
      <c r="I325" s="84" t="e">
        <f>VLOOKUP(Table13[[#This Row],[kbli5]],kata_kunci!$B:$H,5,FALSE)</f>
        <v>#N/A</v>
      </c>
      <c r="J325" s="84" t="e">
        <f>VLOOKUP(Table13[[#This Row],[kbli5]],kata_kunci!$B:$H,6,FALSE)</f>
        <v>#N/A</v>
      </c>
      <c r="K325" s="84" t="e">
        <f>VLOOKUP(Table13[[#This Row],[kbli5]],kata_kunci!$B:$H,7,FALSE)</f>
        <v>#N/A</v>
      </c>
    </row>
    <row r="326" spans="1:11" ht="15.75" thickBot="1" x14ac:dyDescent="0.3">
      <c r="A326" s="53" t="s">
        <v>450</v>
      </c>
      <c r="B326" s="40">
        <v>16102</v>
      </c>
      <c r="C326" s="41" t="s">
        <v>603</v>
      </c>
      <c r="D326" s="30" t="e">
        <f>VLOOKUP(Table13[[#This Row],[kbli5]],Table1[[#All],[kbli5]:[digital_hijau]],3,)</f>
        <v>#N/A</v>
      </c>
      <c r="E326" s="53" t="e">
        <f>VLOOKUP(Table13[[#This Row],[kbli5]],kata_kunci!$B:$H,4,FALSE)</f>
        <v>#N/A</v>
      </c>
      <c r="F326" s="53" t="e">
        <f>VLOOKUP(Table13[[#This Row],[kbli5]],Table1[[#All],[kbli5]:[digital_hijau]],5,)</f>
        <v>#N/A</v>
      </c>
      <c r="G326" s="53" t="e">
        <f>VLOOKUP(Table13[[#This Row],[kbli5]],Table1[[#All],[kbli5]:[digital_hijau]],6,)</f>
        <v>#N/A</v>
      </c>
      <c r="H326" s="54" t="e">
        <f>VLOOKUP(Table13[[#This Row],[kbli5]],kata_kunci!$B:$H,3,FALSE)</f>
        <v>#N/A</v>
      </c>
      <c r="I326" s="84" t="e">
        <f>VLOOKUP(Table13[[#This Row],[kbli5]],kata_kunci!$B:$H,5,FALSE)</f>
        <v>#N/A</v>
      </c>
      <c r="J326" s="84" t="e">
        <f>VLOOKUP(Table13[[#This Row],[kbli5]],kata_kunci!$B:$H,6,FALSE)</f>
        <v>#N/A</v>
      </c>
      <c r="K326" s="84" t="e">
        <f>VLOOKUP(Table13[[#This Row],[kbli5]],kata_kunci!$B:$H,7,FALSE)</f>
        <v>#N/A</v>
      </c>
    </row>
    <row r="327" spans="1:11" ht="30.75" thickBot="1" x14ac:dyDescent="0.3">
      <c r="A327" s="53" t="s">
        <v>450</v>
      </c>
      <c r="B327" s="40">
        <v>16103</v>
      </c>
      <c r="C327" s="41" t="s">
        <v>604</v>
      </c>
      <c r="D327" s="30" t="e">
        <f>VLOOKUP(Table13[[#This Row],[kbli5]],Table1[[#All],[kbli5]:[digital_hijau]],3,)</f>
        <v>#N/A</v>
      </c>
      <c r="E327" s="53" t="e">
        <f>VLOOKUP(Table13[[#This Row],[kbli5]],kata_kunci!$B:$H,4,FALSE)</f>
        <v>#N/A</v>
      </c>
      <c r="F327" s="53" t="e">
        <f>VLOOKUP(Table13[[#This Row],[kbli5]],Table1[[#All],[kbli5]:[digital_hijau]],5,)</f>
        <v>#N/A</v>
      </c>
      <c r="G327" s="53" t="e">
        <f>VLOOKUP(Table13[[#This Row],[kbli5]],Table1[[#All],[kbli5]:[digital_hijau]],6,)</f>
        <v>#N/A</v>
      </c>
      <c r="H327" s="54" t="e">
        <f>VLOOKUP(Table13[[#This Row],[kbli5]],kata_kunci!$B:$H,3,FALSE)</f>
        <v>#N/A</v>
      </c>
      <c r="I327" s="84" t="e">
        <f>VLOOKUP(Table13[[#This Row],[kbli5]],kata_kunci!$B:$H,5,FALSE)</f>
        <v>#N/A</v>
      </c>
      <c r="J327" s="84" t="e">
        <f>VLOOKUP(Table13[[#This Row],[kbli5]],kata_kunci!$B:$H,6,FALSE)</f>
        <v>#N/A</v>
      </c>
      <c r="K327" s="84" t="e">
        <f>VLOOKUP(Table13[[#This Row],[kbli5]],kata_kunci!$B:$H,7,FALSE)</f>
        <v>#N/A</v>
      </c>
    </row>
    <row r="328" spans="1:11" ht="15.75" thickBot="1" x14ac:dyDescent="0.3">
      <c r="A328" s="53" t="s">
        <v>450</v>
      </c>
      <c r="B328" s="40">
        <v>16104</v>
      </c>
      <c r="C328" s="41" t="s">
        <v>605</v>
      </c>
      <c r="D328" s="30" t="e">
        <f>VLOOKUP(Table13[[#This Row],[kbli5]],Table1[[#All],[kbli5]:[digital_hijau]],3,)</f>
        <v>#N/A</v>
      </c>
      <c r="E328" s="53" t="e">
        <f>VLOOKUP(Table13[[#This Row],[kbli5]],kata_kunci!$B:$H,4,FALSE)</f>
        <v>#N/A</v>
      </c>
      <c r="F328" s="53" t="e">
        <f>VLOOKUP(Table13[[#This Row],[kbli5]],Table1[[#All],[kbli5]:[digital_hijau]],5,)</f>
        <v>#N/A</v>
      </c>
      <c r="G328" s="53" t="e">
        <f>VLOOKUP(Table13[[#This Row],[kbli5]],Table1[[#All],[kbli5]:[digital_hijau]],6,)</f>
        <v>#N/A</v>
      </c>
      <c r="H328" s="54" t="e">
        <f>VLOOKUP(Table13[[#This Row],[kbli5]],kata_kunci!$B:$H,3,FALSE)</f>
        <v>#N/A</v>
      </c>
      <c r="I328" s="84" t="e">
        <f>VLOOKUP(Table13[[#This Row],[kbli5]],kata_kunci!$B:$H,5,FALSE)</f>
        <v>#N/A</v>
      </c>
      <c r="J328" s="84" t="e">
        <f>VLOOKUP(Table13[[#This Row],[kbli5]],kata_kunci!$B:$H,6,FALSE)</f>
        <v>#N/A</v>
      </c>
      <c r="K328" s="84" t="e">
        <f>VLOOKUP(Table13[[#This Row],[kbli5]],kata_kunci!$B:$H,7,FALSE)</f>
        <v>#N/A</v>
      </c>
    </row>
    <row r="329" spans="1:11" ht="30.75" thickBot="1" x14ac:dyDescent="0.3">
      <c r="A329" s="53" t="s">
        <v>450</v>
      </c>
      <c r="B329" s="40">
        <v>16105</v>
      </c>
      <c r="C329" s="41" t="s">
        <v>606</v>
      </c>
      <c r="D329" s="30" t="e">
        <f>VLOOKUP(Table13[[#This Row],[kbli5]],Table1[[#All],[kbli5]:[digital_hijau]],3,)</f>
        <v>#N/A</v>
      </c>
      <c r="E329" s="53" t="e">
        <f>VLOOKUP(Table13[[#This Row],[kbli5]],kata_kunci!$B:$H,4,FALSE)</f>
        <v>#N/A</v>
      </c>
      <c r="F329" s="53" t="e">
        <f>VLOOKUP(Table13[[#This Row],[kbli5]],Table1[[#All],[kbli5]:[digital_hijau]],5,)</f>
        <v>#N/A</v>
      </c>
      <c r="G329" s="53" t="e">
        <f>VLOOKUP(Table13[[#This Row],[kbli5]],Table1[[#All],[kbli5]:[digital_hijau]],6,)</f>
        <v>#N/A</v>
      </c>
      <c r="H329" s="54" t="e">
        <f>VLOOKUP(Table13[[#This Row],[kbli5]],kata_kunci!$B:$H,3,FALSE)</f>
        <v>#N/A</v>
      </c>
      <c r="I329" s="84" t="e">
        <f>VLOOKUP(Table13[[#This Row],[kbli5]],kata_kunci!$B:$H,5,FALSE)</f>
        <v>#N/A</v>
      </c>
      <c r="J329" s="84" t="e">
        <f>VLOOKUP(Table13[[#This Row],[kbli5]],kata_kunci!$B:$H,6,FALSE)</f>
        <v>#N/A</v>
      </c>
      <c r="K329" s="84" t="e">
        <f>VLOOKUP(Table13[[#This Row],[kbli5]],kata_kunci!$B:$H,7,FALSE)</f>
        <v>#N/A</v>
      </c>
    </row>
    <row r="330" spans="1:11" ht="15.75" thickBot="1" x14ac:dyDescent="0.3">
      <c r="A330" s="53" t="s">
        <v>450</v>
      </c>
      <c r="B330" s="40">
        <v>16211</v>
      </c>
      <c r="C330" s="41" t="s">
        <v>607</v>
      </c>
      <c r="D330" s="30" t="e">
        <f>VLOOKUP(Table13[[#This Row],[kbli5]],Table1[[#All],[kbli5]:[digital_hijau]],3,)</f>
        <v>#N/A</v>
      </c>
      <c r="E330" s="53" t="e">
        <f>VLOOKUP(Table13[[#This Row],[kbli5]],kata_kunci!$B:$H,4,FALSE)</f>
        <v>#N/A</v>
      </c>
      <c r="F330" s="53" t="e">
        <f>VLOOKUP(Table13[[#This Row],[kbli5]],Table1[[#All],[kbli5]:[digital_hijau]],5,)</f>
        <v>#N/A</v>
      </c>
      <c r="G330" s="53" t="e">
        <f>VLOOKUP(Table13[[#This Row],[kbli5]],Table1[[#All],[kbli5]:[digital_hijau]],6,)</f>
        <v>#N/A</v>
      </c>
      <c r="H330" s="54" t="e">
        <f>VLOOKUP(Table13[[#This Row],[kbli5]],kata_kunci!$B:$H,3,FALSE)</f>
        <v>#N/A</v>
      </c>
      <c r="I330" s="84" t="e">
        <f>VLOOKUP(Table13[[#This Row],[kbli5]],kata_kunci!$B:$H,5,FALSE)</f>
        <v>#N/A</v>
      </c>
      <c r="J330" s="84" t="e">
        <f>VLOOKUP(Table13[[#This Row],[kbli5]],kata_kunci!$B:$H,6,FALSE)</f>
        <v>#N/A</v>
      </c>
      <c r="K330" s="84" t="e">
        <f>VLOOKUP(Table13[[#This Row],[kbli5]],kata_kunci!$B:$H,7,FALSE)</f>
        <v>#N/A</v>
      </c>
    </row>
    <row r="331" spans="1:11" ht="15.75" thickBot="1" x14ac:dyDescent="0.3">
      <c r="A331" s="53" t="s">
        <v>450</v>
      </c>
      <c r="B331" s="40">
        <v>16212</v>
      </c>
      <c r="C331" s="41" t="s">
        <v>608</v>
      </c>
      <c r="D331" s="30" t="e">
        <f>VLOOKUP(Table13[[#This Row],[kbli5]],Table1[[#All],[kbli5]:[digital_hijau]],3,)</f>
        <v>#N/A</v>
      </c>
      <c r="E331" s="53" t="e">
        <f>VLOOKUP(Table13[[#This Row],[kbli5]],kata_kunci!$B:$H,4,FALSE)</f>
        <v>#N/A</v>
      </c>
      <c r="F331" s="53" t="e">
        <f>VLOOKUP(Table13[[#This Row],[kbli5]],Table1[[#All],[kbli5]:[digital_hijau]],5,)</f>
        <v>#N/A</v>
      </c>
      <c r="G331" s="53" t="e">
        <f>VLOOKUP(Table13[[#This Row],[kbli5]],Table1[[#All],[kbli5]:[digital_hijau]],6,)</f>
        <v>#N/A</v>
      </c>
      <c r="H331" s="54" t="e">
        <f>VLOOKUP(Table13[[#This Row],[kbli5]],kata_kunci!$B:$H,3,FALSE)</f>
        <v>#N/A</v>
      </c>
      <c r="I331" s="84" t="e">
        <f>VLOOKUP(Table13[[#This Row],[kbli5]],kata_kunci!$B:$H,5,FALSE)</f>
        <v>#N/A</v>
      </c>
      <c r="J331" s="84" t="e">
        <f>VLOOKUP(Table13[[#This Row],[kbli5]],kata_kunci!$B:$H,6,FALSE)</f>
        <v>#N/A</v>
      </c>
      <c r="K331" s="84" t="e">
        <f>VLOOKUP(Table13[[#This Row],[kbli5]],kata_kunci!$B:$H,7,FALSE)</f>
        <v>#N/A</v>
      </c>
    </row>
    <row r="332" spans="1:11" ht="15.75" thickBot="1" x14ac:dyDescent="0.3">
      <c r="A332" s="53" t="s">
        <v>450</v>
      </c>
      <c r="B332" s="40">
        <v>16213</v>
      </c>
      <c r="C332" s="41" t="s">
        <v>609</v>
      </c>
      <c r="D332" s="30" t="e">
        <f>VLOOKUP(Table13[[#This Row],[kbli5]],Table1[[#All],[kbli5]:[digital_hijau]],3,)</f>
        <v>#N/A</v>
      </c>
      <c r="E332" s="53" t="e">
        <f>VLOOKUP(Table13[[#This Row],[kbli5]],kata_kunci!$B:$H,4,FALSE)</f>
        <v>#N/A</v>
      </c>
      <c r="F332" s="53" t="e">
        <f>VLOOKUP(Table13[[#This Row],[kbli5]],Table1[[#All],[kbli5]:[digital_hijau]],5,)</f>
        <v>#N/A</v>
      </c>
      <c r="G332" s="53" t="e">
        <f>VLOOKUP(Table13[[#This Row],[kbli5]],Table1[[#All],[kbli5]:[digital_hijau]],6,)</f>
        <v>#N/A</v>
      </c>
      <c r="H332" s="54" t="e">
        <f>VLOOKUP(Table13[[#This Row],[kbli5]],kata_kunci!$B:$H,3,FALSE)</f>
        <v>#N/A</v>
      </c>
      <c r="I332" s="84" t="e">
        <f>VLOOKUP(Table13[[#This Row],[kbli5]],kata_kunci!$B:$H,5,FALSE)</f>
        <v>#N/A</v>
      </c>
      <c r="J332" s="84" t="e">
        <f>VLOOKUP(Table13[[#This Row],[kbli5]],kata_kunci!$B:$H,6,FALSE)</f>
        <v>#N/A</v>
      </c>
      <c r="K332" s="84" t="e">
        <f>VLOOKUP(Table13[[#This Row],[kbli5]],kata_kunci!$B:$H,7,FALSE)</f>
        <v>#N/A</v>
      </c>
    </row>
    <row r="333" spans="1:11" ht="30.75" thickBot="1" x14ac:dyDescent="0.3">
      <c r="A333" s="53" t="s">
        <v>450</v>
      </c>
      <c r="B333" s="40">
        <v>16219</v>
      </c>
      <c r="C333" s="41" t="s">
        <v>610</v>
      </c>
      <c r="D333" s="30" t="e">
        <f>VLOOKUP(Table13[[#This Row],[kbli5]],Table1[[#All],[kbli5]:[digital_hijau]],3,)</f>
        <v>#N/A</v>
      </c>
      <c r="E333" s="53" t="e">
        <f>VLOOKUP(Table13[[#This Row],[kbli5]],kata_kunci!$B:$H,4,FALSE)</f>
        <v>#N/A</v>
      </c>
      <c r="F333" s="53" t="e">
        <f>VLOOKUP(Table13[[#This Row],[kbli5]],Table1[[#All],[kbli5]:[digital_hijau]],5,)</f>
        <v>#N/A</v>
      </c>
      <c r="G333" s="53" t="e">
        <f>VLOOKUP(Table13[[#This Row],[kbli5]],Table1[[#All],[kbli5]:[digital_hijau]],6,)</f>
        <v>#N/A</v>
      </c>
      <c r="H333" s="54" t="e">
        <f>VLOOKUP(Table13[[#This Row],[kbli5]],kata_kunci!$B:$H,3,FALSE)</f>
        <v>#N/A</v>
      </c>
      <c r="I333" s="84" t="e">
        <f>VLOOKUP(Table13[[#This Row],[kbli5]],kata_kunci!$B:$H,5,FALSE)</f>
        <v>#N/A</v>
      </c>
      <c r="J333" s="84" t="e">
        <f>VLOOKUP(Table13[[#This Row],[kbli5]],kata_kunci!$B:$H,6,FALSE)</f>
        <v>#N/A</v>
      </c>
      <c r="K333" s="84" t="e">
        <f>VLOOKUP(Table13[[#This Row],[kbli5]],kata_kunci!$B:$H,7,FALSE)</f>
        <v>#N/A</v>
      </c>
    </row>
    <row r="334" spans="1:11" ht="30.75" thickBot="1" x14ac:dyDescent="0.3">
      <c r="A334" s="53" t="s">
        <v>450</v>
      </c>
      <c r="B334" s="40">
        <v>16221</v>
      </c>
      <c r="C334" s="41" t="s">
        <v>611</v>
      </c>
      <c r="D334" s="30" t="e">
        <f>VLOOKUP(Table13[[#This Row],[kbli5]],Table1[[#All],[kbli5]:[digital_hijau]],3,)</f>
        <v>#N/A</v>
      </c>
      <c r="E334" s="53" t="e">
        <f>VLOOKUP(Table13[[#This Row],[kbli5]],kata_kunci!$B:$H,4,FALSE)</f>
        <v>#N/A</v>
      </c>
      <c r="F334" s="53" t="e">
        <f>VLOOKUP(Table13[[#This Row],[kbli5]],Table1[[#All],[kbli5]:[digital_hijau]],5,)</f>
        <v>#N/A</v>
      </c>
      <c r="G334" s="53" t="e">
        <f>VLOOKUP(Table13[[#This Row],[kbli5]],Table1[[#All],[kbli5]:[digital_hijau]],6,)</f>
        <v>#N/A</v>
      </c>
      <c r="H334" s="54" t="e">
        <f>VLOOKUP(Table13[[#This Row],[kbli5]],kata_kunci!$B:$H,3,FALSE)</f>
        <v>#N/A</v>
      </c>
      <c r="I334" s="84" t="e">
        <f>VLOOKUP(Table13[[#This Row],[kbli5]],kata_kunci!$B:$H,5,FALSE)</f>
        <v>#N/A</v>
      </c>
      <c r="J334" s="84" t="e">
        <f>VLOOKUP(Table13[[#This Row],[kbli5]],kata_kunci!$B:$H,6,FALSE)</f>
        <v>#N/A</v>
      </c>
      <c r="K334" s="84" t="e">
        <f>VLOOKUP(Table13[[#This Row],[kbli5]],kata_kunci!$B:$H,7,FALSE)</f>
        <v>#N/A</v>
      </c>
    </row>
    <row r="335" spans="1:11" ht="45.75" thickBot="1" x14ac:dyDescent="0.3">
      <c r="A335" s="53" t="s">
        <v>450</v>
      </c>
      <c r="B335" s="40">
        <v>16222</v>
      </c>
      <c r="C335" s="41" t="s">
        <v>612</v>
      </c>
      <c r="D335" s="30" t="e">
        <f>VLOOKUP(Table13[[#This Row],[kbli5]],Table1[[#All],[kbli5]:[digital_hijau]],3,)</f>
        <v>#N/A</v>
      </c>
      <c r="E335" s="53" t="e">
        <f>VLOOKUP(Table13[[#This Row],[kbli5]],kata_kunci!$B:$H,4,FALSE)</f>
        <v>#N/A</v>
      </c>
      <c r="F335" s="53" t="e">
        <f>VLOOKUP(Table13[[#This Row],[kbli5]],Table1[[#All],[kbli5]:[digital_hijau]],5,)</f>
        <v>#N/A</v>
      </c>
      <c r="G335" s="53" t="e">
        <f>VLOOKUP(Table13[[#This Row],[kbli5]],Table1[[#All],[kbli5]:[digital_hijau]],6,)</f>
        <v>#N/A</v>
      </c>
      <c r="H335" s="54" t="e">
        <f>VLOOKUP(Table13[[#This Row],[kbli5]],kata_kunci!$B:$H,3,FALSE)</f>
        <v>#N/A</v>
      </c>
      <c r="I335" s="84" t="e">
        <f>VLOOKUP(Table13[[#This Row],[kbli5]],kata_kunci!$B:$H,5,FALSE)</f>
        <v>#N/A</v>
      </c>
      <c r="J335" s="84" t="e">
        <f>VLOOKUP(Table13[[#This Row],[kbli5]],kata_kunci!$B:$H,6,FALSE)</f>
        <v>#N/A</v>
      </c>
      <c r="K335" s="84" t="e">
        <f>VLOOKUP(Table13[[#This Row],[kbli5]],kata_kunci!$B:$H,7,FALSE)</f>
        <v>#N/A</v>
      </c>
    </row>
    <row r="336" spans="1:11" ht="30.75" thickBot="1" x14ac:dyDescent="0.3">
      <c r="A336" s="53" t="s">
        <v>450</v>
      </c>
      <c r="B336" s="40">
        <v>16230</v>
      </c>
      <c r="C336" s="41" t="s">
        <v>613</v>
      </c>
      <c r="D336" s="30" t="e">
        <f>VLOOKUP(Table13[[#This Row],[kbli5]],Table1[[#All],[kbli5]:[digital_hijau]],3,)</f>
        <v>#N/A</v>
      </c>
      <c r="E336" s="53" t="e">
        <f>VLOOKUP(Table13[[#This Row],[kbli5]],kata_kunci!$B:$H,4,FALSE)</f>
        <v>#N/A</v>
      </c>
      <c r="F336" s="53" t="e">
        <f>VLOOKUP(Table13[[#This Row],[kbli5]],Table1[[#All],[kbli5]:[digital_hijau]],5,)</f>
        <v>#N/A</v>
      </c>
      <c r="G336" s="53" t="e">
        <f>VLOOKUP(Table13[[#This Row],[kbli5]],Table1[[#All],[kbli5]:[digital_hijau]],6,)</f>
        <v>#N/A</v>
      </c>
      <c r="H336" s="54" t="e">
        <f>VLOOKUP(Table13[[#This Row],[kbli5]],kata_kunci!$B:$H,3,FALSE)</f>
        <v>#N/A</v>
      </c>
      <c r="I336" s="84" t="e">
        <f>VLOOKUP(Table13[[#This Row],[kbli5]],kata_kunci!$B:$H,5,FALSE)</f>
        <v>#N/A</v>
      </c>
      <c r="J336" s="84" t="e">
        <f>VLOOKUP(Table13[[#This Row],[kbli5]],kata_kunci!$B:$H,6,FALSE)</f>
        <v>#N/A</v>
      </c>
      <c r="K336" s="84" t="e">
        <f>VLOOKUP(Table13[[#This Row],[kbli5]],kata_kunci!$B:$H,7,FALSE)</f>
        <v>#N/A</v>
      </c>
    </row>
    <row r="337" spans="1:11" ht="45.75" thickBot="1" x14ac:dyDescent="0.3">
      <c r="A337" s="53" t="s">
        <v>450</v>
      </c>
      <c r="B337" s="40">
        <v>16291</v>
      </c>
      <c r="C337" s="41" t="s">
        <v>614</v>
      </c>
      <c r="D337" s="30" t="e">
        <f>VLOOKUP(Table13[[#This Row],[kbli5]],Table1[[#All],[kbli5]:[digital_hijau]],3,)</f>
        <v>#N/A</v>
      </c>
      <c r="E337" s="53" t="e">
        <f>VLOOKUP(Table13[[#This Row],[kbli5]],kata_kunci!$B:$H,4,FALSE)</f>
        <v>#N/A</v>
      </c>
      <c r="F337" s="53" t="e">
        <f>VLOOKUP(Table13[[#This Row],[kbli5]],Table1[[#All],[kbli5]:[digital_hijau]],5,)</f>
        <v>#N/A</v>
      </c>
      <c r="G337" s="53" t="e">
        <f>VLOOKUP(Table13[[#This Row],[kbli5]],Table1[[#All],[kbli5]:[digital_hijau]],6,)</f>
        <v>#N/A</v>
      </c>
      <c r="H337" s="54" t="e">
        <f>VLOOKUP(Table13[[#This Row],[kbli5]],kata_kunci!$B:$H,3,FALSE)</f>
        <v>#N/A</v>
      </c>
      <c r="I337" s="84" t="e">
        <f>VLOOKUP(Table13[[#This Row],[kbli5]],kata_kunci!$B:$H,5,FALSE)</f>
        <v>#N/A</v>
      </c>
      <c r="J337" s="84" t="e">
        <f>VLOOKUP(Table13[[#This Row],[kbli5]],kata_kunci!$B:$H,6,FALSE)</f>
        <v>#N/A</v>
      </c>
      <c r="K337" s="84" t="e">
        <f>VLOOKUP(Table13[[#This Row],[kbli5]],kata_kunci!$B:$H,7,FALSE)</f>
        <v>#N/A</v>
      </c>
    </row>
    <row r="338" spans="1:11" ht="45.75" thickBot="1" x14ac:dyDescent="0.3">
      <c r="A338" s="53" t="s">
        <v>450</v>
      </c>
      <c r="B338" s="40">
        <v>16292</v>
      </c>
      <c r="C338" s="41" t="s">
        <v>615</v>
      </c>
      <c r="D338" s="30" t="e">
        <f>VLOOKUP(Table13[[#This Row],[kbli5]],Table1[[#All],[kbli5]:[digital_hijau]],3,)</f>
        <v>#N/A</v>
      </c>
      <c r="E338" s="53" t="e">
        <f>VLOOKUP(Table13[[#This Row],[kbli5]],kata_kunci!$B:$H,4,FALSE)</f>
        <v>#N/A</v>
      </c>
      <c r="F338" s="53" t="e">
        <f>VLOOKUP(Table13[[#This Row],[kbli5]],Table1[[#All],[kbli5]:[digital_hijau]],5,)</f>
        <v>#N/A</v>
      </c>
      <c r="G338" s="53" t="e">
        <f>VLOOKUP(Table13[[#This Row],[kbli5]],Table1[[#All],[kbli5]:[digital_hijau]],6,)</f>
        <v>#N/A</v>
      </c>
      <c r="H338" s="54" t="e">
        <f>VLOOKUP(Table13[[#This Row],[kbli5]],kata_kunci!$B:$H,3,FALSE)</f>
        <v>#N/A</v>
      </c>
      <c r="I338" s="84" t="e">
        <f>VLOOKUP(Table13[[#This Row],[kbli5]],kata_kunci!$B:$H,5,FALSE)</f>
        <v>#N/A</v>
      </c>
      <c r="J338" s="84" t="e">
        <f>VLOOKUP(Table13[[#This Row],[kbli5]],kata_kunci!$B:$H,6,FALSE)</f>
        <v>#N/A</v>
      </c>
      <c r="K338" s="84" t="e">
        <f>VLOOKUP(Table13[[#This Row],[kbli5]],kata_kunci!$B:$H,7,FALSE)</f>
        <v>#N/A</v>
      </c>
    </row>
    <row r="339" spans="1:11" ht="45.75" thickBot="1" x14ac:dyDescent="0.3">
      <c r="A339" s="53" t="s">
        <v>450</v>
      </c>
      <c r="B339" s="40">
        <v>16293</v>
      </c>
      <c r="C339" s="41" t="s">
        <v>616</v>
      </c>
      <c r="D339" s="30" t="e">
        <f>VLOOKUP(Table13[[#This Row],[kbli5]],Table1[[#All],[kbli5]:[digital_hijau]],3,)</f>
        <v>#N/A</v>
      </c>
      <c r="E339" s="53" t="e">
        <f>VLOOKUP(Table13[[#This Row],[kbli5]],kata_kunci!$B:$H,4,FALSE)</f>
        <v>#N/A</v>
      </c>
      <c r="F339" s="53" t="e">
        <f>VLOOKUP(Table13[[#This Row],[kbli5]],Table1[[#All],[kbli5]:[digital_hijau]],5,)</f>
        <v>#N/A</v>
      </c>
      <c r="G339" s="53" t="e">
        <f>VLOOKUP(Table13[[#This Row],[kbli5]],Table1[[#All],[kbli5]:[digital_hijau]],6,)</f>
        <v>#N/A</v>
      </c>
      <c r="H339" s="54" t="e">
        <f>VLOOKUP(Table13[[#This Row],[kbli5]],kata_kunci!$B:$H,3,FALSE)</f>
        <v>#N/A</v>
      </c>
      <c r="I339" s="84" t="e">
        <f>VLOOKUP(Table13[[#This Row],[kbli5]],kata_kunci!$B:$H,5,FALSE)</f>
        <v>#N/A</v>
      </c>
      <c r="J339" s="84" t="e">
        <f>VLOOKUP(Table13[[#This Row],[kbli5]],kata_kunci!$B:$H,6,FALSE)</f>
        <v>#N/A</v>
      </c>
      <c r="K339" s="84" t="e">
        <f>VLOOKUP(Table13[[#This Row],[kbli5]],kata_kunci!$B:$H,7,FALSE)</f>
        <v>#N/A</v>
      </c>
    </row>
    <row r="340" spans="1:11" ht="45.75" thickBot="1" x14ac:dyDescent="0.3">
      <c r="A340" s="53" t="s">
        <v>450</v>
      </c>
      <c r="B340" s="40">
        <v>16294</v>
      </c>
      <c r="C340" s="41" t="s">
        <v>617</v>
      </c>
      <c r="D340" s="30" t="e">
        <f>VLOOKUP(Table13[[#This Row],[kbli5]],Table1[[#All],[kbli5]:[digital_hijau]],3,)</f>
        <v>#N/A</v>
      </c>
      <c r="E340" s="53" t="e">
        <f>VLOOKUP(Table13[[#This Row],[kbli5]],kata_kunci!$B:$H,4,FALSE)</f>
        <v>#N/A</v>
      </c>
      <c r="F340" s="53" t="e">
        <f>VLOOKUP(Table13[[#This Row],[kbli5]],Table1[[#All],[kbli5]:[digital_hijau]],5,)</f>
        <v>#N/A</v>
      </c>
      <c r="G340" s="53" t="e">
        <f>VLOOKUP(Table13[[#This Row],[kbli5]],Table1[[#All],[kbli5]:[digital_hijau]],6,)</f>
        <v>#N/A</v>
      </c>
      <c r="H340" s="54" t="e">
        <f>VLOOKUP(Table13[[#This Row],[kbli5]],kata_kunci!$B:$H,3,FALSE)</f>
        <v>#N/A</v>
      </c>
      <c r="I340" s="84" t="e">
        <f>VLOOKUP(Table13[[#This Row],[kbli5]],kata_kunci!$B:$H,5,FALSE)</f>
        <v>#N/A</v>
      </c>
      <c r="J340" s="84" t="e">
        <f>VLOOKUP(Table13[[#This Row],[kbli5]],kata_kunci!$B:$H,6,FALSE)</f>
        <v>#N/A</v>
      </c>
      <c r="K340" s="84" t="e">
        <f>VLOOKUP(Table13[[#This Row],[kbli5]],kata_kunci!$B:$H,7,FALSE)</f>
        <v>#N/A</v>
      </c>
    </row>
    <row r="341" spans="1:11" ht="45.75" thickBot="1" x14ac:dyDescent="0.3">
      <c r="A341" s="53" t="s">
        <v>450</v>
      </c>
      <c r="B341" s="40">
        <v>16295</v>
      </c>
      <c r="C341" s="41" t="s">
        <v>618</v>
      </c>
      <c r="D341" s="30" t="e">
        <f>VLOOKUP(Table13[[#This Row],[kbli5]],Table1[[#All],[kbli5]:[digital_hijau]],3,)</f>
        <v>#N/A</v>
      </c>
      <c r="E341" s="53" t="e">
        <f>VLOOKUP(Table13[[#This Row],[kbli5]],kata_kunci!$B:$H,4,FALSE)</f>
        <v>#N/A</v>
      </c>
      <c r="F341" s="53" t="e">
        <f>VLOOKUP(Table13[[#This Row],[kbli5]],Table1[[#All],[kbli5]:[digital_hijau]],5,)</f>
        <v>#N/A</v>
      </c>
      <c r="G341" s="53" t="e">
        <f>VLOOKUP(Table13[[#This Row],[kbli5]],Table1[[#All],[kbli5]:[digital_hijau]],6,)</f>
        <v>#N/A</v>
      </c>
      <c r="H341" s="54" t="e">
        <f>VLOOKUP(Table13[[#This Row],[kbli5]],kata_kunci!$B:$H,3,FALSE)</f>
        <v>#N/A</v>
      </c>
      <c r="I341" s="84" t="e">
        <f>VLOOKUP(Table13[[#This Row],[kbli5]],kata_kunci!$B:$H,5,FALSE)</f>
        <v>#N/A</v>
      </c>
      <c r="J341" s="84" t="e">
        <f>VLOOKUP(Table13[[#This Row],[kbli5]],kata_kunci!$B:$H,6,FALSE)</f>
        <v>#N/A</v>
      </c>
      <c r="K341" s="84" t="e">
        <f>VLOOKUP(Table13[[#This Row],[kbli5]],kata_kunci!$B:$H,7,FALSE)</f>
        <v>#N/A</v>
      </c>
    </row>
    <row r="342" spans="1:11" ht="45.75" thickBot="1" x14ac:dyDescent="0.3">
      <c r="A342" s="53" t="s">
        <v>450</v>
      </c>
      <c r="B342" s="40">
        <v>16299</v>
      </c>
      <c r="C342" s="41" t="s">
        <v>619</v>
      </c>
      <c r="D342" s="30" t="e">
        <f>VLOOKUP(Table13[[#This Row],[kbli5]],Table1[[#All],[kbli5]:[digital_hijau]],3,)</f>
        <v>#N/A</v>
      </c>
      <c r="E342" s="53" t="e">
        <f>VLOOKUP(Table13[[#This Row],[kbli5]],kata_kunci!$B:$H,4,FALSE)</f>
        <v>#N/A</v>
      </c>
      <c r="F342" s="53" t="e">
        <f>VLOOKUP(Table13[[#This Row],[kbli5]],Table1[[#All],[kbli5]:[digital_hijau]],5,)</f>
        <v>#N/A</v>
      </c>
      <c r="G342" s="53" t="e">
        <f>VLOOKUP(Table13[[#This Row],[kbli5]],Table1[[#All],[kbli5]:[digital_hijau]],6,)</f>
        <v>#N/A</v>
      </c>
      <c r="H342" s="54" t="e">
        <f>VLOOKUP(Table13[[#This Row],[kbli5]],kata_kunci!$B:$H,3,FALSE)</f>
        <v>#N/A</v>
      </c>
      <c r="I342" s="84" t="e">
        <f>VLOOKUP(Table13[[#This Row],[kbli5]],kata_kunci!$B:$H,5,FALSE)</f>
        <v>#N/A</v>
      </c>
      <c r="J342" s="84" t="e">
        <f>VLOOKUP(Table13[[#This Row],[kbli5]],kata_kunci!$B:$H,6,FALSE)</f>
        <v>#N/A</v>
      </c>
      <c r="K342" s="84" t="e">
        <f>VLOOKUP(Table13[[#This Row],[kbli5]],kata_kunci!$B:$H,7,FALSE)</f>
        <v>#N/A</v>
      </c>
    </row>
    <row r="343" spans="1:11" ht="30.75" thickBot="1" x14ac:dyDescent="0.3">
      <c r="A343" s="53" t="s">
        <v>450</v>
      </c>
      <c r="B343" s="40">
        <v>17011</v>
      </c>
      <c r="C343" s="41" t="s">
        <v>620</v>
      </c>
      <c r="D343" s="30" t="e">
        <f>VLOOKUP(Table13[[#This Row],[kbli5]],Table1[[#All],[kbli5]:[digital_hijau]],3,)</f>
        <v>#N/A</v>
      </c>
      <c r="E343" s="53" t="e">
        <f>VLOOKUP(Table13[[#This Row],[kbli5]],kata_kunci!$B:$H,4,FALSE)</f>
        <v>#N/A</v>
      </c>
      <c r="F343" s="53" t="e">
        <f>VLOOKUP(Table13[[#This Row],[kbli5]],Table1[[#All],[kbli5]:[digital_hijau]],5,)</f>
        <v>#N/A</v>
      </c>
      <c r="G343" s="53" t="e">
        <f>VLOOKUP(Table13[[#This Row],[kbli5]],Table1[[#All],[kbli5]:[digital_hijau]],6,)</f>
        <v>#N/A</v>
      </c>
      <c r="H343" s="54" t="e">
        <f>VLOOKUP(Table13[[#This Row],[kbli5]],kata_kunci!$B:$H,3,FALSE)</f>
        <v>#N/A</v>
      </c>
      <c r="I343" s="84" t="e">
        <f>VLOOKUP(Table13[[#This Row],[kbli5]],kata_kunci!$B:$H,5,FALSE)</f>
        <v>#N/A</v>
      </c>
      <c r="J343" s="84" t="e">
        <f>VLOOKUP(Table13[[#This Row],[kbli5]],kata_kunci!$B:$H,6,FALSE)</f>
        <v>#N/A</v>
      </c>
      <c r="K343" s="84" t="e">
        <f>VLOOKUP(Table13[[#This Row],[kbli5]],kata_kunci!$B:$H,7,FALSE)</f>
        <v>#N/A</v>
      </c>
    </row>
    <row r="344" spans="1:11" ht="15.75" thickBot="1" x14ac:dyDescent="0.3">
      <c r="A344" s="53" t="s">
        <v>450</v>
      </c>
      <c r="B344" s="40">
        <v>17012</v>
      </c>
      <c r="C344" s="41" t="s">
        <v>621</v>
      </c>
      <c r="D344" s="30" t="e">
        <f>VLOOKUP(Table13[[#This Row],[kbli5]],Table1[[#All],[kbli5]:[digital_hijau]],3,)</f>
        <v>#N/A</v>
      </c>
      <c r="E344" s="53" t="e">
        <f>VLOOKUP(Table13[[#This Row],[kbli5]],kata_kunci!$B:$H,4,FALSE)</f>
        <v>#N/A</v>
      </c>
      <c r="F344" s="53" t="e">
        <f>VLOOKUP(Table13[[#This Row],[kbli5]],Table1[[#All],[kbli5]:[digital_hijau]],5,)</f>
        <v>#N/A</v>
      </c>
      <c r="G344" s="53" t="e">
        <f>VLOOKUP(Table13[[#This Row],[kbli5]],Table1[[#All],[kbli5]:[digital_hijau]],6,)</f>
        <v>#N/A</v>
      </c>
      <c r="H344" s="54" t="e">
        <f>VLOOKUP(Table13[[#This Row],[kbli5]],kata_kunci!$B:$H,3,FALSE)</f>
        <v>#N/A</v>
      </c>
      <c r="I344" s="84" t="e">
        <f>VLOOKUP(Table13[[#This Row],[kbli5]],kata_kunci!$B:$H,5,FALSE)</f>
        <v>#N/A</v>
      </c>
      <c r="J344" s="84" t="e">
        <f>VLOOKUP(Table13[[#This Row],[kbli5]],kata_kunci!$B:$H,6,FALSE)</f>
        <v>#N/A</v>
      </c>
      <c r="K344" s="84" t="e">
        <f>VLOOKUP(Table13[[#This Row],[kbli5]],kata_kunci!$B:$H,7,FALSE)</f>
        <v>#N/A</v>
      </c>
    </row>
    <row r="345" spans="1:11" ht="30.75" thickBot="1" x14ac:dyDescent="0.3">
      <c r="A345" s="53" t="s">
        <v>450</v>
      </c>
      <c r="B345" s="40">
        <v>17013</v>
      </c>
      <c r="C345" s="41" t="s">
        <v>622</v>
      </c>
      <c r="D345" s="30" t="e">
        <f>VLOOKUP(Table13[[#This Row],[kbli5]],Table1[[#All],[kbli5]:[digital_hijau]],3,)</f>
        <v>#N/A</v>
      </c>
      <c r="E345" s="53" t="e">
        <f>VLOOKUP(Table13[[#This Row],[kbli5]],kata_kunci!$B:$H,4,FALSE)</f>
        <v>#N/A</v>
      </c>
      <c r="F345" s="53" t="e">
        <f>VLOOKUP(Table13[[#This Row],[kbli5]],Table1[[#All],[kbli5]:[digital_hijau]],5,)</f>
        <v>#N/A</v>
      </c>
      <c r="G345" s="53" t="e">
        <f>VLOOKUP(Table13[[#This Row],[kbli5]],Table1[[#All],[kbli5]:[digital_hijau]],6,)</f>
        <v>#N/A</v>
      </c>
      <c r="H345" s="54" t="e">
        <f>VLOOKUP(Table13[[#This Row],[kbli5]],kata_kunci!$B:$H,3,FALSE)</f>
        <v>#N/A</v>
      </c>
      <c r="I345" s="84" t="e">
        <f>VLOOKUP(Table13[[#This Row],[kbli5]],kata_kunci!$B:$H,5,FALSE)</f>
        <v>#N/A</v>
      </c>
      <c r="J345" s="84" t="e">
        <f>VLOOKUP(Table13[[#This Row],[kbli5]],kata_kunci!$B:$H,6,FALSE)</f>
        <v>#N/A</v>
      </c>
      <c r="K345" s="84" t="e">
        <f>VLOOKUP(Table13[[#This Row],[kbli5]],kata_kunci!$B:$H,7,FALSE)</f>
        <v>#N/A</v>
      </c>
    </row>
    <row r="346" spans="1:11" ht="15.75" thickBot="1" x14ac:dyDescent="0.3">
      <c r="A346" s="53" t="s">
        <v>450</v>
      </c>
      <c r="B346" s="40">
        <v>17014</v>
      </c>
      <c r="C346" s="41" t="s">
        <v>623</v>
      </c>
      <c r="D346" s="30" t="e">
        <f>VLOOKUP(Table13[[#This Row],[kbli5]],Table1[[#All],[kbli5]:[digital_hijau]],3,)</f>
        <v>#N/A</v>
      </c>
      <c r="E346" s="53" t="e">
        <f>VLOOKUP(Table13[[#This Row],[kbli5]],kata_kunci!$B:$H,4,FALSE)</f>
        <v>#N/A</v>
      </c>
      <c r="F346" s="53" t="e">
        <f>VLOOKUP(Table13[[#This Row],[kbli5]],Table1[[#All],[kbli5]:[digital_hijau]],5,)</f>
        <v>#N/A</v>
      </c>
      <c r="G346" s="53" t="e">
        <f>VLOOKUP(Table13[[#This Row],[kbli5]],Table1[[#All],[kbli5]:[digital_hijau]],6,)</f>
        <v>#N/A</v>
      </c>
      <c r="H346" s="54" t="e">
        <f>VLOOKUP(Table13[[#This Row],[kbli5]],kata_kunci!$B:$H,3,FALSE)</f>
        <v>#N/A</v>
      </c>
      <c r="I346" s="84" t="e">
        <f>VLOOKUP(Table13[[#This Row],[kbli5]],kata_kunci!$B:$H,5,FALSE)</f>
        <v>#N/A</v>
      </c>
      <c r="J346" s="84" t="e">
        <f>VLOOKUP(Table13[[#This Row],[kbli5]],kata_kunci!$B:$H,6,FALSE)</f>
        <v>#N/A</v>
      </c>
      <c r="K346" s="84" t="e">
        <f>VLOOKUP(Table13[[#This Row],[kbli5]],kata_kunci!$B:$H,7,FALSE)</f>
        <v>#N/A</v>
      </c>
    </row>
    <row r="347" spans="1:11" ht="15.75" thickBot="1" x14ac:dyDescent="0.3">
      <c r="A347" s="53" t="s">
        <v>450</v>
      </c>
      <c r="B347" s="40">
        <v>17019</v>
      </c>
      <c r="C347" s="41" t="s">
        <v>624</v>
      </c>
      <c r="D347" s="30" t="e">
        <f>VLOOKUP(Table13[[#This Row],[kbli5]],Table1[[#All],[kbli5]:[digital_hijau]],3,)</f>
        <v>#N/A</v>
      </c>
      <c r="E347" s="53" t="e">
        <f>VLOOKUP(Table13[[#This Row],[kbli5]],kata_kunci!$B:$H,4,FALSE)</f>
        <v>#N/A</v>
      </c>
      <c r="F347" s="53" t="e">
        <f>VLOOKUP(Table13[[#This Row],[kbli5]],Table1[[#All],[kbli5]:[digital_hijau]],5,)</f>
        <v>#N/A</v>
      </c>
      <c r="G347" s="53" t="e">
        <f>VLOOKUP(Table13[[#This Row],[kbli5]],Table1[[#All],[kbli5]:[digital_hijau]],6,)</f>
        <v>#N/A</v>
      </c>
      <c r="H347" s="54" t="e">
        <f>VLOOKUP(Table13[[#This Row],[kbli5]],kata_kunci!$B:$H,3,FALSE)</f>
        <v>#N/A</v>
      </c>
      <c r="I347" s="84" t="e">
        <f>VLOOKUP(Table13[[#This Row],[kbli5]],kata_kunci!$B:$H,5,FALSE)</f>
        <v>#N/A</v>
      </c>
      <c r="J347" s="84" t="e">
        <f>VLOOKUP(Table13[[#This Row],[kbli5]],kata_kunci!$B:$H,6,FALSE)</f>
        <v>#N/A</v>
      </c>
      <c r="K347" s="84" t="e">
        <f>VLOOKUP(Table13[[#This Row],[kbli5]],kata_kunci!$B:$H,7,FALSE)</f>
        <v>#N/A</v>
      </c>
    </row>
    <row r="348" spans="1:11" ht="45.75" thickBot="1" x14ac:dyDescent="0.3">
      <c r="A348" s="53" t="s">
        <v>450</v>
      </c>
      <c r="B348" s="40">
        <v>17021</v>
      </c>
      <c r="C348" s="41" t="s">
        <v>625</v>
      </c>
      <c r="D348" s="30" t="e">
        <f>VLOOKUP(Table13[[#This Row],[kbli5]],Table1[[#All],[kbli5]:[digital_hijau]],3,)</f>
        <v>#N/A</v>
      </c>
      <c r="E348" s="53" t="e">
        <f>VLOOKUP(Table13[[#This Row],[kbli5]],kata_kunci!$B:$H,4,FALSE)</f>
        <v>#N/A</v>
      </c>
      <c r="F348" s="53" t="e">
        <f>VLOOKUP(Table13[[#This Row],[kbli5]],Table1[[#All],[kbli5]:[digital_hijau]],5,)</f>
        <v>#N/A</v>
      </c>
      <c r="G348" s="53" t="e">
        <f>VLOOKUP(Table13[[#This Row],[kbli5]],Table1[[#All],[kbli5]:[digital_hijau]],6,)</f>
        <v>#N/A</v>
      </c>
      <c r="H348" s="54" t="e">
        <f>VLOOKUP(Table13[[#This Row],[kbli5]],kata_kunci!$B:$H,3,FALSE)</f>
        <v>#N/A</v>
      </c>
      <c r="I348" s="84" t="e">
        <f>VLOOKUP(Table13[[#This Row],[kbli5]],kata_kunci!$B:$H,5,FALSE)</f>
        <v>#N/A</v>
      </c>
      <c r="J348" s="84" t="e">
        <f>VLOOKUP(Table13[[#This Row],[kbli5]],kata_kunci!$B:$H,6,FALSE)</f>
        <v>#N/A</v>
      </c>
      <c r="K348" s="84" t="e">
        <f>VLOOKUP(Table13[[#This Row],[kbli5]],kata_kunci!$B:$H,7,FALSE)</f>
        <v>#N/A</v>
      </c>
    </row>
    <row r="349" spans="1:11" ht="45.75" thickBot="1" x14ac:dyDescent="0.3">
      <c r="A349" s="53" t="s">
        <v>450</v>
      </c>
      <c r="B349" s="40">
        <v>17022</v>
      </c>
      <c r="C349" s="41" t="s">
        <v>626</v>
      </c>
      <c r="D349" s="30" t="e">
        <f>VLOOKUP(Table13[[#This Row],[kbli5]],Table1[[#All],[kbli5]:[digital_hijau]],3,)</f>
        <v>#N/A</v>
      </c>
      <c r="E349" s="53" t="e">
        <f>VLOOKUP(Table13[[#This Row],[kbli5]],kata_kunci!$B:$H,4,FALSE)</f>
        <v>#N/A</v>
      </c>
      <c r="F349" s="53" t="e">
        <f>VLOOKUP(Table13[[#This Row],[kbli5]],Table1[[#All],[kbli5]:[digital_hijau]],5,)</f>
        <v>#N/A</v>
      </c>
      <c r="G349" s="53" t="e">
        <f>VLOOKUP(Table13[[#This Row],[kbli5]],Table1[[#All],[kbli5]:[digital_hijau]],6,)</f>
        <v>#N/A</v>
      </c>
      <c r="H349" s="54" t="e">
        <f>VLOOKUP(Table13[[#This Row],[kbli5]],kata_kunci!$B:$H,3,FALSE)</f>
        <v>#N/A</v>
      </c>
      <c r="I349" s="84" t="e">
        <f>VLOOKUP(Table13[[#This Row],[kbli5]],kata_kunci!$B:$H,5,FALSE)</f>
        <v>#N/A</v>
      </c>
      <c r="J349" s="84" t="e">
        <f>VLOOKUP(Table13[[#This Row],[kbli5]],kata_kunci!$B:$H,6,FALSE)</f>
        <v>#N/A</v>
      </c>
      <c r="K349" s="84" t="e">
        <f>VLOOKUP(Table13[[#This Row],[kbli5]],kata_kunci!$B:$H,7,FALSE)</f>
        <v>#N/A</v>
      </c>
    </row>
    <row r="350" spans="1:11" ht="15.75" thickBot="1" x14ac:dyDescent="0.3">
      <c r="A350" s="53" t="s">
        <v>450</v>
      </c>
      <c r="B350" s="40">
        <v>17091</v>
      </c>
      <c r="C350" s="41" t="s">
        <v>627</v>
      </c>
      <c r="D350" s="30" t="e">
        <f>VLOOKUP(Table13[[#This Row],[kbli5]],Table1[[#All],[kbli5]:[digital_hijau]],3,)</f>
        <v>#N/A</v>
      </c>
      <c r="E350" s="53" t="e">
        <f>VLOOKUP(Table13[[#This Row],[kbli5]],kata_kunci!$B:$H,4,FALSE)</f>
        <v>#N/A</v>
      </c>
      <c r="F350" s="53" t="e">
        <f>VLOOKUP(Table13[[#This Row],[kbli5]],Table1[[#All],[kbli5]:[digital_hijau]],5,)</f>
        <v>#N/A</v>
      </c>
      <c r="G350" s="53" t="e">
        <f>VLOOKUP(Table13[[#This Row],[kbli5]],Table1[[#All],[kbli5]:[digital_hijau]],6,)</f>
        <v>#N/A</v>
      </c>
      <c r="H350" s="54" t="e">
        <f>VLOOKUP(Table13[[#This Row],[kbli5]],kata_kunci!$B:$H,3,FALSE)</f>
        <v>#N/A</v>
      </c>
      <c r="I350" s="84" t="e">
        <f>VLOOKUP(Table13[[#This Row],[kbli5]],kata_kunci!$B:$H,5,FALSE)</f>
        <v>#N/A</v>
      </c>
      <c r="J350" s="84" t="e">
        <f>VLOOKUP(Table13[[#This Row],[kbli5]],kata_kunci!$B:$H,6,FALSE)</f>
        <v>#N/A</v>
      </c>
      <c r="K350" s="84" t="e">
        <f>VLOOKUP(Table13[[#This Row],[kbli5]],kata_kunci!$B:$H,7,FALSE)</f>
        <v>#N/A</v>
      </c>
    </row>
    <row r="351" spans="1:11" ht="45.75" thickBot="1" x14ac:dyDescent="0.3">
      <c r="A351" s="53" t="s">
        <v>450</v>
      </c>
      <c r="B351" s="40">
        <v>17099</v>
      </c>
      <c r="C351" s="41" t="s">
        <v>628</v>
      </c>
      <c r="D351" s="30" t="e">
        <f>VLOOKUP(Table13[[#This Row],[kbli5]],Table1[[#All],[kbli5]:[digital_hijau]],3,)</f>
        <v>#N/A</v>
      </c>
      <c r="E351" s="53" t="e">
        <f>VLOOKUP(Table13[[#This Row],[kbli5]],kata_kunci!$B:$H,4,FALSE)</f>
        <v>#N/A</v>
      </c>
      <c r="F351" s="53" t="e">
        <f>VLOOKUP(Table13[[#This Row],[kbli5]],Table1[[#All],[kbli5]:[digital_hijau]],5,)</f>
        <v>#N/A</v>
      </c>
      <c r="G351" s="53" t="e">
        <f>VLOOKUP(Table13[[#This Row],[kbli5]],Table1[[#All],[kbli5]:[digital_hijau]],6,)</f>
        <v>#N/A</v>
      </c>
      <c r="H351" s="54" t="e">
        <f>VLOOKUP(Table13[[#This Row],[kbli5]],kata_kunci!$B:$H,3,FALSE)</f>
        <v>#N/A</v>
      </c>
      <c r="I351" s="84" t="e">
        <f>VLOOKUP(Table13[[#This Row],[kbli5]],kata_kunci!$B:$H,5,FALSE)</f>
        <v>#N/A</v>
      </c>
      <c r="J351" s="84" t="e">
        <f>VLOOKUP(Table13[[#This Row],[kbli5]],kata_kunci!$B:$H,6,FALSE)</f>
        <v>#N/A</v>
      </c>
      <c r="K351" s="84" t="e">
        <f>VLOOKUP(Table13[[#This Row],[kbli5]],kata_kunci!$B:$H,7,FALSE)</f>
        <v>#N/A</v>
      </c>
    </row>
    <row r="352" spans="1:11" ht="15.75" thickBot="1" x14ac:dyDescent="0.3">
      <c r="A352" s="53" t="s">
        <v>450</v>
      </c>
      <c r="B352" s="40">
        <v>18111</v>
      </c>
      <c r="C352" s="41" t="s">
        <v>629</v>
      </c>
      <c r="D352" s="30" t="e">
        <f>VLOOKUP(Table13[[#This Row],[kbli5]],Table1[[#All],[kbli5]:[digital_hijau]],3,)</f>
        <v>#N/A</v>
      </c>
      <c r="E352" s="53" t="e">
        <f>VLOOKUP(Table13[[#This Row],[kbli5]],kata_kunci!$B:$H,4,FALSE)</f>
        <v>#N/A</v>
      </c>
      <c r="F352" s="53" t="e">
        <f>VLOOKUP(Table13[[#This Row],[kbli5]],Table1[[#All],[kbli5]:[digital_hijau]],5,)</f>
        <v>#N/A</v>
      </c>
      <c r="G352" s="53" t="e">
        <f>VLOOKUP(Table13[[#This Row],[kbli5]],Table1[[#All],[kbli5]:[digital_hijau]],6,)</f>
        <v>#N/A</v>
      </c>
      <c r="H352" s="54" t="e">
        <f>VLOOKUP(Table13[[#This Row],[kbli5]],kata_kunci!$B:$H,3,FALSE)</f>
        <v>#N/A</v>
      </c>
      <c r="I352" s="84" t="e">
        <f>VLOOKUP(Table13[[#This Row],[kbli5]],kata_kunci!$B:$H,5,FALSE)</f>
        <v>#N/A</v>
      </c>
      <c r="J352" s="84" t="e">
        <f>VLOOKUP(Table13[[#This Row],[kbli5]],kata_kunci!$B:$H,6,FALSE)</f>
        <v>#N/A</v>
      </c>
      <c r="K352" s="84" t="e">
        <f>VLOOKUP(Table13[[#This Row],[kbli5]],kata_kunci!$B:$H,7,FALSE)</f>
        <v>#N/A</v>
      </c>
    </row>
    <row r="353" spans="1:11" ht="15.75" thickBot="1" x14ac:dyDescent="0.3">
      <c r="A353" s="53" t="s">
        <v>450</v>
      </c>
      <c r="B353" s="40">
        <v>18112</v>
      </c>
      <c r="C353" s="41" t="s">
        <v>630</v>
      </c>
      <c r="D353" s="30" t="e">
        <f>VLOOKUP(Table13[[#This Row],[kbli5]],Table1[[#All],[kbli5]:[digital_hijau]],3,)</f>
        <v>#N/A</v>
      </c>
      <c r="E353" s="53" t="e">
        <f>VLOOKUP(Table13[[#This Row],[kbli5]],kata_kunci!$B:$H,4,FALSE)</f>
        <v>#N/A</v>
      </c>
      <c r="F353" s="53" t="e">
        <f>VLOOKUP(Table13[[#This Row],[kbli5]],Table1[[#All],[kbli5]:[digital_hijau]],5,)</f>
        <v>#N/A</v>
      </c>
      <c r="G353" s="53" t="e">
        <f>VLOOKUP(Table13[[#This Row],[kbli5]],Table1[[#All],[kbli5]:[digital_hijau]],6,)</f>
        <v>#N/A</v>
      </c>
      <c r="H353" s="54" t="e">
        <f>VLOOKUP(Table13[[#This Row],[kbli5]],kata_kunci!$B:$H,3,FALSE)</f>
        <v>#N/A</v>
      </c>
      <c r="I353" s="84" t="e">
        <f>VLOOKUP(Table13[[#This Row],[kbli5]],kata_kunci!$B:$H,5,FALSE)</f>
        <v>#N/A</v>
      </c>
      <c r="J353" s="84" t="e">
        <f>VLOOKUP(Table13[[#This Row],[kbli5]],kata_kunci!$B:$H,6,FALSE)</f>
        <v>#N/A</v>
      </c>
      <c r="K353" s="84" t="e">
        <f>VLOOKUP(Table13[[#This Row],[kbli5]],kata_kunci!$B:$H,7,FALSE)</f>
        <v>#N/A</v>
      </c>
    </row>
    <row r="354" spans="1:11" ht="30.75" thickBot="1" x14ac:dyDescent="0.3">
      <c r="A354" s="53" t="s">
        <v>450</v>
      </c>
      <c r="B354" s="40">
        <v>18113</v>
      </c>
      <c r="C354" s="41" t="s">
        <v>631</v>
      </c>
      <c r="D354" s="30" t="e">
        <f>VLOOKUP(Table13[[#This Row],[kbli5]],Table1[[#All],[kbli5]:[digital_hijau]],3,)</f>
        <v>#N/A</v>
      </c>
      <c r="E354" s="53" t="e">
        <f>VLOOKUP(Table13[[#This Row],[kbli5]],kata_kunci!$B:$H,4,FALSE)</f>
        <v>#N/A</v>
      </c>
      <c r="F354" s="53" t="e">
        <f>VLOOKUP(Table13[[#This Row],[kbli5]],Table1[[#All],[kbli5]:[digital_hijau]],5,)</f>
        <v>#N/A</v>
      </c>
      <c r="G354" s="53" t="e">
        <f>VLOOKUP(Table13[[#This Row],[kbli5]],Table1[[#All],[kbli5]:[digital_hijau]],6,)</f>
        <v>#N/A</v>
      </c>
      <c r="H354" s="54" t="e">
        <f>VLOOKUP(Table13[[#This Row],[kbli5]],kata_kunci!$B:$H,3,FALSE)</f>
        <v>#N/A</v>
      </c>
      <c r="I354" s="84" t="e">
        <f>VLOOKUP(Table13[[#This Row],[kbli5]],kata_kunci!$B:$H,5,FALSE)</f>
        <v>#N/A</v>
      </c>
      <c r="J354" s="84" t="e">
        <f>VLOOKUP(Table13[[#This Row],[kbli5]],kata_kunci!$B:$H,6,FALSE)</f>
        <v>#N/A</v>
      </c>
      <c r="K354" s="84" t="e">
        <f>VLOOKUP(Table13[[#This Row],[kbli5]],kata_kunci!$B:$H,7,FALSE)</f>
        <v>#N/A</v>
      </c>
    </row>
    <row r="355" spans="1:11" ht="30.75" thickBot="1" x14ac:dyDescent="0.3">
      <c r="A355" s="53" t="s">
        <v>450</v>
      </c>
      <c r="B355" s="40">
        <v>18120</v>
      </c>
      <c r="C355" s="41" t="s">
        <v>632</v>
      </c>
      <c r="D355" s="30" t="e">
        <f>VLOOKUP(Table13[[#This Row],[kbli5]],Table1[[#All],[kbli5]:[digital_hijau]],3,)</f>
        <v>#N/A</v>
      </c>
      <c r="E355" s="53" t="e">
        <f>VLOOKUP(Table13[[#This Row],[kbli5]],kata_kunci!$B:$H,4,FALSE)</f>
        <v>#N/A</v>
      </c>
      <c r="F355" s="53" t="e">
        <f>VLOOKUP(Table13[[#This Row],[kbli5]],Table1[[#All],[kbli5]:[digital_hijau]],5,)</f>
        <v>#N/A</v>
      </c>
      <c r="G355" s="53" t="e">
        <f>VLOOKUP(Table13[[#This Row],[kbli5]],Table1[[#All],[kbli5]:[digital_hijau]],6,)</f>
        <v>#N/A</v>
      </c>
      <c r="H355" s="54" t="e">
        <f>VLOOKUP(Table13[[#This Row],[kbli5]],kata_kunci!$B:$H,3,FALSE)</f>
        <v>#N/A</v>
      </c>
      <c r="I355" s="84" t="e">
        <f>VLOOKUP(Table13[[#This Row],[kbli5]],kata_kunci!$B:$H,5,FALSE)</f>
        <v>#N/A</v>
      </c>
      <c r="J355" s="84" t="e">
        <f>VLOOKUP(Table13[[#This Row],[kbli5]],kata_kunci!$B:$H,6,FALSE)</f>
        <v>#N/A</v>
      </c>
      <c r="K355" s="84" t="e">
        <f>VLOOKUP(Table13[[#This Row],[kbli5]],kata_kunci!$B:$H,7,FALSE)</f>
        <v>#N/A</v>
      </c>
    </row>
    <row r="356" spans="1:11" ht="45.75" thickBot="1" x14ac:dyDescent="0.3">
      <c r="A356" s="53" t="s">
        <v>450</v>
      </c>
      <c r="B356" s="40">
        <v>18201</v>
      </c>
      <c r="C356" s="41" t="s">
        <v>633</v>
      </c>
      <c r="D356" s="30" t="e">
        <f>VLOOKUP(Table13[[#This Row],[kbli5]],Table1[[#All],[kbli5]:[digital_hijau]],3,)</f>
        <v>#N/A</v>
      </c>
      <c r="E356" s="53" t="e">
        <f>VLOOKUP(Table13[[#This Row],[kbli5]],kata_kunci!$B:$H,4,FALSE)</f>
        <v>#N/A</v>
      </c>
      <c r="F356" s="53" t="e">
        <f>VLOOKUP(Table13[[#This Row],[kbli5]],Table1[[#All],[kbli5]:[digital_hijau]],5,)</f>
        <v>#N/A</v>
      </c>
      <c r="G356" s="53" t="e">
        <f>VLOOKUP(Table13[[#This Row],[kbli5]],Table1[[#All],[kbli5]:[digital_hijau]],6,)</f>
        <v>#N/A</v>
      </c>
      <c r="H356" s="54" t="e">
        <f>VLOOKUP(Table13[[#This Row],[kbli5]],kata_kunci!$B:$H,3,FALSE)</f>
        <v>#N/A</v>
      </c>
      <c r="I356" s="84" t="e">
        <f>VLOOKUP(Table13[[#This Row],[kbli5]],kata_kunci!$B:$H,5,FALSE)</f>
        <v>#N/A</v>
      </c>
      <c r="J356" s="84" t="e">
        <f>VLOOKUP(Table13[[#This Row],[kbli5]],kata_kunci!$B:$H,6,FALSE)</f>
        <v>#N/A</v>
      </c>
      <c r="K356" s="84" t="e">
        <f>VLOOKUP(Table13[[#This Row],[kbli5]],kata_kunci!$B:$H,7,FALSE)</f>
        <v>#N/A</v>
      </c>
    </row>
    <row r="357" spans="1:11" ht="30.75" thickBot="1" x14ac:dyDescent="0.3">
      <c r="A357" s="53" t="s">
        <v>450</v>
      </c>
      <c r="B357" s="40">
        <v>18202</v>
      </c>
      <c r="C357" s="41" t="s">
        <v>634</v>
      </c>
      <c r="D357" s="30" t="e">
        <f>VLOOKUP(Table13[[#This Row],[kbli5]],Table1[[#All],[kbli5]:[digital_hijau]],3,)</f>
        <v>#N/A</v>
      </c>
      <c r="E357" s="53" t="e">
        <f>VLOOKUP(Table13[[#This Row],[kbli5]],kata_kunci!$B:$H,4,FALSE)</f>
        <v>#N/A</v>
      </c>
      <c r="F357" s="53" t="e">
        <f>VLOOKUP(Table13[[#This Row],[kbli5]],Table1[[#All],[kbli5]:[digital_hijau]],5,)</f>
        <v>#N/A</v>
      </c>
      <c r="G357" s="53" t="e">
        <f>VLOOKUP(Table13[[#This Row],[kbli5]],Table1[[#All],[kbli5]:[digital_hijau]],6,)</f>
        <v>#N/A</v>
      </c>
      <c r="H357" s="54" t="e">
        <f>VLOOKUP(Table13[[#This Row],[kbli5]],kata_kunci!$B:$H,3,FALSE)</f>
        <v>#N/A</v>
      </c>
      <c r="I357" s="84" t="e">
        <f>VLOOKUP(Table13[[#This Row],[kbli5]],kata_kunci!$B:$H,5,FALSE)</f>
        <v>#N/A</v>
      </c>
      <c r="J357" s="84" t="e">
        <f>VLOOKUP(Table13[[#This Row],[kbli5]],kata_kunci!$B:$H,6,FALSE)</f>
        <v>#N/A</v>
      </c>
      <c r="K357" s="84" t="e">
        <f>VLOOKUP(Table13[[#This Row],[kbli5]],kata_kunci!$B:$H,7,FALSE)</f>
        <v>#N/A</v>
      </c>
    </row>
    <row r="358" spans="1:11" ht="30.75" thickBot="1" x14ac:dyDescent="0.3">
      <c r="A358" s="53" t="s">
        <v>450</v>
      </c>
      <c r="B358" s="40">
        <v>19100</v>
      </c>
      <c r="C358" s="41" t="s">
        <v>635</v>
      </c>
      <c r="D358" s="30" t="e">
        <f>VLOOKUP(Table13[[#This Row],[kbli5]],Table1[[#All],[kbli5]:[digital_hijau]],3,)</f>
        <v>#N/A</v>
      </c>
      <c r="E358" s="53" t="e">
        <f>VLOOKUP(Table13[[#This Row],[kbli5]],kata_kunci!$B:$H,4,FALSE)</f>
        <v>#N/A</v>
      </c>
      <c r="F358" s="53" t="e">
        <f>VLOOKUP(Table13[[#This Row],[kbli5]],Table1[[#All],[kbli5]:[digital_hijau]],5,)</f>
        <v>#N/A</v>
      </c>
      <c r="G358" s="53" t="e">
        <f>VLOOKUP(Table13[[#This Row],[kbli5]],Table1[[#All],[kbli5]:[digital_hijau]],6,)</f>
        <v>#N/A</v>
      </c>
      <c r="H358" s="54" t="e">
        <f>VLOOKUP(Table13[[#This Row],[kbli5]],kata_kunci!$B:$H,3,FALSE)</f>
        <v>#N/A</v>
      </c>
      <c r="I358" s="84" t="e">
        <f>VLOOKUP(Table13[[#This Row],[kbli5]],kata_kunci!$B:$H,5,FALSE)</f>
        <v>#N/A</v>
      </c>
      <c r="J358" s="84" t="e">
        <f>VLOOKUP(Table13[[#This Row],[kbli5]],kata_kunci!$B:$H,6,FALSE)</f>
        <v>#N/A</v>
      </c>
      <c r="K358" s="84" t="e">
        <f>VLOOKUP(Table13[[#This Row],[kbli5]],kata_kunci!$B:$H,7,FALSE)</f>
        <v>#N/A</v>
      </c>
    </row>
    <row r="359" spans="1:11" ht="45.75" thickBot="1" x14ac:dyDescent="0.3">
      <c r="A359" s="53" t="s">
        <v>450</v>
      </c>
      <c r="B359" s="40">
        <v>19201</v>
      </c>
      <c r="C359" s="41" t="s">
        <v>636</v>
      </c>
      <c r="D359" s="30" t="e">
        <f>VLOOKUP(Table13[[#This Row],[kbli5]],Table1[[#All],[kbli5]:[digital_hijau]],3,)</f>
        <v>#N/A</v>
      </c>
      <c r="E359" s="53" t="e">
        <f>VLOOKUP(Table13[[#This Row],[kbli5]],kata_kunci!$B:$H,4,FALSE)</f>
        <v>#N/A</v>
      </c>
      <c r="F359" s="53" t="e">
        <f>VLOOKUP(Table13[[#This Row],[kbli5]],Table1[[#All],[kbli5]:[digital_hijau]],5,)</f>
        <v>#N/A</v>
      </c>
      <c r="G359" s="53" t="e">
        <f>VLOOKUP(Table13[[#This Row],[kbli5]],Table1[[#All],[kbli5]:[digital_hijau]],6,)</f>
        <v>#N/A</v>
      </c>
      <c r="H359" s="54" t="e">
        <f>VLOOKUP(Table13[[#This Row],[kbli5]],kata_kunci!$B:$H,3,FALSE)</f>
        <v>#N/A</v>
      </c>
      <c r="I359" s="84" t="e">
        <f>VLOOKUP(Table13[[#This Row],[kbli5]],kata_kunci!$B:$H,5,FALSE)</f>
        <v>#N/A</v>
      </c>
      <c r="J359" s="84" t="e">
        <f>VLOOKUP(Table13[[#This Row],[kbli5]],kata_kunci!$B:$H,6,FALSE)</f>
        <v>#N/A</v>
      </c>
      <c r="K359" s="84" t="e">
        <f>VLOOKUP(Table13[[#This Row],[kbli5]],kata_kunci!$B:$H,7,FALSE)</f>
        <v>#N/A</v>
      </c>
    </row>
    <row r="360" spans="1:11" ht="15.75" thickBot="1" x14ac:dyDescent="0.3">
      <c r="A360" s="53" t="s">
        <v>450</v>
      </c>
      <c r="B360" s="40">
        <v>19202</v>
      </c>
      <c r="C360" s="41" t="s">
        <v>637</v>
      </c>
      <c r="D360" s="30" t="e">
        <f>VLOOKUP(Table13[[#This Row],[kbli5]],Table1[[#All],[kbli5]:[digital_hijau]],3,)</f>
        <v>#N/A</v>
      </c>
      <c r="E360" s="53" t="e">
        <f>VLOOKUP(Table13[[#This Row],[kbli5]],kata_kunci!$B:$H,4,FALSE)</f>
        <v>#N/A</v>
      </c>
      <c r="F360" s="53" t="e">
        <f>VLOOKUP(Table13[[#This Row],[kbli5]],Table1[[#All],[kbli5]:[digital_hijau]],5,)</f>
        <v>#N/A</v>
      </c>
      <c r="G360" s="53" t="e">
        <f>VLOOKUP(Table13[[#This Row],[kbli5]],Table1[[#All],[kbli5]:[digital_hijau]],6,)</f>
        <v>#N/A</v>
      </c>
      <c r="H360" s="54" t="e">
        <f>VLOOKUP(Table13[[#This Row],[kbli5]],kata_kunci!$B:$H,3,FALSE)</f>
        <v>#N/A</v>
      </c>
      <c r="I360" s="84" t="e">
        <f>VLOOKUP(Table13[[#This Row],[kbli5]],kata_kunci!$B:$H,5,FALSE)</f>
        <v>#N/A</v>
      </c>
      <c r="J360" s="84" t="e">
        <f>VLOOKUP(Table13[[#This Row],[kbli5]],kata_kunci!$B:$H,6,FALSE)</f>
        <v>#N/A</v>
      </c>
      <c r="K360" s="84" t="e">
        <f>VLOOKUP(Table13[[#This Row],[kbli5]],kata_kunci!$B:$H,7,FALSE)</f>
        <v>#N/A</v>
      </c>
    </row>
    <row r="361" spans="1:11" ht="45.75" thickBot="1" x14ac:dyDescent="0.3">
      <c r="A361" s="53" t="s">
        <v>450</v>
      </c>
      <c r="B361" s="40">
        <v>19203</v>
      </c>
      <c r="C361" s="41" t="s">
        <v>638</v>
      </c>
      <c r="D361" s="30" t="e">
        <f>VLOOKUP(Table13[[#This Row],[kbli5]],Table1[[#All],[kbli5]:[digital_hijau]],3,)</f>
        <v>#N/A</v>
      </c>
      <c r="E361" s="53" t="e">
        <f>VLOOKUP(Table13[[#This Row],[kbli5]],kata_kunci!$B:$H,4,FALSE)</f>
        <v>#N/A</v>
      </c>
      <c r="F361" s="53" t="e">
        <f>VLOOKUP(Table13[[#This Row],[kbli5]],Table1[[#All],[kbli5]:[digital_hijau]],5,)</f>
        <v>#N/A</v>
      </c>
      <c r="G361" s="53" t="e">
        <f>VLOOKUP(Table13[[#This Row],[kbli5]],Table1[[#All],[kbli5]:[digital_hijau]],6,)</f>
        <v>#N/A</v>
      </c>
      <c r="H361" s="54" t="e">
        <f>VLOOKUP(Table13[[#This Row],[kbli5]],kata_kunci!$B:$H,3,FALSE)</f>
        <v>#N/A</v>
      </c>
      <c r="I361" s="84" t="e">
        <f>VLOOKUP(Table13[[#This Row],[kbli5]],kata_kunci!$B:$H,5,FALSE)</f>
        <v>#N/A</v>
      </c>
      <c r="J361" s="84" t="e">
        <f>VLOOKUP(Table13[[#This Row],[kbli5]],kata_kunci!$B:$H,6,FALSE)</f>
        <v>#N/A</v>
      </c>
      <c r="K361" s="84" t="e">
        <f>VLOOKUP(Table13[[#This Row],[kbli5]],kata_kunci!$B:$H,7,FALSE)</f>
        <v>#N/A</v>
      </c>
    </row>
    <row r="362" spans="1:11" ht="45.75" thickBot="1" x14ac:dyDescent="0.3">
      <c r="A362" s="53" t="s">
        <v>450</v>
      </c>
      <c r="B362" s="40">
        <v>19204</v>
      </c>
      <c r="C362" s="41" t="s">
        <v>639</v>
      </c>
      <c r="D362" s="30" t="e">
        <f>VLOOKUP(Table13[[#This Row],[kbli5]],Table1[[#All],[kbli5]:[digital_hijau]],3,)</f>
        <v>#N/A</v>
      </c>
      <c r="E362" s="53" t="e">
        <f>VLOOKUP(Table13[[#This Row],[kbli5]],kata_kunci!$B:$H,4,FALSE)</f>
        <v>#N/A</v>
      </c>
      <c r="F362" s="53" t="e">
        <f>VLOOKUP(Table13[[#This Row],[kbli5]],Table1[[#All],[kbli5]:[digital_hijau]],5,)</f>
        <v>#N/A</v>
      </c>
      <c r="G362" s="53" t="e">
        <f>VLOOKUP(Table13[[#This Row],[kbli5]],Table1[[#All],[kbli5]:[digital_hijau]],6,)</f>
        <v>#N/A</v>
      </c>
      <c r="H362" s="54" t="e">
        <f>VLOOKUP(Table13[[#This Row],[kbli5]],kata_kunci!$B:$H,3,FALSE)</f>
        <v>#N/A</v>
      </c>
      <c r="I362" s="84" t="e">
        <f>VLOOKUP(Table13[[#This Row],[kbli5]],kata_kunci!$B:$H,5,FALSE)</f>
        <v>#N/A</v>
      </c>
      <c r="J362" s="84" t="e">
        <f>VLOOKUP(Table13[[#This Row],[kbli5]],kata_kunci!$B:$H,6,FALSE)</f>
        <v>#N/A</v>
      </c>
      <c r="K362" s="84" t="e">
        <f>VLOOKUP(Table13[[#This Row],[kbli5]],kata_kunci!$B:$H,7,FALSE)</f>
        <v>#N/A</v>
      </c>
    </row>
    <row r="363" spans="1:11" ht="15.75" thickBot="1" x14ac:dyDescent="0.3">
      <c r="A363" s="53" t="s">
        <v>450</v>
      </c>
      <c r="B363" s="40">
        <v>19205</v>
      </c>
      <c r="C363" s="41" t="s">
        <v>640</v>
      </c>
      <c r="D363" s="30" t="e">
        <f>VLOOKUP(Table13[[#This Row],[kbli5]],Table1[[#All],[kbli5]:[digital_hijau]],3,)</f>
        <v>#N/A</v>
      </c>
      <c r="E363" s="53" t="e">
        <f>VLOOKUP(Table13[[#This Row],[kbli5]],kata_kunci!$B:$H,4,FALSE)</f>
        <v>#N/A</v>
      </c>
      <c r="F363" s="53" t="e">
        <f>VLOOKUP(Table13[[#This Row],[kbli5]],Table1[[#All],[kbli5]:[digital_hijau]],5,)</f>
        <v>#N/A</v>
      </c>
      <c r="G363" s="53" t="e">
        <f>VLOOKUP(Table13[[#This Row],[kbli5]],Table1[[#All],[kbli5]:[digital_hijau]],6,)</f>
        <v>#N/A</v>
      </c>
      <c r="H363" s="54" t="e">
        <f>VLOOKUP(Table13[[#This Row],[kbli5]],kata_kunci!$B:$H,3,FALSE)</f>
        <v>#N/A</v>
      </c>
      <c r="I363" s="84" t="e">
        <f>VLOOKUP(Table13[[#This Row],[kbli5]],kata_kunci!$B:$H,5,FALSE)</f>
        <v>#N/A</v>
      </c>
      <c r="J363" s="84" t="e">
        <f>VLOOKUP(Table13[[#This Row],[kbli5]],kata_kunci!$B:$H,6,FALSE)</f>
        <v>#N/A</v>
      </c>
      <c r="K363" s="84" t="e">
        <f>VLOOKUP(Table13[[#This Row],[kbli5]],kata_kunci!$B:$H,7,FALSE)</f>
        <v>#N/A</v>
      </c>
    </row>
    <row r="364" spans="1:11" ht="45.75" thickBot="1" x14ac:dyDescent="0.3">
      <c r="A364" s="53" t="s">
        <v>450</v>
      </c>
      <c r="B364" s="40">
        <v>19206</v>
      </c>
      <c r="C364" s="41" t="s">
        <v>641</v>
      </c>
      <c r="D364" s="30" t="e">
        <f>VLOOKUP(Table13[[#This Row],[kbli5]],Table1[[#All],[kbli5]:[digital_hijau]],3,)</f>
        <v>#N/A</v>
      </c>
      <c r="E364" s="53" t="e">
        <f>VLOOKUP(Table13[[#This Row],[kbli5]],kata_kunci!$B:$H,4,FALSE)</f>
        <v>#N/A</v>
      </c>
      <c r="F364" s="53" t="e">
        <f>VLOOKUP(Table13[[#This Row],[kbli5]],Table1[[#All],[kbli5]:[digital_hijau]],5,)</f>
        <v>#N/A</v>
      </c>
      <c r="G364" s="53" t="e">
        <f>VLOOKUP(Table13[[#This Row],[kbli5]],Table1[[#All],[kbli5]:[digital_hijau]],6,)</f>
        <v>#N/A</v>
      </c>
      <c r="H364" s="54" t="e">
        <f>VLOOKUP(Table13[[#This Row],[kbli5]],kata_kunci!$B:$H,3,FALSE)</f>
        <v>#N/A</v>
      </c>
      <c r="I364" s="84" t="e">
        <f>VLOOKUP(Table13[[#This Row],[kbli5]],kata_kunci!$B:$H,5,FALSE)</f>
        <v>#N/A</v>
      </c>
      <c r="J364" s="84" t="e">
        <f>VLOOKUP(Table13[[#This Row],[kbli5]],kata_kunci!$B:$H,6,FALSE)</f>
        <v>#N/A</v>
      </c>
      <c r="K364" s="84" t="e">
        <f>VLOOKUP(Table13[[#This Row],[kbli5]],kata_kunci!$B:$H,7,FALSE)</f>
        <v>#N/A</v>
      </c>
    </row>
    <row r="365" spans="1:11" ht="45.75" thickBot="1" x14ac:dyDescent="0.3">
      <c r="A365" s="53" t="s">
        <v>450</v>
      </c>
      <c r="B365" s="40">
        <v>19209</v>
      </c>
      <c r="C365" s="41" t="s">
        <v>642</v>
      </c>
      <c r="D365" s="30" t="e">
        <f>VLOOKUP(Table13[[#This Row],[kbli5]],Table1[[#All],[kbli5]:[digital_hijau]],3,)</f>
        <v>#N/A</v>
      </c>
      <c r="E365" s="53" t="e">
        <f>VLOOKUP(Table13[[#This Row],[kbli5]],kata_kunci!$B:$H,4,FALSE)</f>
        <v>#N/A</v>
      </c>
      <c r="F365" s="53" t="e">
        <f>VLOOKUP(Table13[[#This Row],[kbli5]],Table1[[#All],[kbli5]:[digital_hijau]],5,)</f>
        <v>#N/A</v>
      </c>
      <c r="G365" s="53" t="e">
        <f>VLOOKUP(Table13[[#This Row],[kbli5]],Table1[[#All],[kbli5]:[digital_hijau]],6,)</f>
        <v>#N/A</v>
      </c>
      <c r="H365" s="54" t="e">
        <f>VLOOKUP(Table13[[#This Row],[kbli5]],kata_kunci!$B:$H,3,FALSE)</f>
        <v>#N/A</v>
      </c>
      <c r="I365" s="84" t="e">
        <f>VLOOKUP(Table13[[#This Row],[kbli5]],kata_kunci!$B:$H,5,FALSE)</f>
        <v>#N/A</v>
      </c>
      <c r="J365" s="84" t="e">
        <f>VLOOKUP(Table13[[#This Row],[kbli5]],kata_kunci!$B:$H,6,FALSE)</f>
        <v>#N/A</v>
      </c>
      <c r="K365" s="84" t="e">
        <f>VLOOKUP(Table13[[#This Row],[kbli5]],kata_kunci!$B:$H,7,FALSE)</f>
        <v>#N/A</v>
      </c>
    </row>
    <row r="366" spans="1:11" ht="30.75" thickBot="1" x14ac:dyDescent="0.3">
      <c r="A366" s="53" t="s">
        <v>450</v>
      </c>
      <c r="B366" s="40">
        <v>20111</v>
      </c>
      <c r="C366" s="41" t="s">
        <v>643</v>
      </c>
      <c r="D366" s="30" t="e">
        <f>VLOOKUP(Table13[[#This Row],[kbli5]],Table1[[#All],[kbli5]:[digital_hijau]],3,)</f>
        <v>#N/A</v>
      </c>
      <c r="E366" s="53" t="e">
        <f>VLOOKUP(Table13[[#This Row],[kbli5]],kata_kunci!$B:$H,4,FALSE)</f>
        <v>#N/A</v>
      </c>
      <c r="F366" s="53" t="e">
        <f>VLOOKUP(Table13[[#This Row],[kbli5]],Table1[[#All],[kbli5]:[digital_hijau]],5,)</f>
        <v>#N/A</v>
      </c>
      <c r="G366" s="53" t="e">
        <f>VLOOKUP(Table13[[#This Row],[kbli5]],Table1[[#All],[kbli5]:[digital_hijau]],6,)</f>
        <v>#N/A</v>
      </c>
      <c r="H366" s="54" t="e">
        <f>VLOOKUP(Table13[[#This Row],[kbli5]],kata_kunci!$B:$H,3,FALSE)</f>
        <v>#N/A</v>
      </c>
      <c r="I366" s="84" t="e">
        <f>VLOOKUP(Table13[[#This Row],[kbli5]],kata_kunci!$B:$H,5,FALSE)</f>
        <v>#N/A</v>
      </c>
      <c r="J366" s="84" t="e">
        <f>VLOOKUP(Table13[[#This Row],[kbli5]],kata_kunci!$B:$H,6,FALSE)</f>
        <v>#N/A</v>
      </c>
      <c r="K366" s="84" t="e">
        <f>VLOOKUP(Table13[[#This Row],[kbli5]],kata_kunci!$B:$H,7,FALSE)</f>
        <v>#N/A</v>
      </c>
    </row>
    <row r="367" spans="1:11" ht="15.75" thickBot="1" x14ac:dyDescent="0.3">
      <c r="A367" s="53" t="s">
        <v>450</v>
      </c>
      <c r="B367" s="40">
        <v>20112</v>
      </c>
      <c r="C367" s="41" t="s">
        <v>644</v>
      </c>
      <c r="D367" s="30" t="e">
        <f>VLOOKUP(Table13[[#This Row],[kbli5]],Table1[[#All],[kbli5]:[digital_hijau]],3,)</f>
        <v>#N/A</v>
      </c>
      <c r="E367" s="53" t="e">
        <f>VLOOKUP(Table13[[#This Row],[kbli5]],kata_kunci!$B:$H,4,FALSE)</f>
        <v>#N/A</v>
      </c>
      <c r="F367" s="53" t="e">
        <f>VLOOKUP(Table13[[#This Row],[kbli5]],Table1[[#All],[kbli5]:[digital_hijau]],5,)</f>
        <v>#N/A</v>
      </c>
      <c r="G367" s="53" t="e">
        <f>VLOOKUP(Table13[[#This Row],[kbli5]],Table1[[#All],[kbli5]:[digital_hijau]],6,)</f>
        <v>#N/A</v>
      </c>
      <c r="H367" s="54" t="e">
        <f>VLOOKUP(Table13[[#This Row],[kbli5]],kata_kunci!$B:$H,3,FALSE)</f>
        <v>#N/A</v>
      </c>
      <c r="I367" s="84" t="e">
        <f>VLOOKUP(Table13[[#This Row],[kbli5]],kata_kunci!$B:$H,5,FALSE)</f>
        <v>#N/A</v>
      </c>
      <c r="J367" s="84" t="e">
        <f>VLOOKUP(Table13[[#This Row],[kbli5]],kata_kunci!$B:$H,6,FALSE)</f>
        <v>#N/A</v>
      </c>
      <c r="K367" s="84" t="e">
        <f>VLOOKUP(Table13[[#This Row],[kbli5]],kata_kunci!$B:$H,7,FALSE)</f>
        <v>#N/A</v>
      </c>
    </row>
    <row r="368" spans="1:11" ht="30.75" thickBot="1" x14ac:dyDescent="0.3">
      <c r="A368" s="53" t="s">
        <v>450</v>
      </c>
      <c r="B368" s="40">
        <v>20113</v>
      </c>
      <c r="C368" s="41" t="s">
        <v>645</v>
      </c>
      <c r="D368" s="30" t="e">
        <f>VLOOKUP(Table13[[#This Row],[kbli5]],Table1[[#All],[kbli5]:[digital_hijau]],3,)</f>
        <v>#N/A</v>
      </c>
      <c r="E368" s="53" t="e">
        <f>VLOOKUP(Table13[[#This Row],[kbli5]],kata_kunci!$B:$H,4,FALSE)</f>
        <v>#N/A</v>
      </c>
      <c r="F368" s="53" t="e">
        <f>VLOOKUP(Table13[[#This Row],[kbli5]],Table1[[#All],[kbli5]:[digital_hijau]],5,)</f>
        <v>#N/A</v>
      </c>
      <c r="G368" s="53" t="e">
        <f>VLOOKUP(Table13[[#This Row],[kbli5]],Table1[[#All],[kbli5]:[digital_hijau]],6,)</f>
        <v>#N/A</v>
      </c>
      <c r="H368" s="54" t="e">
        <f>VLOOKUP(Table13[[#This Row],[kbli5]],kata_kunci!$B:$H,3,FALSE)</f>
        <v>#N/A</v>
      </c>
      <c r="I368" s="84" t="e">
        <f>VLOOKUP(Table13[[#This Row],[kbli5]],kata_kunci!$B:$H,5,FALSE)</f>
        <v>#N/A</v>
      </c>
      <c r="J368" s="84" t="e">
        <f>VLOOKUP(Table13[[#This Row],[kbli5]],kata_kunci!$B:$H,6,FALSE)</f>
        <v>#N/A</v>
      </c>
      <c r="K368" s="84" t="e">
        <f>VLOOKUP(Table13[[#This Row],[kbli5]],kata_kunci!$B:$H,7,FALSE)</f>
        <v>#N/A</v>
      </c>
    </row>
    <row r="369" spans="1:11" ht="30.75" thickBot="1" x14ac:dyDescent="0.3">
      <c r="A369" s="53" t="s">
        <v>450</v>
      </c>
      <c r="B369" s="40">
        <v>20114</v>
      </c>
      <c r="C369" s="41" t="s">
        <v>646</v>
      </c>
      <c r="D369" s="30" t="e">
        <f>VLOOKUP(Table13[[#This Row],[kbli5]],Table1[[#All],[kbli5]:[digital_hijau]],3,)</f>
        <v>#N/A</v>
      </c>
      <c r="E369" s="53" t="e">
        <f>VLOOKUP(Table13[[#This Row],[kbli5]],kata_kunci!$B:$H,4,FALSE)</f>
        <v>#N/A</v>
      </c>
      <c r="F369" s="53" t="e">
        <f>VLOOKUP(Table13[[#This Row],[kbli5]],Table1[[#All],[kbli5]:[digital_hijau]],5,)</f>
        <v>#N/A</v>
      </c>
      <c r="G369" s="53" t="e">
        <f>VLOOKUP(Table13[[#This Row],[kbli5]],Table1[[#All],[kbli5]:[digital_hijau]],6,)</f>
        <v>#N/A</v>
      </c>
      <c r="H369" s="54" t="e">
        <f>VLOOKUP(Table13[[#This Row],[kbli5]],kata_kunci!$B:$H,3,FALSE)</f>
        <v>#N/A</v>
      </c>
      <c r="I369" s="84" t="e">
        <f>VLOOKUP(Table13[[#This Row],[kbli5]],kata_kunci!$B:$H,5,FALSE)</f>
        <v>#N/A</v>
      </c>
      <c r="J369" s="84" t="e">
        <f>VLOOKUP(Table13[[#This Row],[kbli5]],kata_kunci!$B:$H,6,FALSE)</f>
        <v>#N/A</v>
      </c>
      <c r="K369" s="84" t="e">
        <f>VLOOKUP(Table13[[#This Row],[kbli5]],kata_kunci!$B:$H,7,FALSE)</f>
        <v>#N/A</v>
      </c>
    </row>
    <row r="370" spans="1:11" ht="45.75" thickBot="1" x14ac:dyDescent="0.3">
      <c r="A370" s="53" t="s">
        <v>450</v>
      </c>
      <c r="B370" s="40">
        <v>20115</v>
      </c>
      <c r="C370" s="41" t="s">
        <v>647</v>
      </c>
      <c r="D370" s="30" t="e">
        <f>VLOOKUP(Table13[[#This Row],[kbli5]],Table1[[#All],[kbli5]:[digital_hijau]],3,)</f>
        <v>#N/A</v>
      </c>
      <c r="E370" s="53" t="e">
        <f>VLOOKUP(Table13[[#This Row],[kbli5]],kata_kunci!$B:$H,4,FALSE)</f>
        <v>#N/A</v>
      </c>
      <c r="F370" s="53" t="e">
        <f>VLOOKUP(Table13[[#This Row],[kbli5]],Table1[[#All],[kbli5]:[digital_hijau]],5,)</f>
        <v>#N/A</v>
      </c>
      <c r="G370" s="53" t="e">
        <f>VLOOKUP(Table13[[#This Row],[kbli5]],Table1[[#All],[kbli5]:[digital_hijau]],6,)</f>
        <v>#N/A</v>
      </c>
      <c r="H370" s="54" t="e">
        <f>VLOOKUP(Table13[[#This Row],[kbli5]],kata_kunci!$B:$H,3,FALSE)</f>
        <v>#N/A</v>
      </c>
      <c r="I370" s="84" t="e">
        <f>VLOOKUP(Table13[[#This Row],[kbli5]],kata_kunci!$B:$H,5,FALSE)</f>
        <v>#N/A</v>
      </c>
      <c r="J370" s="84" t="e">
        <f>VLOOKUP(Table13[[#This Row],[kbli5]],kata_kunci!$B:$H,6,FALSE)</f>
        <v>#N/A</v>
      </c>
      <c r="K370" s="84" t="e">
        <f>VLOOKUP(Table13[[#This Row],[kbli5]],kata_kunci!$B:$H,7,FALSE)</f>
        <v>#N/A</v>
      </c>
    </row>
    <row r="371" spans="1:11" ht="45.75" thickBot="1" x14ac:dyDescent="0.3">
      <c r="A371" s="53" t="s">
        <v>450</v>
      </c>
      <c r="B371" s="40">
        <v>20116</v>
      </c>
      <c r="C371" s="41" t="s">
        <v>648</v>
      </c>
      <c r="D371" s="30" t="e">
        <f>VLOOKUP(Table13[[#This Row],[kbli5]],Table1[[#All],[kbli5]:[digital_hijau]],3,)</f>
        <v>#N/A</v>
      </c>
      <c r="E371" s="53" t="e">
        <f>VLOOKUP(Table13[[#This Row],[kbli5]],kata_kunci!$B:$H,4,FALSE)</f>
        <v>#N/A</v>
      </c>
      <c r="F371" s="53" t="e">
        <f>VLOOKUP(Table13[[#This Row],[kbli5]],Table1[[#All],[kbli5]:[digital_hijau]],5,)</f>
        <v>#N/A</v>
      </c>
      <c r="G371" s="53" t="e">
        <f>VLOOKUP(Table13[[#This Row],[kbli5]],Table1[[#All],[kbli5]:[digital_hijau]],6,)</f>
        <v>#N/A</v>
      </c>
      <c r="H371" s="54" t="e">
        <f>VLOOKUP(Table13[[#This Row],[kbli5]],kata_kunci!$B:$H,3,FALSE)</f>
        <v>#N/A</v>
      </c>
      <c r="I371" s="84" t="e">
        <f>VLOOKUP(Table13[[#This Row],[kbli5]],kata_kunci!$B:$H,5,FALSE)</f>
        <v>#N/A</v>
      </c>
      <c r="J371" s="84" t="e">
        <f>VLOOKUP(Table13[[#This Row],[kbli5]],kata_kunci!$B:$H,6,FALSE)</f>
        <v>#N/A</v>
      </c>
      <c r="K371" s="84" t="e">
        <f>VLOOKUP(Table13[[#This Row],[kbli5]],kata_kunci!$B:$H,7,FALSE)</f>
        <v>#N/A</v>
      </c>
    </row>
    <row r="372" spans="1:11" ht="30.75" thickBot="1" x14ac:dyDescent="0.3">
      <c r="A372" s="53" t="s">
        <v>450</v>
      </c>
      <c r="B372" s="40">
        <v>20119</v>
      </c>
      <c r="C372" s="41" t="s">
        <v>649</v>
      </c>
      <c r="D372" s="30" t="e">
        <f>VLOOKUP(Table13[[#This Row],[kbli5]],Table1[[#All],[kbli5]:[digital_hijau]],3,)</f>
        <v>#N/A</v>
      </c>
      <c r="E372" s="53" t="e">
        <f>VLOOKUP(Table13[[#This Row],[kbli5]],kata_kunci!$B:$H,4,FALSE)</f>
        <v>#N/A</v>
      </c>
      <c r="F372" s="53" t="e">
        <f>VLOOKUP(Table13[[#This Row],[kbli5]],Table1[[#All],[kbli5]:[digital_hijau]],5,)</f>
        <v>#N/A</v>
      </c>
      <c r="G372" s="53" t="e">
        <f>VLOOKUP(Table13[[#This Row],[kbli5]],Table1[[#All],[kbli5]:[digital_hijau]],6,)</f>
        <v>#N/A</v>
      </c>
      <c r="H372" s="54" t="e">
        <f>VLOOKUP(Table13[[#This Row],[kbli5]],kata_kunci!$B:$H,3,FALSE)</f>
        <v>#N/A</v>
      </c>
      <c r="I372" s="84" t="e">
        <f>VLOOKUP(Table13[[#This Row],[kbli5]],kata_kunci!$B:$H,5,FALSE)</f>
        <v>#N/A</v>
      </c>
      <c r="J372" s="84" t="e">
        <f>VLOOKUP(Table13[[#This Row],[kbli5]],kata_kunci!$B:$H,6,FALSE)</f>
        <v>#N/A</v>
      </c>
      <c r="K372" s="84" t="e">
        <f>VLOOKUP(Table13[[#This Row],[kbli5]],kata_kunci!$B:$H,7,FALSE)</f>
        <v>#N/A</v>
      </c>
    </row>
    <row r="373" spans="1:11" ht="45.75" thickBot="1" x14ac:dyDescent="0.3">
      <c r="A373" s="53" t="s">
        <v>450</v>
      </c>
      <c r="B373" s="40">
        <v>20121</v>
      </c>
      <c r="C373" s="41" t="s">
        <v>650</v>
      </c>
      <c r="D373" s="30" t="e">
        <f>VLOOKUP(Table13[[#This Row],[kbli5]],Table1[[#All],[kbli5]:[digital_hijau]],3,)</f>
        <v>#N/A</v>
      </c>
      <c r="E373" s="53" t="e">
        <f>VLOOKUP(Table13[[#This Row],[kbli5]],kata_kunci!$B:$H,4,FALSE)</f>
        <v>#N/A</v>
      </c>
      <c r="F373" s="53" t="e">
        <f>VLOOKUP(Table13[[#This Row],[kbli5]],Table1[[#All],[kbli5]:[digital_hijau]],5,)</f>
        <v>#N/A</v>
      </c>
      <c r="G373" s="53" t="e">
        <f>VLOOKUP(Table13[[#This Row],[kbli5]],Table1[[#All],[kbli5]:[digital_hijau]],6,)</f>
        <v>#N/A</v>
      </c>
      <c r="H373" s="54" t="e">
        <f>VLOOKUP(Table13[[#This Row],[kbli5]],kata_kunci!$B:$H,3,FALSE)</f>
        <v>#N/A</v>
      </c>
      <c r="I373" s="84" t="e">
        <f>VLOOKUP(Table13[[#This Row],[kbli5]],kata_kunci!$B:$H,5,FALSE)</f>
        <v>#N/A</v>
      </c>
      <c r="J373" s="84" t="e">
        <f>VLOOKUP(Table13[[#This Row],[kbli5]],kata_kunci!$B:$H,6,FALSE)</f>
        <v>#N/A</v>
      </c>
      <c r="K373" s="84" t="e">
        <f>VLOOKUP(Table13[[#This Row],[kbli5]],kata_kunci!$B:$H,7,FALSE)</f>
        <v>#N/A</v>
      </c>
    </row>
    <row r="374" spans="1:11" ht="30.75" thickBot="1" x14ac:dyDescent="0.3">
      <c r="A374" s="53" t="s">
        <v>450</v>
      </c>
      <c r="B374" s="40">
        <v>20122</v>
      </c>
      <c r="C374" s="41" t="s">
        <v>651</v>
      </c>
      <c r="D374" s="30" t="e">
        <f>VLOOKUP(Table13[[#This Row],[kbli5]],Table1[[#All],[kbli5]:[digital_hijau]],3,)</f>
        <v>#N/A</v>
      </c>
      <c r="E374" s="53" t="e">
        <f>VLOOKUP(Table13[[#This Row],[kbli5]],kata_kunci!$B:$H,4,FALSE)</f>
        <v>#N/A</v>
      </c>
      <c r="F374" s="53" t="e">
        <f>VLOOKUP(Table13[[#This Row],[kbli5]],Table1[[#All],[kbli5]:[digital_hijau]],5,)</f>
        <v>#N/A</v>
      </c>
      <c r="G374" s="53" t="e">
        <f>VLOOKUP(Table13[[#This Row],[kbli5]],Table1[[#All],[kbli5]:[digital_hijau]],6,)</f>
        <v>#N/A</v>
      </c>
      <c r="H374" s="54" t="e">
        <f>VLOOKUP(Table13[[#This Row],[kbli5]],kata_kunci!$B:$H,3,FALSE)</f>
        <v>#N/A</v>
      </c>
      <c r="I374" s="84" t="e">
        <f>VLOOKUP(Table13[[#This Row],[kbli5]],kata_kunci!$B:$H,5,FALSE)</f>
        <v>#N/A</v>
      </c>
      <c r="J374" s="84" t="e">
        <f>VLOOKUP(Table13[[#This Row],[kbli5]],kata_kunci!$B:$H,6,FALSE)</f>
        <v>#N/A</v>
      </c>
      <c r="K374" s="84" t="e">
        <f>VLOOKUP(Table13[[#This Row],[kbli5]],kata_kunci!$B:$H,7,FALSE)</f>
        <v>#N/A</v>
      </c>
    </row>
    <row r="375" spans="1:11" ht="30.75" thickBot="1" x14ac:dyDescent="0.3">
      <c r="A375" s="53" t="s">
        <v>450</v>
      </c>
      <c r="B375" s="40">
        <v>20123</v>
      </c>
      <c r="C375" s="41" t="s">
        <v>652</v>
      </c>
      <c r="D375" s="30" t="e">
        <f>VLOOKUP(Table13[[#This Row],[kbli5]],Table1[[#All],[kbli5]:[digital_hijau]],3,)</f>
        <v>#N/A</v>
      </c>
      <c r="E375" s="53" t="e">
        <f>VLOOKUP(Table13[[#This Row],[kbli5]],kata_kunci!$B:$H,4,FALSE)</f>
        <v>#N/A</v>
      </c>
      <c r="F375" s="53" t="e">
        <f>VLOOKUP(Table13[[#This Row],[kbli5]],Table1[[#All],[kbli5]:[digital_hijau]],5,)</f>
        <v>#N/A</v>
      </c>
      <c r="G375" s="53" t="e">
        <f>VLOOKUP(Table13[[#This Row],[kbli5]],Table1[[#All],[kbli5]:[digital_hijau]],6,)</f>
        <v>#N/A</v>
      </c>
      <c r="H375" s="54" t="e">
        <f>VLOOKUP(Table13[[#This Row],[kbli5]],kata_kunci!$B:$H,3,FALSE)</f>
        <v>#N/A</v>
      </c>
      <c r="I375" s="84" t="e">
        <f>VLOOKUP(Table13[[#This Row],[kbli5]],kata_kunci!$B:$H,5,FALSE)</f>
        <v>#N/A</v>
      </c>
      <c r="J375" s="84" t="e">
        <f>VLOOKUP(Table13[[#This Row],[kbli5]],kata_kunci!$B:$H,6,FALSE)</f>
        <v>#N/A</v>
      </c>
      <c r="K375" s="84" t="e">
        <f>VLOOKUP(Table13[[#This Row],[kbli5]],kata_kunci!$B:$H,7,FALSE)</f>
        <v>#N/A</v>
      </c>
    </row>
    <row r="376" spans="1:11" ht="45.75" thickBot="1" x14ac:dyDescent="0.3">
      <c r="A376" s="53" t="s">
        <v>450</v>
      </c>
      <c r="B376" s="40">
        <v>20124</v>
      </c>
      <c r="C376" s="41" t="s">
        <v>653</v>
      </c>
      <c r="D376" s="30" t="e">
        <f>VLOOKUP(Table13[[#This Row],[kbli5]],Table1[[#All],[kbli5]:[digital_hijau]],3,)</f>
        <v>#N/A</v>
      </c>
      <c r="E376" s="53" t="e">
        <f>VLOOKUP(Table13[[#This Row],[kbli5]],kata_kunci!$B:$H,4,FALSE)</f>
        <v>#N/A</v>
      </c>
      <c r="F376" s="53" t="e">
        <f>VLOOKUP(Table13[[#This Row],[kbli5]],Table1[[#All],[kbli5]:[digital_hijau]],5,)</f>
        <v>#N/A</v>
      </c>
      <c r="G376" s="53" t="e">
        <f>VLOOKUP(Table13[[#This Row],[kbli5]],Table1[[#All],[kbli5]:[digital_hijau]],6,)</f>
        <v>#N/A</v>
      </c>
      <c r="H376" s="54" t="e">
        <f>VLOOKUP(Table13[[#This Row],[kbli5]],kata_kunci!$B:$H,3,FALSE)</f>
        <v>#N/A</v>
      </c>
      <c r="I376" s="84" t="e">
        <f>VLOOKUP(Table13[[#This Row],[kbli5]],kata_kunci!$B:$H,5,FALSE)</f>
        <v>#N/A</v>
      </c>
      <c r="J376" s="84" t="e">
        <f>VLOOKUP(Table13[[#This Row],[kbli5]],kata_kunci!$B:$H,6,FALSE)</f>
        <v>#N/A</v>
      </c>
      <c r="K376" s="84" t="e">
        <f>VLOOKUP(Table13[[#This Row],[kbli5]],kata_kunci!$B:$H,7,FALSE)</f>
        <v>#N/A</v>
      </c>
    </row>
    <row r="377" spans="1:11" ht="15.75" thickBot="1" x14ac:dyDescent="0.3">
      <c r="A377" s="53" t="s">
        <v>450</v>
      </c>
      <c r="B377" s="40">
        <v>20125</v>
      </c>
      <c r="C377" s="41" t="s">
        <v>654</v>
      </c>
      <c r="D377" s="30" t="e">
        <f>VLOOKUP(Table13[[#This Row],[kbli5]],Table1[[#All],[kbli5]:[digital_hijau]],3,)</f>
        <v>#N/A</v>
      </c>
      <c r="E377" s="53" t="e">
        <f>VLOOKUP(Table13[[#This Row],[kbli5]],kata_kunci!$B:$H,4,FALSE)</f>
        <v>#N/A</v>
      </c>
      <c r="F377" s="53" t="e">
        <f>VLOOKUP(Table13[[#This Row],[kbli5]],Table1[[#All],[kbli5]:[digital_hijau]],5,)</f>
        <v>#N/A</v>
      </c>
      <c r="G377" s="53" t="e">
        <f>VLOOKUP(Table13[[#This Row],[kbli5]],Table1[[#All],[kbli5]:[digital_hijau]],6,)</f>
        <v>#N/A</v>
      </c>
      <c r="H377" s="54" t="e">
        <f>VLOOKUP(Table13[[#This Row],[kbli5]],kata_kunci!$B:$H,3,FALSE)</f>
        <v>#N/A</v>
      </c>
      <c r="I377" s="84" t="e">
        <f>VLOOKUP(Table13[[#This Row],[kbli5]],kata_kunci!$B:$H,5,FALSE)</f>
        <v>#N/A</v>
      </c>
      <c r="J377" s="84" t="e">
        <f>VLOOKUP(Table13[[#This Row],[kbli5]],kata_kunci!$B:$H,6,FALSE)</f>
        <v>#N/A</v>
      </c>
      <c r="K377" s="84" t="e">
        <f>VLOOKUP(Table13[[#This Row],[kbli5]],kata_kunci!$B:$H,7,FALSE)</f>
        <v>#N/A</v>
      </c>
    </row>
    <row r="378" spans="1:11" ht="45.75" thickBot="1" x14ac:dyDescent="0.3">
      <c r="A378" s="53" t="s">
        <v>450</v>
      </c>
      <c r="B378" s="40">
        <v>20131</v>
      </c>
      <c r="C378" s="41" t="s">
        <v>655</v>
      </c>
      <c r="D378" s="30" t="e">
        <f>VLOOKUP(Table13[[#This Row],[kbli5]],Table1[[#All],[kbli5]:[digital_hijau]],3,)</f>
        <v>#N/A</v>
      </c>
      <c r="E378" s="53" t="e">
        <f>VLOOKUP(Table13[[#This Row],[kbli5]],kata_kunci!$B:$H,4,FALSE)</f>
        <v>#N/A</v>
      </c>
      <c r="F378" s="53" t="e">
        <f>VLOOKUP(Table13[[#This Row],[kbli5]],Table1[[#All],[kbli5]:[digital_hijau]],5,)</f>
        <v>#N/A</v>
      </c>
      <c r="G378" s="53" t="e">
        <f>VLOOKUP(Table13[[#This Row],[kbli5]],Table1[[#All],[kbli5]:[digital_hijau]],6,)</f>
        <v>#N/A</v>
      </c>
      <c r="H378" s="54" t="e">
        <f>VLOOKUP(Table13[[#This Row],[kbli5]],kata_kunci!$B:$H,3,FALSE)</f>
        <v>#N/A</v>
      </c>
      <c r="I378" s="84" t="e">
        <f>VLOOKUP(Table13[[#This Row],[kbli5]],kata_kunci!$B:$H,5,FALSE)</f>
        <v>#N/A</v>
      </c>
      <c r="J378" s="84" t="e">
        <f>VLOOKUP(Table13[[#This Row],[kbli5]],kata_kunci!$B:$H,6,FALSE)</f>
        <v>#N/A</v>
      </c>
      <c r="K378" s="84" t="e">
        <f>VLOOKUP(Table13[[#This Row],[kbli5]],kata_kunci!$B:$H,7,FALSE)</f>
        <v>#N/A</v>
      </c>
    </row>
    <row r="379" spans="1:11" ht="15.75" thickBot="1" x14ac:dyDescent="0.3">
      <c r="A379" s="53" t="s">
        <v>450</v>
      </c>
      <c r="B379" s="40">
        <v>20132</v>
      </c>
      <c r="C379" s="41" t="s">
        <v>656</v>
      </c>
      <c r="D379" s="30" t="e">
        <f>VLOOKUP(Table13[[#This Row],[kbli5]],Table1[[#All],[kbli5]:[digital_hijau]],3,)</f>
        <v>#N/A</v>
      </c>
      <c r="E379" s="53" t="e">
        <f>VLOOKUP(Table13[[#This Row],[kbli5]],kata_kunci!$B:$H,4,FALSE)</f>
        <v>#N/A</v>
      </c>
      <c r="F379" s="53" t="e">
        <f>VLOOKUP(Table13[[#This Row],[kbli5]],Table1[[#All],[kbli5]:[digital_hijau]],5,)</f>
        <v>#N/A</v>
      </c>
      <c r="G379" s="53" t="e">
        <f>VLOOKUP(Table13[[#This Row],[kbli5]],Table1[[#All],[kbli5]:[digital_hijau]],6,)</f>
        <v>#N/A</v>
      </c>
      <c r="H379" s="54" t="e">
        <f>VLOOKUP(Table13[[#This Row],[kbli5]],kata_kunci!$B:$H,3,FALSE)</f>
        <v>#N/A</v>
      </c>
      <c r="I379" s="84" t="e">
        <f>VLOOKUP(Table13[[#This Row],[kbli5]],kata_kunci!$B:$H,5,FALSE)</f>
        <v>#N/A</v>
      </c>
      <c r="J379" s="84" t="e">
        <f>VLOOKUP(Table13[[#This Row],[kbli5]],kata_kunci!$B:$H,6,FALSE)</f>
        <v>#N/A</v>
      </c>
      <c r="K379" s="84" t="e">
        <f>VLOOKUP(Table13[[#This Row],[kbli5]],kata_kunci!$B:$H,7,FALSE)</f>
        <v>#N/A</v>
      </c>
    </row>
    <row r="380" spans="1:11" ht="45.75" thickBot="1" x14ac:dyDescent="0.3">
      <c r="A380" s="53" t="s">
        <v>450</v>
      </c>
      <c r="B380" s="40">
        <v>20211</v>
      </c>
      <c r="C380" s="41" t="s">
        <v>657</v>
      </c>
      <c r="D380" s="30" t="e">
        <f>VLOOKUP(Table13[[#This Row],[kbli5]],Table1[[#All],[kbli5]:[digital_hijau]],3,)</f>
        <v>#N/A</v>
      </c>
      <c r="E380" s="53" t="e">
        <f>VLOOKUP(Table13[[#This Row],[kbli5]],kata_kunci!$B:$H,4,FALSE)</f>
        <v>#N/A</v>
      </c>
      <c r="F380" s="53" t="e">
        <f>VLOOKUP(Table13[[#This Row],[kbli5]],Table1[[#All],[kbli5]:[digital_hijau]],5,)</f>
        <v>#N/A</v>
      </c>
      <c r="G380" s="53" t="e">
        <f>VLOOKUP(Table13[[#This Row],[kbli5]],Table1[[#All],[kbli5]:[digital_hijau]],6,)</f>
        <v>#N/A</v>
      </c>
      <c r="H380" s="54" t="e">
        <f>VLOOKUP(Table13[[#This Row],[kbli5]],kata_kunci!$B:$H,3,FALSE)</f>
        <v>#N/A</v>
      </c>
      <c r="I380" s="84" t="e">
        <f>VLOOKUP(Table13[[#This Row],[kbli5]],kata_kunci!$B:$H,5,FALSE)</f>
        <v>#N/A</v>
      </c>
      <c r="J380" s="84" t="e">
        <f>VLOOKUP(Table13[[#This Row],[kbli5]],kata_kunci!$B:$H,6,FALSE)</f>
        <v>#N/A</v>
      </c>
      <c r="K380" s="84" t="e">
        <f>VLOOKUP(Table13[[#This Row],[kbli5]],kata_kunci!$B:$H,7,FALSE)</f>
        <v>#N/A</v>
      </c>
    </row>
    <row r="381" spans="1:11" ht="30.75" thickBot="1" x14ac:dyDescent="0.3">
      <c r="A381" s="53" t="s">
        <v>450</v>
      </c>
      <c r="B381" s="40">
        <v>20212</v>
      </c>
      <c r="C381" s="41" t="s">
        <v>658</v>
      </c>
      <c r="D381" s="30" t="e">
        <f>VLOOKUP(Table13[[#This Row],[kbli5]],Table1[[#All],[kbli5]:[digital_hijau]],3,)</f>
        <v>#N/A</v>
      </c>
      <c r="E381" s="53" t="e">
        <f>VLOOKUP(Table13[[#This Row],[kbli5]],kata_kunci!$B:$H,4,FALSE)</f>
        <v>#N/A</v>
      </c>
      <c r="F381" s="53" t="e">
        <f>VLOOKUP(Table13[[#This Row],[kbli5]],Table1[[#All],[kbli5]:[digital_hijau]],5,)</f>
        <v>#N/A</v>
      </c>
      <c r="G381" s="53" t="e">
        <f>VLOOKUP(Table13[[#This Row],[kbli5]],Table1[[#All],[kbli5]:[digital_hijau]],6,)</f>
        <v>#N/A</v>
      </c>
      <c r="H381" s="54" t="e">
        <f>VLOOKUP(Table13[[#This Row],[kbli5]],kata_kunci!$B:$H,3,FALSE)</f>
        <v>#N/A</v>
      </c>
      <c r="I381" s="84" t="e">
        <f>VLOOKUP(Table13[[#This Row],[kbli5]],kata_kunci!$B:$H,5,FALSE)</f>
        <v>#N/A</v>
      </c>
      <c r="J381" s="84" t="e">
        <f>VLOOKUP(Table13[[#This Row],[kbli5]],kata_kunci!$B:$H,6,FALSE)</f>
        <v>#N/A</v>
      </c>
      <c r="K381" s="84" t="e">
        <f>VLOOKUP(Table13[[#This Row],[kbli5]],kata_kunci!$B:$H,7,FALSE)</f>
        <v>#N/A</v>
      </c>
    </row>
    <row r="382" spans="1:11" ht="30.75" thickBot="1" x14ac:dyDescent="0.3">
      <c r="A382" s="53" t="s">
        <v>450</v>
      </c>
      <c r="B382" s="40">
        <v>20213</v>
      </c>
      <c r="C382" s="41" t="s">
        <v>659</v>
      </c>
      <c r="D382" s="30" t="e">
        <f>VLOOKUP(Table13[[#This Row],[kbli5]],Table1[[#All],[kbli5]:[digital_hijau]],3,)</f>
        <v>#N/A</v>
      </c>
      <c r="E382" s="53" t="e">
        <f>VLOOKUP(Table13[[#This Row],[kbli5]],kata_kunci!$B:$H,4,FALSE)</f>
        <v>#N/A</v>
      </c>
      <c r="F382" s="53" t="e">
        <f>VLOOKUP(Table13[[#This Row],[kbli5]],Table1[[#All],[kbli5]:[digital_hijau]],5,)</f>
        <v>#N/A</v>
      </c>
      <c r="G382" s="53" t="e">
        <f>VLOOKUP(Table13[[#This Row],[kbli5]],Table1[[#All],[kbli5]:[digital_hijau]],6,)</f>
        <v>#N/A</v>
      </c>
      <c r="H382" s="54" t="e">
        <f>VLOOKUP(Table13[[#This Row],[kbli5]],kata_kunci!$B:$H,3,FALSE)</f>
        <v>#N/A</v>
      </c>
      <c r="I382" s="84" t="e">
        <f>VLOOKUP(Table13[[#This Row],[kbli5]],kata_kunci!$B:$H,5,FALSE)</f>
        <v>#N/A</v>
      </c>
      <c r="J382" s="84" t="e">
        <f>VLOOKUP(Table13[[#This Row],[kbli5]],kata_kunci!$B:$H,6,FALSE)</f>
        <v>#N/A</v>
      </c>
      <c r="K382" s="84" t="e">
        <f>VLOOKUP(Table13[[#This Row],[kbli5]],kata_kunci!$B:$H,7,FALSE)</f>
        <v>#N/A</v>
      </c>
    </row>
    <row r="383" spans="1:11" ht="15.75" thickBot="1" x14ac:dyDescent="0.3">
      <c r="A383" s="53" t="s">
        <v>450</v>
      </c>
      <c r="B383" s="40">
        <v>20221</v>
      </c>
      <c r="C383" s="41" t="s">
        <v>660</v>
      </c>
      <c r="D383" s="30" t="e">
        <f>VLOOKUP(Table13[[#This Row],[kbli5]],Table1[[#All],[kbli5]:[digital_hijau]],3,)</f>
        <v>#N/A</v>
      </c>
      <c r="E383" s="53" t="e">
        <f>VLOOKUP(Table13[[#This Row],[kbli5]],kata_kunci!$B:$H,4,FALSE)</f>
        <v>#N/A</v>
      </c>
      <c r="F383" s="53" t="e">
        <f>VLOOKUP(Table13[[#This Row],[kbli5]],Table1[[#All],[kbli5]:[digital_hijau]],5,)</f>
        <v>#N/A</v>
      </c>
      <c r="G383" s="53" t="e">
        <f>VLOOKUP(Table13[[#This Row],[kbli5]],Table1[[#All],[kbli5]:[digital_hijau]],6,)</f>
        <v>#N/A</v>
      </c>
      <c r="H383" s="54" t="e">
        <f>VLOOKUP(Table13[[#This Row],[kbli5]],kata_kunci!$B:$H,3,FALSE)</f>
        <v>#N/A</v>
      </c>
      <c r="I383" s="84" t="e">
        <f>VLOOKUP(Table13[[#This Row],[kbli5]],kata_kunci!$B:$H,5,FALSE)</f>
        <v>#N/A</v>
      </c>
      <c r="J383" s="84" t="e">
        <f>VLOOKUP(Table13[[#This Row],[kbli5]],kata_kunci!$B:$H,6,FALSE)</f>
        <v>#N/A</v>
      </c>
      <c r="K383" s="84" t="e">
        <f>VLOOKUP(Table13[[#This Row],[kbli5]],kata_kunci!$B:$H,7,FALSE)</f>
        <v>#N/A</v>
      </c>
    </row>
    <row r="384" spans="1:11" ht="15.75" thickBot="1" x14ac:dyDescent="0.3">
      <c r="A384" s="53" t="s">
        <v>450</v>
      </c>
      <c r="B384" s="40">
        <v>20222</v>
      </c>
      <c r="C384" s="41" t="s">
        <v>661</v>
      </c>
      <c r="D384" s="30" t="e">
        <f>VLOOKUP(Table13[[#This Row],[kbli5]],Table1[[#All],[kbli5]:[digital_hijau]],3,)</f>
        <v>#N/A</v>
      </c>
      <c r="E384" s="53" t="e">
        <f>VLOOKUP(Table13[[#This Row],[kbli5]],kata_kunci!$B:$H,4,FALSE)</f>
        <v>#N/A</v>
      </c>
      <c r="F384" s="53" t="e">
        <f>VLOOKUP(Table13[[#This Row],[kbli5]],Table1[[#All],[kbli5]:[digital_hijau]],5,)</f>
        <v>#N/A</v>
      </c>
      <c r="G384" s="53" t="e">
        <f>VLOOKUP(Table13[[#This Row],[kbli5]],Table1[[#All],[kbli5]:[digital_hijau]],6,)</f>
        <v>#N/A</v>
      </c>
      <c r="H384" s="54" t="e">
        <f>VLOOKUP(Table13[[#This Row],[kbli5]],kata_kunci!$B:$H,3,FALSE)</f>
        <v>#N/A</v>
      </c>
      <c r="I384" s="84" t="e">
        <f>VLOOKUP(Table13[[#This Row],[kbli5]],kata_kunci!$B:$H,5,FALSE)</f>
        <v>#N/A</v>
      </c>
      <c r="J384" s="84" t="e">
        <f>VLOOKUP(Table13[[#This Row],[kbli5]],kata_kunci!$B:$H,6,FALSE)</f>
        <v>#N/A</v>
      </c>
      <c r="K384" s="84" t="e">
        <f>VLOOKUP(Table13[[#This Row],[kbli5]],kata_kunci!$B:$H,7,FALSE)</f>
        <v>#N/A</v>
      </c>
    </row>
    <row r="385" spans="1:11" ht="15.75" thickBot="1" x14ac:dyDescent="0.3">
      <c r="A385" s="53" t="s">
        <v>450</v>
      </c>
      <c r="B385" s="40">
        <v>20223</v>
      </c>
      <c r="C385" s="41" t="s">
        <v>662</v>
      </c>
      <c r="D385" s="30" t="e">
        <f>VLOOKUP(Table13[[#This Row],[kbli5]],Table1[[#All],[kbli5]:[digital_hijau]],3,)</f>
        <v>#N/A</v>
      </c>
      <c r="E385" s="53" t="e">
        <f>VLOOKUP(Table13[[#This Row],[kbli5]],kata_kunci!$B:$H,4,FALSE)</f>
        <v>#N/A</v>
      </c>
      <c r="F385" s="53" t="e">
        <f>VLOOKUP(Table13[[#This Row],[kbli5]],Table1[[#All],[kbli5]:[digital_hijau]],5,)</f>
        <v>#N/A</v>
      </c>
      <c r="G385" s="53" t="e">
        <f>VLOOKUP(Table13[[#This Row],[kbli5]],Table1[[#All],[kbli5]:[digital_hijau]],6,)</f>
        <v>#N/A</v>
      </c>
      <c r="H385" s="54" t="e">
        <f>VLOOKUP(Table13[[#This Row],[kbli5]],kata_kunci!$B:$H,3,FALSE)</f>
        <v>#N/A</v>
      </c>
      <c r="I385" s="84" t="e">
        <f>VLOOKUP(Table13[[#This Row],[kbli5]],kata_kunci!$B:$H,5,FALSE)</f>
        <v>#N/A</v>
      </c>
      <c r="J385" s="84" t="e">
        <f>VLOOKUP(Table13[[#This Row],[kbli5]],kata_kunci!$B:$H,6,FALSE)</f>
        <v>#N/A</v>
      </c>
      <c r="K385" s="84" t="e">
        <f>VLOOKUP(Table13[[#This Row],[kbli5]],kata_kunci!$B:$H,7,FALSE)</f>
        <v>#N/A</v>
      </c>
    </row>
    <row r="386" spans="1:11" ht="45.75" thickBot="1" x14ac:dyDescent="0.3">
      <c r="A386" s="53" t="s">
        <v>450</v>
      </c>
      <c r="B386" s="40">
        <v>20229</v>
      </c>
      <c r="C386" s="41" t="s">
        <v>663</v>
      </c>
      <c r="D386" s="30" t="e">
        <f>VLOOKUP(Table13[[#This Row],[kbli5]],Table1[[#All],[kbli5]:[digital_hijau]],3,)</f>
        <v>#N/A</v>
      </c>
      <c r="E386" s="53" t="e">
        <f>VLOOKUP(Table13[[#This Row],[kbli5]],kata_kunci!$B:$H,4,FALSE)</f>
        <v>#N/A</v>
      </c>
      <c r="F386" s="53" t="e">
        <f>VLOOKUP(Table13[[#This Row],[kbli5]],Table1[[#All],[kbli5]:[digital_hijau]],5,)</f>
        <v>#N/A</v>
      </c>
      <c r="G386" s="53" t="e">
        <f>VLOOKUP(Table13[[#This Row],[kbli5]],Table1[[#All],[kbli5]:[digital_hijau]],6,)</f>
        <v>#N/A</v>
      </c>
      <c r="H386" s="54" t="e">
        <f>VLOOKUP(Table13[[#This Row],[kbli5]],kata_kunci!$B:$H,3,FALSE)</f>
        <v>#N/A</v>
      </c>
      <c r="I386" s="84" t="e">
        <f>VLOOKUP(Table13[[#This Row],[kbli5]],kata_kunci!$B:$H,5,FALSE)</f>
        <v>#N/A</v>
      </c>
      <c r="J386" s="84" t="e">
        <f>VLOOKUP(Table13[[#This Row],[kbli5]],kata_kunci!$B:$H,6,FALSE)</f>
        <v>#N/A</v>
      </c>
      <c r="K386" s="84" t="e">
        <f>VLOOKUP(Table13[[#This Row],[kbli5]],kata_kunci!$B:$H,7,FALSE)</f>
        <v>#N/A</v>
      </c>
    </row>
    <row r="387" spans="1:11" ht="30.75" thickBot="1" x14ac:dyDescent="0.3">
      <c r="A387" s="53" t="s">
        <v>450</v>
      </c>
      <c r="B387" s="40">
        <v>20231</v>
      </c>
      <c r="C387" s="41" t="s">
        <v>664</v>
      </c>
      <c r="D387" s="30" t="e">
        <f>VLOOKUP(Table13[[#This Row],[kbli5]],Table1[[#All],[kbli5]:[digital_hijau]],3,)</f>
        <v>#N/A</v>
      </c>
      <c r="E387" s="53" t="e">
        <f>VLOOKUP(Table13[[#This Row],[kbli5]],kata_kunci!$B:$H,4,FALSE)</f>
        <v>#N/A</v>
      </c>
      <c r="F387" s="53" t="e">
        <f>VLOOKUP(Table13[[#This Row],[kbli5]],Table1[[#All],[kbli5]:[digital_hijau]],5,)</f>
        <v>#N/A</v>
      </c>
      <c r="G387" s="53" t="e">
        <f>VLOOKUP(Table13[[#This Row],[kbli5]],Table1[[#All],[kbli5]:[digital_hijau]],6,)</f>
        <v>#N/A</v>
      </c>
      <c r="H387" s="54" t="e">
        <f>VLOOKUP(Table13[[#This Row],[kbli5]],kata_kunci!$B:$H,3,FALSE)</f>
        <v>#N/A</v>
      </c>
      <c r="I387" s="84" t="e">
        <f>VLOOKUP(Table13[[#This Row],[kbli5]],kata_kunci!$B:$H,5,FALSE)</f>
        <v>#N/A</v>
      </c>
      <c r="J387" s="84" t="e">
        <f>VLOOKUP(Table13[[#This Row],[kbli5]],kata_kunci!$B:$H,6,FALSE)</f>
        <v>#N/A</v>
      </c>
      <c r="K387" s="84" t="e">
        <f>VLOOKUP(Table13[[#This Row],[kbli5]],kata_kunci!$B:$H,7,FALSE)</f>
        <v>#N/A</v>
      </c>
    </row>
    <row r="388" spans="1:11" ht="45.75" thickBot="1" x14ac:dyDescent="0.3">
      <c r="A388" s="53" t="s">
        <v>450</v>
      </c>
      <c r="B388" s="40">
        <v>20232</v>
      </c>
      <c r="C388" s="41" t="s">
        <v>665</v>
      </c>
      <c r="D388" s="30" t="e">
        <f>VLOOKUP(Table13[[#This Row],[kbli5]],Table1[[#All],[kbli5]:[digital_hijau]],3,)</f>
        <v>#N/A</v>
      </c>
      <c r="E388" s="53" t="e">
        <f>VLOOKUP(Table13[[#This Row],[kbli5]],kata_kunci!$B:$H,4,FALSE)</f>
        <v>#N/A</v>
      </c>
      <c r="F388" s="53" t="e">
        <f>VLOOKUP(Table13[[#This Row],[kbli5]],Table1[[#All],[kbli5]:[digital_hijau]],5,)</f>
        <v>#N/A</v>
      </c>
      <c r="G388" s="53" t="e">
        <f>VLOOKUP(Table13[[#This Row],[kbli5]],Table1[[#All],[kbli5]:[digital_hijau]],6,)</f>
        <v>#N/A</v>
      </c>
      <c r="H388" s="54" t="e">
        <f>VLOOKUP(Table13[[#This Row],[kbli5]],kata_kunci!$B:$H,3,FALSE)</f>
        <v>#N/A</v>
      </c>
      <c r="I388" s="84" t="e">
        <f>VLOOKUP(Table13[[#This Row],[kbli5]],kata_kunci!$B:$H,5,FALSE)</f>
        <v>#N/A</v>
      </c>
      <c r="J388" s="84" t="e">
        <f>VLOOKUP(Table13[[#This Row],[kbli5]],kata_kunci!$B:$H,6,FALSE)</f>
        <v>#N/A</v>
      </c>
      <c r="K388" s="84" t="e">
        <f>VLOOKUP(Table13[[#This Row],[kbli5]],kata_kunci!$B:$H,7,FALSE)</f>
        <v>#N/A</v>
      </c>
    </row>
    <row r="389" spans="1:11" ht="30.75" thickBot="1" x14ac:dyDescent="0.3">
      <c r="A389" s="53" t="s">
        <v>450</v>
      </c>
      <c r="B389" s="40">
        <v>20233</v>
      </c>
      <c r="C389" s="41" t="s">
        <v>666</v>
      </c>
      <c r="D389" s="30" t="e">
        <f>VLOOKUP(Table13[[#This Row],[kbli5]],Table1[[#All],[kbli5]:[digital_hijau]],3,)</f>
        <v>#N/A</v>
      </c>
      <c r="E389" s="53" t="e">
        <f>VLOOKUP(Table13[[#This Row],[kbli5]],kata_kunci!$B:$H,4,FALSE)</f>
        <v>#N/A</v>
      </c>
      <c r="F389" s="53" t="e">
        <f>VLOOKUP(Table13[[#This Row],[kbli5]],Table1[[#All],[kbli5]:[digital_hijau]],5,)</f>
        <v>#N/A</v>
      </c>
      <c r="G389" s="53" t="e">
        <f>VLOOKUP(Table13[[#This Row],[kbli5]],Table1[[#All],[kbli5]:[digital_hijau]],6,)</f>
        <v>#N/A</v>
      </c>
      <c r="H389" s="54" t="e">
        <f>VLOOKUP(Table13[[#This Row],[kbli5]],kata_kunci!$B:$H,3,FALSE)</f>
        <v>#N/A</v>
      </c>
      <c r="I389" s="84" t="e">
        <f>VLOOKUP(Table13[[#This Row],[kbli5]],kata_kunci!$B:$H,5,FALSE)</f>
        <v>#N/A</v>
      </c>
      <c r="J389" s="84" t="e">
        <f>VLOOKUP(Table13[[#This Row],[kbli5]],kata_kunci!$B:$H,6,FALSE)</f>
        <v>#N/A</v>
      </c>
      <c r="K389" s="84" t="e">
        <f>VLOOKUP(Table13[[#This Row],[kbli5]],kata_kunci!$B:$H,7,FALSE)</f>
        <v>#N/A</v>
      </c>
    </row>
    <row r="390" spans="1:11" ht="15.75" thickBot="1" x14ac:dyDescent="0.3">
      <c r="A390" s="53" t="s">
        <v>450</v>
      </c>
      <c r="B390" s="40">
        <v>20234</v>
      </c>
      <c r="C390" s="41" t="s">
        <v>667</v>
      </c>
      <c r="D390" s="30" t="e">
        <f>VLOOKUP(Table13[[#This Row],[kbli5]],Table1[[#All],[kbli5]:[digital_hijau]],3,)</f>
        <v>#N/A</v>
      </c>
      <c r="E390" s="53" t="e">
        <f>VLOOKUP(Table13[[#This Row],[kbli5]],kata_kunci!$B:$H,4,FALSE)</f>
        <v>#N/A</v>
      </c>
      <c r="F390" s="53" t="e">
        <f>VLOOKUP(Table13[[#This Row],[kbli5]],Table1[[#All],[kbli5]:[digital_hijau]],5,)</f>
        <v>#N/A</v>
      </c>
      <c r="G390" s="53" t="e">
        <f>VLOOKUP(Table13[[#This Row],[kbli5]],Table1[[#All],[kbli5]:[digital_hijau]],6,)</f>
        <v>#N/A</v>
      </c>
      <c r="H390" s="54" t="e">
        <f>VLOOKUP(Table13[[#This Row],[kbli5]],kata_kunci!$B:$H,3,FALSE)</f>
        <v>#N/A</v>
      </c>
      <c r="I390" s="84" t="e">
        <f>VLOOKUP(Table13[[#This Row],[kbli5]],kata_kunci!$B:$H,5,FALSE)</f>
        <v>#N/A</v>
      </c>
      <c r="J390" s="84" t="e">
        <f>VLOOKUP(Table13[[#This Row],[kbli5]],kata_kunci!$B:$H,6,FALSE)</f>
        <v>#N/A</v>
      </c>
      <c r="K390" s="84" t="e">
        <f>VLOOKUP(Table13[[#This Row],[kbli5]],kata_kunci!$B:$H,7,FALSE)</f>
        <v>#N/A</v>
      </c>
    </row>
    <row r="391" spans="1:11" ht="30.75" thickBot="1" x14ac:dyDescent="0.3">
      <c r="A391" s="53" t="s">
        <v>450</v>
      </c>
      <c r="B391" s="40">
        <v>20235</v>
      </c>
      <c r="C391" s="41" t="s">
        <v>668</v>
      </c>
      <c r="D391" s="30" t="e">
        <f>VLOOKUP(Table13[[#This Row],[kbli5]],Table1[[#All],[kbli5]:[digital_hijau]],3,)</f>
        <v>#N/A</v>
      </c>
      <c r="E391" s="53" t="e">
        <f>VLOOKUP(Table13[[#This Row],[kbli5]],kata_kunci!$B:$H,4,FALSE)</f>
        <v>#N/A</v>
      </c>
      <c r="F391" s="53" t="e">
        <f>VLOOKUP(Table13[[#This Row],[kbli5]],Table1[[#All],[kbli5]:[digital_hijau]],5,)</f>
        <v>#N/A</v>
      </c>
      <c r="G391" s="53" t="e">
        <f>VLOOKUP(Table13[[#This Row],[kbli5]],Table1[[#All],[kbli5]:[digital_hijau]],6,)</f>
        <v>#N/A</v>
      </c>
      <c r="H391" s="54" t="e">
        <f>VLOOKUP(Table13[[#This Row],[kbli5]],kata_kunci!$B:$H,3,FALSE)</f>
        <v>#N/A</v>
      </c>
      <c r="I391" s="84" t="e">
        <f>VLOOKUP(Table13[[#This Row],[kbli5]],kata_kunci!$B:$H,5,FALSE)</f>
        <v>#N/A</v>
      </c>
      <c r="J391" s="84" t="e">
        <f>VLOOKUP(Table13[[#This Row],[kbli5]],kata_kunci!$B:$H,6,FALSE)</f>
        <v>#N/A</v>
      </c>
      <c r="K391" s="84" t="e">
        <f>VLOOKUP(Table13[[#This Row],[kbli5]],kata_kunci!$B:$H,7,FALSE)</f>
        <v>#N/A</v>
      </c>
    </row>
    <row r="392" spans="1:11" ht="15.75" thickBot="1" x14ac:dyDescent="0.3">
      <c r="A392" s="53" t="s">
        <v>450</v>
      </c>
      <c r="B392" s="40">
        <v>20291</v>
      </c>
      <c r="C392" s="41" t="s">
        <v>669</v>
      </c>
      <c r="D392" s="30" t="e">
        <f>VLOOKUP(Table13[[#This Row],[kbli5]],Table1[[#All],[kbli5]:[digital_hijau]],3,)</f>
        <v>#N/A</v>
      </c>
      <c r="E392" s="53" t="e">
        <f>VLOOKUP(Table13[[#This Row],[kbli5]],kata_kunci!$B:$H,4,FALSE)</f>
        <v>#N/A</v>
      </c>
      <c r="F392" s="53" t="e">
        <f>VLOOKUP(Table13[[#This Row],[kbli5]],Table1[[#All],[kbli5]:[digital_hijau]],5,)</f>
        <v>#N/A</v>
      </c>
      <c r="G392" s="53" t="e">
        <f>VLOOKUP(Table13[[#This Row],[kbli5]],Table1[[#All],[kbli5]:[digital_hijau]],6,)</f>
        <v>#N/A</v>
      </c>
      <c r="H392" s="54" t="e">
        <f>VLOOKUP(Table13[[#This Row],[kbli5]],kata_kunci!$B:$H,3,FALSE)</f>
        <v>#N/A</v>
      </c>
      <c r="I392" s="84" t="e">
        <f>VLOOKUP(Table13[[#This Row],[kbli5]],kata_kunci!$B:$H,5,FALSE)</f>
        <v>#N/A</v>
      </c>
      <c r="J392" s="84" t="e">
        <f>VLOOKUP(Table13[[#This Row],[kbli5]],kata_kunci!$B:$H,6,FALSE)</f>
        <v>#N/A</v>
      </c>
      <c r="K392" s="84" t="e">
        <f>VLOOKUP(Table13[[#This Row],[kbli5]],kata_kunci!$B:$H,7,FALSE)</f>
        <v>#N/A</v>
      </c>
    </row>
    <row r="393" spans="1:11" ht="15.75" thickBot="1" x14ac:dyDescent="0.3">
      <c r="A393" s="53" t="s">
        <v>450</v>
      </c>
      <c r="B393" s="40">
        <v>20292</v>
      </c>
      <c r="C393" s="41" t="s">
        <v>670</v>
      </c>
      <c r="D393" s="30" t="e">
        <f>VLOOKUP(Table13[[#This Row],[kbli5]],Table1[[#All],[kbli5]:[digital_hijau]],3,)</f>
        <v>#N/A</v>
      </c>
      <c r="E393" s="53" t="e">
        <f>VLOOKUP(Table13[[#This Row],[kbli5]],kata_kunci!$B:$H,4,FALSE)</f>
        <v>#N/A</v>
      </c>
      <c r="F393" s="53" t="e">
        <f>VLOOKUP(Table13[[#This Row],[kbli5]],Table1[[#All],[kbli5]:[digital_hijau]],5,)</f>
        <v>#N/A</v>
      </c>
      <c r="G393" s="53" t="e">
        <f>VLOOKUP(Table13[[#This Row],[kbli5]],Table1[[#All],[kbli5]:[digital_hijau]],6,)</f>
        <v>#N/A</v>
      </c>
      <c r="H393" s="54" t="e">
        <f>VLOOKUP(Table13[[#This Row],[kbli5]],kata_kunci!$B:$H,3,FALSE)</f>
        <v>#N/A</v>
      </c>
      <c r="I393" s="84" t="e">
        <f>VLOOKUP(Table13[[#This Row],[kbli5]],kata_kunci!$B:$H,5,FALSE)</f>
        <v>#N/A</v>
      </c>
      <c r="J393" s="84" t="e">
        <f>VLOOKUP(Table13[[#This Row],[kbli5]],kata_kunci!$B:$H,6,FALSE)</f>
        <v>#N/A</v>
      </c>
      <c r="K393" s="84" t="e">
        <f>VLOOKUP(Table13[[#This Row],[kbli5]],kata_kunci!$B:$H,7,FALSE)</f>
        <v>#N/A</v>
      </c>
    </row>
    <row r="394" spans="1:11" ht="15.75" thickBot="1" x14ac:dyDescent="0.3">
      <c r="A394" s="53" t="s">
        <v>450</v>
      </c>
      <c r="B394" s="40">
        <v>20293</v>
      </c>
      <c r="C394" s="41" t="s">
        <v>671</v>
      </c>
      <c r="D394" s="30" t="e">
        <f>VLOOKUP(Table13[[#This Row],[kbli5]],Table1[[#All],[kbli5]:[digital_hijau]],3,)</f>
        <v>#N/A</v>
      </c>
      <c r="E394" s="53" t="e">
        <f>VLOOKUP(Table13[[#This Row],[kbli5]],kata_kunci!$B:$H,4,FALSE)</f>
        <v>#N/A</v>
      </c>
      <c r="F394" s="53" t="e">
        <f>VLOOKUP(Table13[[#This Row],[kbli5]],Table1[[#All],[kbli5]:[digital_hijau]],5,)</f>
        <v>#N/A</v>
      </c>
      <c r="G394" s="53" t="e">
        <f>VLOOKUP(Table13[[#This Row],[kbli5]],Table1[[#All],[kbli5]:[digital_hijau]],6,)</f>
        <v>#N/A</v>
      </c>
      <c r="H394" s="54" t="e">
        <f>VLOOKUP(Table13[[#This Row],[kbli5]],kata_kunci!$B:$H,3,FALSE)</f>
        <v>#N/A</v>
      </c>
      <c r="I394" s="84" t="e">
        <f>VLOOKUP(Table13[[#This Row],[kbli5]],kata_kunci!$B:$H,5,FALSE)</f>
        <v>#N/A</v>
      </c>
      <c r="J394" s="84" t="e">
        <f>VLOOKUP(Table13[[#This Row],[kbli5]],kata_kunci!$B:$H,6,FALSE)</f>
        <v>#N/A</v>
      </c>
      <c r="K394" s="84" t="e">
        <f>VLOOKUP(Table13[[#This Row],[kbli5]],kata_kunci!$B:$H,7,FALSE)</f>
        <v>#N/A</v>
      </c>
    </row>
    <row r="395" spans="1:11" ht="30.75" thickBot="1" x14ac:dyDescent="0.3">
      <c r="A395" s="53" t="s">
        <v>450</v>
      </c>
      <c r="B395" s="40">
        <v>20294</v>
      </c>
      <c r="C395" s="41" t="s">
        <v>672</v>
      </c>
      <c r="D395" s="30" t="e">
        <f>VLOOKUP(Table13[[#This Row],[kbli5]],Table1[[#All],[kbli5]:[digital_hijau]],3,)</f>
        <v>#N/A</v>
      </c>
      <c r="E395" s="53" t="e">
        <f>VLOOKUP(Table13[[#This Row],[kbli5]],kata_kunci!$B:$H,4,FALSE)</f>
        <v>#N/A</v>
      </c>
      <c r="F395" s="53" t="e">
        <f>VLOOKUP(Table13[[#This Row],[kbli5]],Table1[[#All],[kbli5]:[digital_hijau]],5,)</f>
        <v>#N/A</v>
      </c>
      <c r="G395" s="53" t="e">
        <f>VLOOKUP(Table13[[#This Row],[kbli5]],Table1[[#All],[kbli5]:[digital_hijau]],6,)</f>
        <v>#N/A</v>
      </c>
      <c r="H395" s="54" t="e">
        <f>VLOOKUP(Table13[[#This Row],[kbli5]],kata_kunci!$B:$H,3,FALSE)</f>
        <v>#N/A</v>
      </c>
      <c r="I395" s="84" t="e">
        <f>VLOOKUP(Table13[[#This Row],[kbli5]],kata_kunci!$B:$H,5,FALSE)</f>
        <v>#N/A</v>
      </c>
      <c r="J395" s="84" t="e">
        <f>VLOOKUP(Table13[[#This Row],[kbli5]],kata_kunci!$B:$H,6,FALSE)</f>
        <v>#N/A</v>
      </c>
      <c r="K395" s="84" t="e">
        <f>VLOOKUP(Table13[[#This Row],[kbli5]],kata_kunci!$B:$H,7,FALSE)</f>
        <v>#N/A</v>
      </c>
    </row>
    <row r="396" spans="1:11" ht="15.75" thickBot="1" x14ac:dyDescent="0.3">
      <c r="A396" s="53" t="s">
        <v>450</v>
      </c>
      <c r="B396" s="40">
        <v>20295</v>
      </c>
      <c r="C396" s="41" t="s">
        <v>673</v>
      </c>
      <c r="D396" s="30" t="e">
        <f>VLOOKUP(Table13[[#This Row],[kbli5]],Table1[[#All],[kbli5]:[digital_hijau]],3,)</f>
        <v>#N/A</v>
      </c>
      <c r="E396" s="53" t="e">
        <f>VLOOKUP(Table13[[#This Row],[kbli5]],kata_kunci!$B:$H,4,FALSE)</f>
        <v>#N/A</v>
      </c>
      <c r="F396" s="53" t="e">
        <f>VLOOKUP(Table13[[#This Row],[kbli5]],Table1[[#All],[kbli5]:[digital_hijau]],5,)</f>
        <v>#N/A</v>
      </c>
      <c r="G396" s="53" t="e">
        <f>VLOOKUP(Table13[[#This Row],[kbli5]],Table1[[#All],[kbli5]:[digital_hijau]],6,)</f>
        <v>#N/A</v>
      </c>
      <c r="H396" s="54" t="e">
        <f>VLOOKUP(Table13[[#This Row],[kbli5]],kata_kunci!$B:$H,3,FALSE)</f>
        <v>#N/A</v>
      </c>
      <c r="I396" s="84" t="e">
        <f>VLOOKUP(Table13[[#This Row],[kbli5]],kata_kunci!$B:$H,5,FALSE)</f>
        <v>#N/A</v>
      </c>
      <c r="J396" s="84" t="e">
        <f>VLOOKUP(Table13[[#This Row],[kbli5]],kata_kunci!$B:$H,6,FALSE)</f>
        <v>#N/A</v>
      </c>
      <c r="K396" s="84" t="e">
        <f>VLOOKUP(Table13[[#This Row],[kbli5]],kata_kunci!$B:$H,7,FALSE)</f>
        <v>#N/A</v>
      </c>
    </row>
    <row r="397" spans="1:11" ht="30.75" thickBot="1" x14ac:dyDescent="0.3">
      <c r="A397" s="53" t="s">
        <v>450</v>
      </c>
      <c r="B397" s="40">
        <v>20296</v>
      </c>
      <c r="C397" s="41" t="s">
        <v>674</v>
      </c>
      <c r="D397" s="30" t="e">
        <f>VLOOKUP(Table13[[#This Row],[kbli5]],Table1[[#All],[kbli5]:[digital_hijau]],3,)</f>
        <v>#N/A</v>
      </c>
      <c r="E397" s="53" t="e">
        <f>VLOOKUP(Table13[[#This Row],[kbli5]],kata_kunci!$B:$H,4,FALSE)</f>
        <v>#N/A</v>
      </c>
      <c r="F397" s="53" t="e">
        <f>VLOOKUP(Table13[[#This Row],[kbli5]],Table1[[#All],[kbli5]:[digital_hijau]],5,)</f>
        <v>#N/A</v>
      </c>
      <c r="G397" s="53" t="e">
        <f>VLOOKUP(Table13[[#This Row],[kbli5]],Table1[[#All],[kbli5]:[digital_hijau]],6,)</f>
        <v>#N/A</v>
      </c>
      <c r="H397" s="54" t="e">
        <f>VLOOKUP(Table13[[#This Row],[kbli5]],kata_kunci!$B:$H,3,FALSE)</f>
        <v>#N/A</v>
      </c>
      <c r="I397" s="84" t="e">
        <f>VLOOKUP(Table13[[#This Row],[kbli5]],kata_kunci!$B:$H,5,FALSE)</f>
        <v>#N/A</v>
      </c>
      <c r="J397" s="84" t="e">
        <f>VLOOKUP(Table13[[#This Row],[kbli5]],kata_kunci!$B:$H,6,FALSE)</f>
        <v>#N/A</v>
      </c>
      <c r="K397" s="84" t="e">
        <f>VLOOKUP(Table13[[#This Row],[kbli5]],kata_kunci!$B:$H,7,FALSE)</f>
        <v>#N/A</v>
      </c>
    </row>
    <row r="398" spans="1:11" ht="15.75" thickBot="1" x14ac:dyDescent="0.3">
      <c r="A398" s="53" t="s">
        <v>450</v>
      </c>
      <c r="B398" s="40">
        <v>20297</v>
      </c>
      <c r="C398" s="41" t="s">
        <v>675</v>
      </c>
      <c r="D398" s="30" t="e">
        <f>VLOOKUP(Table13[[#This Row],[kbli5]],Table1[[#All],[kbli5]:[digital_hijau]],3,)</f>
        <v>#N/A</v>
      </c>
      <c r="E398" s="53" t="e">
        <f>VLOOKUP(Table13[[#This Row],[kbli5]],kata_kunci!$B:$H,4,FALSE)</f>
        <v>#N/A</v>
      </c>
      <c r="F398" s="53" t="e">
        <f>VLOOKUP(Table13[[#This Row],[kbli5]],Table1[[#All],[kbli5]:[digital_hijau]],5,)</f>
        <v>#N/A</v>
      </c>
      <c r="G398" s="35" t="s">
        <v>2091</v>
      </c>
      <c r="H398" s="54" t="e">
        <f>VLOOKUP(Table13[[#This Row],[kbli5]],kata_kunci!$B:$H,3,FALSE)</f>
        <v>#N/A</v>
      </c>
      <c r="I398" s="84" t="e">
        <f>VLOOKUP(Table13[[#This Row],[kbli5]],kata_kunci!$B:$H,5,FALSE)</f>
        <v>#N/A</v>
      </c>
      <c r="J398" s="84" t="e">
        <f>VLOOKUP(Table13[[#This Row],[kbli5]],kata_kunci!$B:$H,6,FALSE)</f>
        <v>#N/A</v>
      </c>
      <c r="K398" s="84" t="e">
        <f>VLOOKUP(Table13[[#This Row],[kbli5]],kata_kunci!$B:$H,7,FALSE)</f>
        <v>#N/A</v>
      </c>
    </row>
    <row r="399" spans="1:11" ht="30.75" thickBot="1" x14ac:dyDescent="0.3">
      <c r="A399" s="53" t="s">
        <v>450</v>
      </c>
      <c r="B399" s="40">
        <v>20298</v>
      </c>
      <c r="C399" s="41" t="s">
        <v>676</v>
      </c>
      <c r="D399" s="30" t="e">
        <f>VLOOKUP(Table13[[#This Row],[kbli5]],Table1[[#All],[kbli5]:[digital_hijau]],3,)</f>
        <v>#N/A</v>
      </c>
      <c r="E399" s="53" t="e">
        <f>VLOOKUP(Table13[[#This Row],[kbli5]],kata_kunci!$B:$H,4,FALSE)</f>
        <v>#N/A</v>
      </c>
      <c r="F399" s="53" t="e">
        <f>VLOOKUP(Table13[[#This Row],[kbli5]],Table1[[#All],[kbli5]:[digital_hijau]],5,)</f>
        <v>#N/A</v>
      </c>
      <c r="G399" s="53" t="e">
        <f>VLOOKUP(Table13[[#This Row],[kbli5]],Table1[[#All],[kbli5]:[digital_hijau]],6,)</f>
        <v>#N/A</v>
      </c>
      <c r="H399" s="54" t="e">
        <f>VLOOKUP(Table13[[#This Row],[kbli5]],kata_kunci!$B:$H,3,FALSE)</f>
        <v>#N/A</v>
      </c>
      <c r="I399" s="84" t="e">
        <f>VLOOKUP(Table13[[#This Row],[kbli5]],kata_kunci!$B:$H,5,FALSE)</f>
        <v>#N/A</v>
      </c>
      <c r="J399" s="84" t="e">
        <f>VLOOKUP(Table13[[#This Row],[kbli5]],kata_kunci!$B:$H,6,FALSE)</f>
        <v>#N/A</v>
      </c>
      <c r="K399" s="84" t="e">
        <f>VLOOKUP(Table13[[#This Row],[kbli5]],kata_kunci!$B:$H,7,FALSE)</f>
        <v>#N/A</v>
      </c>
    </row>
    <row r="400" spans="1:11" ht="30.75" thickBot="1" x14ac:dyDescent="0.3">
      <c r="A400" s="53" t="s">
        <v>450</v>
      </c>
      <c r="B400" s="40">
        <v>20299</v>
      </c>
      <c r="C400" s="41" t="s">
        <v>677</v>
      </c>
      <c r="D400" s="30" t="e">
        <f>VLOOKUP(Table13[[#This Row],[kbli5]],Table1[[#All],[kbli5]:[digital_hijau]],3,)</f>
        <v>#N/A</v>
      </c>
      <c r="E400" s="53" t="e">
        <f>VLOOKUP(Table13[[#This Row],[kbli5]],kata_kunci!$B:$H,4,FALSE)</f>
        <v>#N/A</v>
      </c>
      <c r="F400" s="53" t="e">
        <f>VLOOKUP(Table13[[#This Row],[kbli5]],Table1[[#All],[kbli5]:[digital_hijau]],5,)</f>
        <v>#N/A</v>
      </c>
      <c r="G400" s="35" t="s">
        <v>2091</v>
      </c>
      <c r="H400" s="54" t="e">
        <f>VLOOKUP(Table13[[#This Row],[kbli5]],kata_kunci!$B:$H,3,FALSE)</f>
        <v>#N/A</v>
      </c>
      <c r="I400" s="84" t="e">
        <f>VLOOKUP(Table13[[#This Row],[kbli5]],kata_kunci!$B:$H,5,FALSE)</f>
        <v>#N/A</v>
      </c>
      <c r="J400" s="84" t="e">
        <f>VLOOKUP(Table13[[#This Row],[kbli5]],kata_kunci!$B:$H,6,FALSE)</f>
        <v>#N/A</v>
      </c>
      <c r="K400" s="84" t="e">
        <f>VLOOKUP(Table13[[#This Row],[kbli5]],kata_kunci!$B:$H,7,FALSE)</f>
        <v>#N/A</v>
      </c>
    </row>
    <row r="401" spans="1:11" ht="30.75" thickBot="1" x14ac:dyDescent="0.3">
      <c r="A401" s="53" t="s">
        <v>450</v>
      </c>
      <c r="B401" s="40">
        <v>20301</v>
      </c>
      <c r="C401" s="41" t="s">
        <v>678</v>
      </c>
      <c r="D401" s="30" t="e">
        <f>VLOOKUP(Table13[[#This Row],[kbli5]],Table1[[#All],[kbli5]:[digital_hijau]],3,)</f>
        <v>#N/A</v>
      </c>
      <c r="E401" s="53" t="e">
        <f>VLOOKUP(Table13[[#This Row],[kbli5]],kata_kunci!$B:$H,4,FALSE)</f>
        <v>#N/A</v>
      </c>
      <c r="F401" s="53" t="e">
        <f>VLOOKUP(Table13[[#This Row],[kbli5]],Table1[[#All],[kbli5]:[digital_hijau]],5,)</f>
        <v>#N/A</v>
      </c>
      <c r="G401" s="53" t="e">
        <f>VLOOKUP(Table13[[#This Row],[kbli5]],Table1[[#All],[kbli5]:[digital_hijau]],6,)</f>
        <v>#N/A</v>
      </c>
      <c r="H401" s="54" t="e">
        <f>VLOOKUP(Table13[[#This Row],[kbli5]],kata_kunci!$B:$H,3,FALSE)</f>
        <v>#N/A</v>
      </c>
      <c r="I401" s="84" t="e">
        <f>VLOOKUP(Table13[[#This Row],[kbli5]],kata_kunci!$B:$H,5,FALSE)</f>
        <v>#N/A</v>
      </c>
      <c r="J401" s="84" t="e">
        <f>VLOOKUP(Table13[[#This Row],[kbli5]],kata_kunci!$B:$H,6,FALSE)</f>
        <v>#N/A</v>
      </c>
      <c r="K401" s="84" t="e">
        <f>VLOOKUP(Table13[[#This Row],[kbli5]],kata_kunci!$B:$H,7,FALSE)</f>
        <v>#N/A</v>
      </c>
    </row>
    <row r="402" spans="1:11" ht="30.75" thickBot="1" x14ac:dyDescent="0.3">
      <c r="A402" s="53" t="s">
        <v>450</v>
      </c>
      <c r="B402" s="40">
        <v>20302</v>
      </c>
      <c r="C402" s="41" t="s">
        <v>679</v>
      </c>
      <c r="D402" s="30" t="e">
        <f>VLOOKUP(Table13[[#This Row],[kbli5]],Table1[[#All],[kbli5]:[digital_hijau]],3,)</f>
        <v>#N/A</v>
      </c>
      <c r="E402" s="53" t="e">
        <f>VLOOKUP(Table13[[#This Row],[kbli5]],kata_kunci!$B:$H,4,FALSE)</f>
        <v>#N/A</v>
      </c>
      <c r="F402" s="53" t="e">
        <f>VLOOKUP(Table13[[#This Row],[kbli5]],Table1[[#All],[kbli5]:[digital_hijau]],5,)</f>
        <v>#N/A</v>
      </c>
      <c r="G402" s="53" t="e">
        <f>VLOOKUP(Table13[[#This Row],[kbli5]],Table1[[#All],[kbli5]:[digital_hijau]],6,)</f>
        <v>#N/A</v>
      </c>
      <c r="H402" s="54" t="e">
        <f>VLOOKUP(Table13[[#This Row],[kbli5]],kata_kunci!$B:$H,3,FALSE)</f>
        <v>#N/A</v>
      </c>
      <c r="I402" s="84" t="e">
        <f>VLOOKUP(Table13[[#This Row],[kbli5]],kata_kunci!$B:$H,5,FALSE)</f>
        <v>#N/A</v>
      </c>
      <c r="J402" s="84" t="e">
        <f>VLOOKUP(Table13[[#This Row],[kbli5]],kata_kunci!$B:$H,6,FALSE)</f>
        <v>#N/A</v>
      </c>
      <c r="K402" s="84" t="e">
        <f>VLOOKUP(Table13[[#This Row],[kbli5]],kata_kunci!$B:$H,7,FALSE)</f>
        <v>#N/A</v>
      </c>
    </row>
    <row r="403" spans="1:11" ht="30.75" thickBot="1" x14ac:dyDescent="0.3">
      <c r="A403" s="53" t="s">
        <v>450</v>
      </c>
      <c r="B403" s="40">
        <v>21011</v>
      </c>
      <c r="C403" s="41" t="s">
        <v>680</v>
      </c>
      <c r="D403" s="30" t="e">
        <f>VLOOKUP(Table13[[#This Row],[kbli5]],Table1[[#All],[kbli5]:[digital_hijau]],3,)</f>
        <v>#N/A</v>
      </c>
      <c r="E403" s="53" t="e">
        <f>VLOOKUP(Table13[[#This Row],[kbli5]],kata_kunci!$B:$H,4,FALSE)</f>
        <v>#N/A</v>
      </c>
      <c r="F403" s="53" t="e">
        <f>VLOOKUP(Table13[[#This Row],[kbli5]],Table1[[#All],[kbli5]:[digital_hijau]],5,)</f>
        <v>#N/A</v>
      </c>
      <c r="G403" s="53" t="e">
        <f>VLOOKUP(Table13[[#This Row],[kbli5]],Table1[[#All],[kbli5]:[digital_hijau]],6,)</f>
        <v>#N/A</v>
      </c>
      <c r="H403" s="54" t="e">
        <f>VLOOKUP(Table13[[#This Row],[kbli5]],kata_kunci!$B:$H,3,FALSE)</f>
        <v>#N/A</v>
      </c>
      <c r="I403" s="84" t="e">
        <f>VLOOKUP(Table13[[#This Row],[kbli5]],kata_kunci!$B:$H,5,FALSE)</f>
        <v>#N/A</v>
      </c>
      <c r="J403" s="84" t="e">
        <f>VLOOKUP(Table13[[#This Row],[kbli5]],kata_kunci!$B:$H,6,FALSE)</f>
        <v>#N/A</v>
      </c>
      <c r="K403" s="84" t="e">
        <f>VLOOKUP(Table13[[#This Row],[kbli5]],kata_kunci!$B:$H,7,FALSE)</f>
        <v>#N/A</v>
      </c>
    </row>
    <row r="404" spans="1:11" ht="30.75" thickBot="1" x14ac:dyDescent="0.3">
      <c r="A404" s="53" t="s">
        <v>450</v>
      </c>
      <c r="B404" s="40">
        <v>21012</v>
      </c>
      <c r="C404" s="41" t="s">
        <v>681</v>
      </c>
      <c r="D404" s="30" t="e">
        <f>VLOOKUP(Table13[[#This Row],[kbli5]],Table1[[#All],[kbli5]:[digital_hijau]],3,)</f>
        <v>#N/A</v>
      </c>
      <c r="E404" s="53" t="e">
        <f>VLOOKUP(Table13[[#This Row],[kbli5]],kata_kunci!$B:$H,4,FALSE)</f>
        <v>#N/A</v>
      </c>
      <c r="F404" s="53" t="e">
        <f>VLOOKUP(Table13[[#This Row],[kbli5]],Table1[[#All],[kbli5]:[digital_hijau]],5,)</f>
        <v>#N/A</v>
      </c>
      <c r="G404" s="53" t="e">
        <f>VLOOKUP(Table13[[#This Row],[kbli5]],Table1[[#All],[kbli5]:[digital_hijau]],6,)</f>
        <v>#N/A</v>
      </c>
      <c r="H404" s="54" t="e">
        <f>VLOOKUP(Table13[[#This Row],[kbli5]],kata_kunci!$B:$H,3,FALSE)</f>
        <v>#N/A</v>
      </c>
      <c r="I404" s="84" t="e">
        <f>VLOOKUP(Table13[[#This Row],[kbli5]],kata_kunci!$B:$H,5,FALSE)</f>
        <v>#N/A</v>
      </c>
      <c r="J404" s="84" t="e">
        <f>VLOOKUP(Table13[[#This Row],[kbli5]],kata_kunci!$B:$H,6,FALSE)</f>
        <v>#N/A</v>
      </c>
      <c r="K404" s="84" t="e">
        <f>VLOOKUP(Table13[[#This Row],[kbli5]],kata_kunci!$B:$H,7,FALSE)</f>
        <v>#N/A</v>
      </c>
    </row>
    <row r="405" spans="1:11" ht="30.75" thickBot="1" x14ac:dyDescent="0.3">
      <c r="A405" s="53" t="s">
        <v>450</v>
      </c>
      <c r="B405" s="40">
        <v>21013</v>
      </c>
      <c r="C405" s="41" t="s">
        <v>682</v>
      </c>
      <c r="D405" s="30" t="e">
        <f>VLOOKUP(Table13[[#This Row],[kbli5]],Table1[[#All],[kbli5]:[digital_hijau]],3,)</f>
        <v>#N/A</v>
      </c>
      <c r="E405" s="53" t="e">
        <f>VLOOKUP(Table13[[#This Row],[kbli5]],kata_kunci!$B:$H,4,FALSE)</f>
        <v>#N/A</v>
      </c>
      <c r="F405" s="53" t="e">
        <f>VLOOKUP(Table13[[#This Row],[kbli5]],Table1[[#All],[kbli5]:[digital_hijau]],5,)</f>
        <v>#N/A</v>
      </c>
      <c r="G405" s="53" t="e">
        <f>VLOOKUP(Table13[[#This Row],[kbli5]],Table1[[#All],[kbli5]:[digital_hijau]],6,)</f>
        <v>#N/A</v>
      </c>
      <c r="H405" s="54" t="e">
        <f>VLOOKUP(Table13[[#This Row],[kbli5]],kata_kunci!$B:$H,3,FALSE)</f>
        <v>#N/A</v>
      </c>
      <c r="I405" s="84" t="e">
        <f>VLOOKUP(Table13[[#This Row],[kbli5]],kata_kunci!$B:$H,5,FALSE)</f>
        <v>#N/A</v>
      </c>
      <c r="J405" s="84" t="e">
        <f>VLOOKUP(Table13[[#This Row],[kbli5]],kata_kunci!$B:$H,6,FALSE)</f>
        <v>#N/A</v>
      </c>
      <c r="K405" s="84" t="e">
        <f>VLOOKUP(Table13[[#This Row],[kbli5]],kata_kunci!$B:$H,7,FALSE)</f>
        <v>#N/A</v>
      </c>
    </row>
    <row r="406" spans="1:11" ht="30.75" thickBot="1" x14ac:dyDescent="0.3">
      <c r="A406" s="53" t="s">
        <v>450</v>
      </c>
      <c r="B406" s="40">
        <v>21014</v>
      </c>
      <c r="C406" s="41" t="s">
        <v>683</v>
      </c>
      <c r="D406" s="30" t="e">
        <f>VLOOKUP(Table13[[#This Row],[kbli5]],Table1[[#All],[kbli5]:[digital_hijau]],3,)</f>
        <v>#N/A</v>
      </c>
      <c r="E406" s="53" t="e">
        <f>VLOOKUP(Table13[[#This Row],[kbli5]],kata_kunci!$B:$H,4,FALSE)</f>
        <v>#N/A</v>
      </c>
      <c r="F406" s="53" t="e">
        <f>VLOOKUP(Table13[[#This Row],[kbli5]],Table1[[#All],[kbli5]:[digital_hijau]],5,)</f>
        <v>#N/A</v>
      </c>
      <c r="G406" s="53" t="e">
        <f>VLOOKUP(Table13[[#This Row],[kbli5]],Table1[[#All],[kbli5]:[digital_hijau]],6,)</f>
        <v>#N/A</v>
      </c>
      <c r="H406" s="54" t="e">
        <f>VLOOKUP(Table13[[#This Row],[kbli5]],kata_kunci!$B:$H,3,FALSE)</f>
        <v>#N/A</v>
      </c>
      <c r="I406" s="84" t="e">
        <f>VLOOKUP(Table13[[#This Row],[kbli5]],kata_kunci!$B:$H,5,FALSE)</f>
        <v>#N/A</v>
      </c>
      <c r="J406" s="84" t="e">
        <f>VLOOKUP(Table13[[#This Row],[kbli5]],kata_kunci!$B:$H,6,FALSE)</f>
        <v>#N/A</v>
      </c>
      <c r="K406" s="84" t="e">
        <f>VLOOKUP(Table13[[#This Row],[kbli5]],kata_kunci!$B:$H,7,FALSE)</f>
        <v>#N/A</v>
      </c>
    </row>
    <row r="407" spans="1:11" ht="45.75" thickBot="1" x14ac:dyDescent="0.3">
      <c r="A407" s="53" t="s">
        <v>450</v>
      </c>
      <c r="B407" s="40">
        <v>21015</v>
      </c>
      <c r="C407" s="41" t="s">
        <v>684</v>
      </c>
      <c r="D407" s="30" t="e">
        <f>VLOOKUP(Table13[[#This Row],[kbli5]],Table1[[#All],[kbli5]:[digital_hijau]],3,)</f>
        <v>#N/A</v>
      </c>
      <c r="E407" s="53" t="e">
        <f>VLOOKUP(Table13[[#This Row],[kbli5]],kata_kunci!$B:$H,4,FALSE)</f>
        <v>#N/A</v>
      </c>
      <c r="F407" s="53" t="e">
        <f>VLOOKUP(Table13[[#This Row],[kbli5]],Table1[[#All],[kbli5]:[digital_hijau]],5,)</f>
        <v>#N/A</v>
      </c>
      <c r="G407" s="53" t="e">
        <f>VLOOKUP(Table13[[#This Row],[kbli5]],Table1[[#All],[kbli5]:[digital_hijau]],6,)</f>
        <v>#N/A</v>
      </c>
      <c r="H407" s="54" t="e">
        <f>VLOOKUP(Table13[[#This Row],[kbli5]],kata_kunci!$B:$H,3,FALSE)</f>
        <v>#N/A</v>
      </c>
      <c r="I407" s="84" t="e">
        <f>VLOOKUP(Table13[[#This Row],[kbli5]],kata_kunci!$B:$H,5,FALSE)</f>
        <v>#N/A</v>
      </c>
      <c r="J407" s="84" t="e">
        <f>VLOOKUP(Table13[[#This Row],[kbli5]],kata_kunci!$B:$H,6,FALSE)</f>
        <v>#N/A</v>
      </c>
      <c r="K407" s="84" t="e">
        <f>VLOOKUP(Table13[[#This Row],[kbli5]],kata_kunci!$B:$H,7,FALSE)</f>
        <v>#N/A</v>
      </c>
    </row>
    <row r="408" spans="1:11" ht="45.75" thickBot="1" x14ac:dyDescent="0.3">
      <c r="A408" s="53" t="s">
        <v>450</v>
      </c>
      <c r="B408" s="40">
        <v>21021</v>
      </c>
      <c r="C408" s="41" t="s">
        <v>685</v>
      </c>
      <c r="D408" s="30" t="e">
        <f>VLOOKUP(Table13[[#This Row],[kbli5]],Table1[[#All],[kbli5]:[digital_hijau]],3,)</f>
        <v>#N/A</v>
      </c>
      <c r="E408" s="53" t="e">
        <f>VLOOKUP(Table13[[#This Row],[kbli5]],kata_kunci!$B:$H,4,FALSE)</f>
        <v>#N/A</v>
      </c>
      <c r="F408" s="53" t="e">
        <f>VLOOKUP(Table13[[#This Row],[kbli5]],Table1[[#All],[kbli5]:[digital_hijau]],5,)</f>
        <v>#N/A</v>
      </c>
      <c r="G408" s="53" t="e">
        <f>VLOOKUP(Table13[[#This Row],[kbli5]],Table1[[#All],[kbli5]:[digital_hijau]],6,)</f>
        <v>#N/A</v>
      </c>
      <c r="H408" s="54" t="e">
        <f>VLOOKUP(Table13[[#This Row],[kbli5]],kata_kunci!$B:$H,3,FALSE)</f>
        <v>#N/A</v>
      </c>
      <c r="I408" s="84" t="e">
        <f>VLOOKUP(Table13[[#This Row],[kbli5]],kata_kunci!$B:$H,5,FALSE)</f>
        <v>#N/A</v>
      </c>
      <c r="J408" s="84" t="e">
        <f>VLOOKUP(Table13[[#This Row],[kbli5]],kata_kunci!$B:$H,6,FALSE)</f>
        <v>#N/A</v>
      </c>
      <c r="K408" s="84" t="e">
        <f>VLOOKUP(Table13[[#This Row],[kbli5]],kata_kunci!$B:$H,7,FALSE)</f>
        <v>#N/A</v>
      </c>
    </row>
    <row r="409" spans="1:11" ht="45.75" thickBot="1" x14ac:dyDescent="0.3">
      <c r="A409" s="53" t="s">
        <v>450</v>
      </c>
      <c r="B409" s="40">
        <v>21022</v>
      </c>
      <c r="C409" s="41" t="s">
        <v>686</v>
      </c>
      <c r="D409" s="30" t="e">
        <f>VLOOKUP(Table13[[#This Row],[kbli5]],Table1[[#All],[kbli5]:[digital_hijau]],3,)</f>
        <v>#N/A</v>
      </c>
      <c r="E409" s="53" t="e">
        <f>VLOOKUP(Table13[[#This Row],[kbli5]],kata_kunci!$B:$H,4,FALSE)</f>
        <v>#N/A</v>
      </c>
      <c r="F409" s="53" t="e">
        <f>VLOOKUP(Table13[[#This Row],[kbli5]],Table1[[#All],[kbli5]:[digital_hijau]],5,)</f>
        <v>#N/A</v>
      </c>
      <c r="G409" s="53" t="e">
        <f>VLOOKUP(Table13[[#This Row],[kbli5]],Table1[[#All],[kbli5]:[digital_hijau]],6,)</f>
        <v>#N/A</v>
      </c>
      <c r="H409" s="54" t="e">
        <f>VLOOKUP(Table13[[#This Row],[kbli5]],kata_kunci!$B:$H,3,FALSE)</f>
        <v>#N/A</v>
      </c>
      <c r="I409" s="84" t="e">
        <f>VLOOKUP(Table13[[#This Row],[kbli5]],kata_kunci!$B:$H,5,FALSE)</f>
        <v>#N/A</v>
      </c>
      <c r="J409" s="84" t="e">
        <f>VLOOKUP(Table13[[#This Row],[kbli5]],kata_kunci!$B:$H,6,FALSE)</f>
        <v>#N/A</v>
      </c>
      <c r="K409" s="84" t="e">
        <f>VLOOKUP(Table13[[#This Row],[kbli5]],kata_kunci!$B:$H,7,FALSE)</f>
        <v>#N/A</v>
      </c>
    </row>
    <row r="410" spans="1:11" ht="45.75" thickBot="1" x14ac:dyDescent="0.3">
      <c r="A410" s="53" t="s">
        <v>450</v>
      </c>
      <c r="B410" s="40">
        <v>21023</v>
      </c>
      <c r="C410" s="41" t="s">
        <v>687</v>
      </c>
      <c r="D410" s="30" t="e">
        <f>VLOOKUP(Table13[[#This Row],[kbli5]],Table1[[#All],[kbli5]:[digital_hijau]],3,)</f>
        <v>#N/A</v>
      </c>
      <c r="E410" s="53" t="e">
        <f>VLOOKUP(Table13[[#This Row],[kbli5]],kata_kunci!$B:$H,4,FALSE)</f>
        <v>#N/A</v>
      </c>
      <c r="F410" s="53" t="e">
        <f>VLOOKUP(Table13[[#This Row],[kbli5]],Table1[[#All],[kbli5]:[digital_hijau]],5,)</f>
        <v>#N/A</v>
      </c>
      <c r="G410" s="53" t="e">
        <f>VLOOKUP(Table13[[#This Row],[kbli5]],Table1[[#All],[kbli5]:[digital_hijau]],6,)</f>
        <v>#N/A</v>
      </c>
      <c r="H410" s="54" t="e">
        <f>VLOOKUP(Table13[[#This Row],[kbli5]],kata_kunci!$B:$H,3,FALSE)</f>
        <v>#N/A</v>
      </c>
      <c r="I410" s="84" t="e">
        <f>VLOOKUP(Table13[[#This Row],[kbli5]],kata_kunci!$B:$H,5,FALSE)</f>
        <v>#N/A</v>
      </c>
      <c r="J410" s="84" t="e">
        <f>VLOOKUP(Table13[[#This Row],[kbli5]],kata_kunci!$B:$H,6,FALSE)</f>
        <v>#N/A</v>
      </c>
      <c r="K410" s="84" t="e">
        <f>VLOOKUP(Table13[[#This Row],[kbli5]],kata_kunci!$B:$H,7,FALSE)</f>
        <v>#N/A</v>
      </c>
    </row>
    <row r="411" spans="1:11" ht="45.75" thickBot="1" x14ac:dyDescent="0.3">
      <c r="A411" s="53" t="s">
        <v>450</v>
      </c>
      <c r="B411" s="40">
        <v>21024</v>
      </c>
      <c r="C411" s="41" t="s">
        <v>688</v>
      </c>
      <c r="D411" s="30" t="e">
        <f>VLOOKUP(Table13[[#This Row],[kbli5]],Table1[[#All],[kbli5]:[digital_hijau]],3,)</f>
        <v>#N/A</v>
      </c>
      <c r="E411" s="53" t="e">
        <f>VLOOKUP(Table13[[#This Row],[kbli5]],kata_kunci!$B:$H,4,FALSE)</f>
        <v>#N/A</v>
      </c>
      <c r="F411" s="53" t="e">
        <f>VLOOKUP(Table13[[#This Row],[kbli5]],Table1[[#All],[kbli5]:[digital_hijau]],5,)</f>
        <v>#N/A</v>
      </c>
      <c r="G411" s="53" t="e">
        <f>VLOOKUP(Table13[[#This Row],[kbli5]],Table1[[#All],[kbli5]:[digital_hijau]],6,)</f>
        <v>#N/A</v>
      </c>
      <c r="H411" s="54" t="e">
        <f>VLOOKUP(Table13[[#This Row],[kbli5]],kata_kunci!$B:$H,3,FALSE)</f>
        <v>#N/A</v>
      </c>
      <c r="I411" s="84" t="e">
        <f>VLOOKUP(Table13[[#This Row],[kbli5]],kata_kunci!$B:$H,5,FALSE)</f>
        <v>#N/A</v>
      </c>
      <c r="J411" s="84" t="e">
        <f>VLOOKUP(Table13[[#This Row],[kbli5]],kata_kunci!$B:$H,6,FALSE)</f>
        <v>#N/A</v>
      </c>
      <c r="K411" s="84" t="e">
        <f>VLOOKUP(Table13[[#This Row],[kbli5]],kata_kunci!$B:$H,7,FALSE)</f>
        <v>#N/A</v>
      </c>
    </row>
    <row r="412" spans="1:11" ht="30.75" thickBot="1" x14ac:dyDescent="0.3">
      <c r="A412" s="53" t="s">
        <v>450</v>
      </c>
      <c r="B412" s="40">
        <v>22111</v>
      </c>
      <c r="C412" s="41" t="s">
        <v>689</v>
      </c>
      <c r="D412" s="30" t="e">
        <f>VLOOKUP(Table13[[#This Row],[kbli5]],Table1[[#All],[kbli5]:[digital_hijau]],3,)</f>
        <v>#N/A</v>
      </c>
      <c r="E412" s="53" t="e">
        <f>VLOOKUP(Table13[[#This Row],[kbli5]],kata_kunci!$B:$H,4,FALSE)</f>
        <v>#N/A</v>
      </c>
      <c r="F412" s="53" t="e">
        <f>VLOOKUP(Table13[[#This Row],[kbli5]],Table1[[#All],[kbli5]:[digital_hijau]],5,)</f>
        <v>#N/A</v>
      </c>
      <c r="G412" s="53" t="e">
        <f>VLOOKUP(Table13[[#This Row],[kbli5]],Table1[[#All],[kbli5]:[digital_hijau]],6,)</f>
        <v>#N/A</v>
      </c>
      <c r="H412" s="54" t="e">
        <f>VLOOKUP(Table13[[#This Row],[kbli5]],kata_kunci!$B:$H,3,FALSE)</f>
        <v>#N/A</v>
      </c>
      <c r="I412" s="84" t="e">
        <f>VLOOKUP(Table13[[#This Row],[kbli5]],kata_kunci!$B:$H,5,FALSE)</f>
        <v>#N/A</v>
      </c>
      <c r="J412" s="84" t="e">
        <f>VLOOKUP(Table13[[#This Row],[kbli5]],kata_kunci!$B:$H,6,FALSE)</f>
        <v>#N/A</v>
      </c>
      <c r="K412" s="84" t="e">
        <f>VLOOKUP(Table13[[#This Row],[kbli5]],kata_kunci!$B:$H,7,FALSE)</f>
        <v>#N/A</v>
      </c>
    </row>
    <row r="413" spans="1:11" ht="45.75" thickBot="1" x14ac:dyDescent="0.3">
      <c r="A413" s="53" t="s">
        <v>450</v>
      </c>
      <c r="B413" s="40">
        <v>22112</v>
      </c>
      <c r="C413" s="41" t="s">
        <v>690</v>
      </c>
      <c r="D413" s="30" t="e">
        <f>VLOOKUP(Table13[[#This Row],[kbli5]],Table1[[#All],[kbli5]:[digital_hijau]],3,)</f>
        <v>#N/A</v>
      </c>
      <c r="E413" s="53" t="e">
        <f>VLOOKUP(Table13[[#This Row],[kbli5]],kata_kunci!$B:$H,4,FALSE)</f>
        <v>#N/A</v>
      </c>
      <c r="F413" s="53" t="e">
        <f>VLOOKUP(Table13[[#This Row],[kbli5]],Table1[[#All],[kbli5]:[digital_hijau]],5,)</f>
        <v>#N/A</v>
      </c>
      <c r="G413" s="53" t="e">
        <f>VLOOKUP(Table13[[#This Row],[kbli5]],Table1[[#All],[kbli5]:[digital_hijau]],6,)</f>
        <v>#N/A</v>
      </c>
      <c r="H413" s="54" t="e">
        <f>VLOOKUP(Table13[[#This Row],[kbli5]],kata_kunci!$B:$H,3,FALSE)</f>
        <v>#N/A</v>
      </c>
      <c r="I413" s="84" t="e">
        <f>VLOOKUP(Table13[[#This Row],[kbli5]],kata_kunci!$B:$H,5,FALSE)</f>
        <v>#N/A</v>
      </c>
      <c r="J413" s="84" t="e">
        <f>VLOOKUP(Table13[[#This Row],[kbli5]],kata_kunci!$B:$H,6,FALSE)</f>
        <v>#N/A</v>
      </c>
      <c r="K413" s="84" t="e">
        <f>VLOOKUP(Table13[[#This Row],[kbli5]],kata_kunci!$B:$H,7,FALSE)</f>
        <v>#N/A</v>
      </c>
    </row>
    <row r="414" spans="1:11" ht="15.75" thickBot="1" x14ac:dyDescent="0.3">
      <c r="A414" s="53" t="s">
        <v>450</v>
      </c>
      <c r="B414" s="40">
        <v>22121</v>
      </c>
      <c r="C414" s="41" t="s">
        <v>691</v>
      </c>
      <c r="D414" s="30" t="e">
        <f>VLOOKUP(Table13[[#This Row],[kbli5]],Table1[[#All],[kbli5]:[digital_hijau]],3,)</f>
        <v>#N/A</v>
      </c>
      <c r="E414" s="53" t="e">
        <f>VLOOKUP(Table13[[#This Row],[kbli5]],kata_kunci!$B:$H,4,FALSE)</f>
        <v>#N/A</v>
      </c>
      <c r="F414" s="53" t="e">
        <f>VLOOKUP(Table13[[#This Row],[kbli5]],Table1[[#All],[kbli5]:[digital_hijau]],5,)</f>
        <v>#N/A</v>
      </c>
      <c r="G414" s="53" t="e">
        <f>VLOOKUP(Table13[[#This Row],[kbli5]],Table1[[#All],[kbli5]:[digital_hijau]],6,)</f>
        <v>#N/A</v>
      </c>
      <c r="H414" s="54" t="e">
        <f>VLOOKUP(Table13[[#This Row],[kbli5]],kata_kunci!$B:$H,3,FALSE)</f>
        <v>#N/A</v>
      </c>
      <c r="I414" s="84" t="e">
        <f>VLOOKUP(Table13[[#This Row],[kbli5]],kata_kunci!$B:$H,5,FALSE)</f>
        <v>#N/A</v>
      </c>
      <c r="J414" s="84" t="e">
        <f>VLOOKUP(Table13[[#This Row],[kbli5]],kata_kunci!$B:$H,6,FALSE)</f>
        <v>#N/A</v>
      </c>
      <c r="K414" s="84" t="e">
        <f>VLOOKUP(Table13[[#This Row],[kbli5]],kata_kunci!$B:$H,7,FALSE)</f>
        <v>#N/A</v>
      </c>
    </row>
    <row r="415" spans="1:11" ht="30.75" thickBot="1" x14ac:dyDescent="0.3">
      <c r="A415" s="53" t="s">
        <v>450</v>
      </c>
      <c r="B415" s="40">
        <v>22122</v>
      </c>
      <c r="C415" s="41" t="s">
        <v>692</v>
      </c>
      <c r="D415" s="30" t="e">
        <f>VLOOKUP(Table13[[#This Row],[kbli5]],Table1[[#All],[kbli5]:[digital_hijau]],3,)</f>
        <v>#N/A</v>
      </c>
      <c r="E415" s="53" t="e">
        <f>VLOOKUP(Table13[[#This Row],[kbli5]],kata_kunci!$B:$H,4,FALSE)</f>
        <v>#N/A</v>
      </c>
      <c r="F415" s="53" t="e">
        <f>VLOOKUP(Table13[[#This Row],[kbli5]],Table1[[#All],[kbli5]:[digital_hijau]],5,)</f>
        <v>#N/A</v>
      </c>
      <c r="G415" s="53" t="e">
        <f>VLOOKUP(Table13[[#This Row],[kbli5]],Table1[[#All],[kbli5]:[digital_hijau]],6,)</f>
        <v>#N/A</v>
      </c>
      <c r="H415" s="54" t="e">
        <f>VLOOKUP(Table13[[#This Row],[kbli5]],kata_kunci!$B:$H,3,FALSE)</f>
        <v>#N/A</v>
      </c>
      <c r="I415" s="84" t="e">
        <f>VLOOKUP(Table13[[#This Row],[kbli5]],kata_kunci!$B:$H,5,FALSE)</f>
        <v>#N/A</v>
      </c>
      <c r="J415" s="84" t="e">
        <f>VLOOKUP(Table13[[#This Row],[kbli5]],kata_kunci!$B:$H,6,FALSE)</f>
        <v>#N/A</v>
      </c>
      <c r="K415" s="84" t="e">
        <f>VLOOKUP(Table13[[#This Row],[kbli5]],kata_kunci!$B:$H,7,FALSE)</f>
        <v>#N/A</v>
      </c>
    </row>
    <row r="416" spans="1:11" ht="30.75" thickBot="1" x14ac:dyDescent="0.3">
      <c r="A416" s="53" t="s">
        <v>450</v>
      </c>
      <c r="B416" s="40">
        <v>22123</v>
      </c>
      <c r="C416" s="41" t="s">
        <v>693</v>
      </c>
      <c r="D416" s="30" t="e">
        <f>VLOOKUP(Table13[[#This Row],[kbli5]],Table1[[#All],[kbli5]:[digital_hijau]],3,)</f>
        <v>#N/A</v>
      </c>
      <c r="E416" s="53" t="e">
        <f>VLOOKUP(Table13[[#This Row],[kbli5]],kata_kunci!$B:$H,4,FALSE)</f>
        <v>#N/A</v>
      </c>
      <c r="F416" s="53" t="e">
        <f>VLOOKUP(Table13[[#This Row],[kbli5]],Table1[[#All],[kbli5]:[digital_hijau]],5,)</f>
        <v>#N/A</v>
      </c>
      <c r="G416" s="53" t="e">
        <f>VLOOKUP(Table13[[#This Row],[kbli5]],Table1[[#All],[kbli5]:[digital_hijau]],6,)</f>
        <v>#N/A</v>
      </c>
      <c r="H416" s="54" t="e">
        <f>VLOOKUP(Table13[[#This Row],[kbli5]],kata_kunci!$B:$H,3,FALSE)</f>
        <v>#N/A</v>
      </c>
      <c r="I416" s="84" t="e">
        <f>VLOOKUP(Table13[[#This Row],[kbli5]],kata_kunci!$B:$H,5,FALSE)</f>
        <v>#N/A</v>
      </c>
      <c r="J416" s="84" t="e">
        <f>VLOOKUP(Table13[[#This Row],[kbli5]],kata_kunci!$B:$H,6,FALSE)</f>
        <v>#N/A</v>
      </c>
      <c r="K416" s="84" t="e">
        <f>VLOOKUP(Table13[[#This Row],[kbli5]],kata_kunci!$B:$H,7,FALSE)</f>
        <v>#N/A</v>
      </c>
    </row>
    <row r="417" spans="1:11" ht="30.75" thickBot="1" x14ac:dyDescent="0.3">
      <c r="A417" s="53" t="s">
        <v>450</v>
      </c>
      <c r="B417" s="40">
        <v>22129</v>
      </c>
      <c r="C417" s="41" t="s">
        <v>694</v>
      </c>
      <c r="D417" s="30" t="e">
        <f>VLOOKUP(Table13[[#This Row],[kbli5]],Table1[[#All],[kbli5]:[digital_hijau]],3,)</f>
        <v>#N/A</v>
      </c>
      <c r="E417" s="53" t="e">
        <f>VLOOKUP(Table13[[#This Row],[kbli5]],kata_kunci!$B:$H,4,FALSE)</f>
        <v>#N/A</v>
      </c>
      <c r="F417" s="53" t="e">
        <f>VLOOKUP(Table13[[#This Row],[kbli5]],Table1[[#All],[kbli5]:[digital_hijau]],5,)</f>
        <v>#N/A</v>
      </c>
      <c r="G417" s="53" t="e">
        <f>VLOOKUP(Table13[[#This Row],[kbli5]],Table1[[#All],[kbli5]:[digital_hijau]],6,)</f>
        <v>#N/A</v>
      </c>
      <c r="H417" s="54" t="e">
        <f>VLOOKUP(Table13[[#This Row],[kbli5]],kata_kunci!$B:$H,3,FALSE)</f>
        <v>#N/A</v>
      </c>
      <c r="I417" s="84" t="e">
        <f>VLOOKUP(Table13[[#This Row],[kbli5]],kata_kunci!$B:$H,5,FALSE)</f>
        <v>#N/A</v>
      </c>
      <c r="J417" s="84" t="e">
        <f>VLOOKUP(Table13[[#This Row],[kbli5]],kata_kunci!$B:$H,6,FALSE)</f>
        <v>#N/A</v>
      </c>
      <c r="K417" s="84" t="e">
        <f>VLOOKUP(Table13[[#This Row],[kbli5]],kata_kunci!$B:$H,7,FALSE)</f>
        <v>#N/A</v>
      </c>
    </row>
    <row r="418" spans="1:11" ht="45.75" thickBot="1" x14ac:dyDescent="0.3">
      <c r="A418" s="53" t="s">
        <v>450</v>
      </c>
      <c r="B418" s="40">
        <v>22191</v>
      </c>
      <c r="C418" s="41" t="s">
        <v>695</v>
      </c>
      <c r="D418" s="30" t="e">
        <f>VLOOKUP(Table13[[#This Row],[kbli5]],Table1[[#All],[kbli5]:[digital_hijau]],3,)</f>
        <v>#N/A</v>
      </c>
      <c r="E418" s="53" t="e">
        <f>VLOOKUP(Table13[[#This Row],[kbli5]],kata_kunci!$B:$H,4,FALSE)</f>
        <v>#N/A</v>
      </c>
      <c r="F418" s="53" t="e">
        <f>VLOOKUP(Table13[[#This Row],[kbli5]],Table1[[#All],[kbli5]:[digital_hijau]],5,)</f>
        <v>#N/A</v>
      </c>
      <c r="G418" s="53" t="e">
        <f>VLOOKUP(Table13[[#This Row],[kbli5]],Table1[[#All],[kbli5]:[digital_hijau]],6,)</f>
        <v>#N/A</v>
      </c>
      <c r="H418" s="54" t="e">
        <f>VLOOKUP(Table13[[#This Row],[kbli5]],kata_kunci!$B:$H,3,FALSE)</f>
        <v>#N/A</v>
      </c>
      <c r="I418" s="84" t="e">
        <f>VLOOKUP(Table13[[#This Row],[kbli5]],kata_kunci!$B:$H,5,FALSE)</f>
        <v>#N/A</v>
      </c>
      <c r="J418" s="84" t="e">
        <f>VLOOKUP(Table13[[#This Row],[kbli5]],kata_kunci!$B:$H,6,FALSE)</f>
        <v>#N/A</v>
      </c>
      <c r="K418" s="84" t="e">
        <f>VLOOKUP(Table13[[#This Row],[kbli5]],kata_kunci!$B:$H,7,FALSE)</f>
        <v>#N/A</v>
      </c>
    </row>
    <row r="419" spans="1:11" ht="45.75" thickBot="1" x14ac:dyDescent="0.3">
      <c r="A419" s="53" t="s">
        <v>450</v>
      </c>
      <c r="B419" s="40">
        <v>22192</v>
      </c>
      <c r="C419" s="41" t="s">
        <v>696</v>
      </c>
      <c r="D419" s="30" t="e">
        <f>VLOOKUP(Table13[[#This Row],[kbli5]],Table1[[#All],[kbli5]:[digital_hijau]],3,)</f>
        <v>#N/A</v>
      </c>
      <c r="E419" s="53" t="e">
        <f>VLOOKUP(Table13[[#This Row],[kbli5]],kata_kunci!$B:$H,4,FALSE)</f>
        <v>#N/A</v>
      </c>
      <c r="F419" s="53" t="e">
        <f>VLOOKUP(Table13[[#This Row],[kbli5]],Table1[[#All],[kbli5]:[digital_hijau]],5,)</f>
        <v>#N/A</v>
      </c>
      <c r="G419" s="53" t="e">
        <f>VLOOKUP(Table13[[#This Row],[kbli5]],Table1[[#All],[kbli5]:[digital_hijau]],6,)</f>
        <v>#N/A</v>
      </c>
      <c r="H419" s="54" t="e">
        <f>VLOOKUP(Table13[[#This Row],[kbli5]],kata_kunci!$B:$H,3,FALSE)</f>
        <v>#N/A</v>
      </c>
      <c r="I419" s="84" t="e">
        <f>VLOOKUP(Table13[[#This Row],[kbli5]],kata_kunci!$B:$H,5,FALSE)</f>
        <v>#N/A</v>
      </c>
      <c r="J419" s="84" t="e">
        <f>VLOOKUP(Table13[[#This Row],[kbli5]],kata_kunci!$B:$H,6,FALSE)</f>
        <v>#N/A</v>
      </c>
      <c r="K419" s="84" t="e">
        <f>VLOOKUP(Table13[[#This Row],[kbli5]],kata_kunci!$B:$H,7,FALSE)</f>
        <v>#N/A</v>
      </c>
    </row>
    <row r="420" spans="1:11" ht="45.75" thickBot="1" x14ac:dyDescent="0.3">
      <c r="A420" s="53" t="s">
        <v>450</v>
      </c>
      <c r="B420" s="40">
        <v>22193</v>
      </c>
      <c r="C420" s="41" t="s">
        <v>697</v>
      </c>
      <c r="D420" s="30" t="e">
        <f>VLOOKUP(Table13[[#This Row],[kbli5]],Table1[[#All],[kbli5]:[digital_hijau]],3,)</f>
        <v>#N/A</v>
      </c>
      <c r="E420" s="53" t="e">
        <f>VLOOKUP(Table13[[#This Row],[kbli5]],kata_kunci!$B:$H,4,FALSE)</f>
        <v>#N/A</v>
      </c>
      <c r="F420" s="53" t="e">
        <f>VLOOKUP(Table13[[#This Row],[kbli5]],Table1[[#All],[kbli5]:[digital_hijau]],5,)</f>
        <v>#N/A</v>
      </c>
      <c r="G420" s="53" t="e">
        <f>VLOOKUP(Table13[[#This Row],[kbli5]],Table1[[#All],[kbli5]:[digital_hijau]],6,)</f>
        <v>#N/A</v>
      </c>
      <c r="H420" s="54" t="e">
        <f>VLOOKUP(Table13[[#This Row],[kbli5]],kata_kunci!$B:$H,3,FALSE)</f>
        <v>#N/A</v>
      </c>
      <c r="I420" s="84" t="e">
        <f>VLOOKUP(Table13[[#This Row],[kbli5]],kata_kunci!$B:$H,5,FALSE)</f>
        <v>#N/A</v>
      </c>
      <c r="J420" s="84" t="e">
        <f>VLOOKUP(Table13[[#This Row],[kbli5]],kata_kunci!$B:$H,6,FALSE)</f>
        <v>#N/A</v>
      </c>
      <c r="K420" s="84" t="e">
        <f>VLOOKUP(Table13[[#This Row],[kbli5]],kata_kunci!$B:$H,7,FALSE)</f>
        <v>#N/A</v>
      </c>
    </row>
    <row r="421" spans="1:11" ht="30.75" thickBot="1" x14ac:dyDescent="0.3">
      <c r="A421" s="53" t="s">
        <v>450</v>
      </c>
      <c r="B421" s="40">
        <v>22194</v>
      </c>
      <c r="C421" s="41" t="s">
        <v>698</v>
      </c>
      <c r="D421" s="30" t="e">
        <f>VLOOKUP(Table13[[#This Row],[kbli5]],Table1[[#All],[kbli5]:[digital_hijau]],3,)</f>
        <v>#N/A</v>
      </c>
      <c r="E421" s="53" t="e">
        <f>VLOOKUP(Table13[[#This Row],[kbli5]],kata_kunci!$B:$H,4,FALSE)</f>
        <v>#N/A</v>
      </c>
      <c r="F421" s="53" t="e">
        <f>VLOOKUP(Table13[[#This Row],[kbli5]],Table1[[#All],[kbli5]:[digital_hijau]],5,)</f>
        <v>#N/A</v>
      </c>
      <c r="G421" s="53" t="e">
        <f>VLOOKUP(Table13[[#This Row],[kbli5]],Table1[[#All],[kbli5]:[digital_hijau]],6,)</f>
        <v>#N/A</v>
      </c>
      <c r="H421" s="54" t="e">
        <f>VLOOKUP(Table13[[#This Row],[kbli5]],kata_kunci!$B:$H,3,FALSE)</f>
        <v>#N/A</v>
      </c>
      <c r="I421" s="84" t="e">
        <f>VLOOKUP(Table13[[#This Row],[kbli5]],kata_kunci!$B:$H,5,FALSE)</f>
        <v>#N/A</v>
      </c>
      <c r="J421" s="84" t="e">
        <f>VLOOKUP(Table13[[#This Row],[kbli5]],kata_kunci!$B:$H,6,FALSE)</f>
        <v>#N/A</v>
      </c>
      <c r="K421" s="84" t="e">
        <f>VLOOKUP(Table13[[#This Row],[kbli5]],kata_kunci!$B:$H,7,FALSE)</f>
        <v>#N/A</v>
      </c>
    </row>
    <row r="422" spans="1:11" ht="30.75" thickBot="1" x14ac:dyDescent="0.3">
      <c r="A422" s="53" t="s">
        <v>450</v>
      </c>
      <c r="B422" s="40">
        <v>22199</v>
      </c>
      <c r="C422" s="41" t="s">
        <v>699</v>
      </c>
      <c r="D422" s="30" t="e">
        <f>VLOOKUP(Table13[[#This Row],[kbli5]],Table1[[#All],[kbli5]:[digital_hijau]],3,)</f>
        <v>#N/A</v>
      </c>
      <c r="E422" s="53" t="e">
        <f>VLOOKUP(Table13[[#This Row],[kbli5]],kata_kunci!$B:$H,4,FALSE)</f>
        <v>#N/A</v>
      </c>
      <c r="F422" s="53" t="e">
        <f>VLOOKUP(Table13[[#This Row],[kbli5]],Table1[[#All],[kbli5]:[digital_hijau]],5,)</f>
        <v>#N/A</v>
      </c>
      <c r="G422" s="53" t="e">
        <f>VLOOKUP(Table13[[#This Row],[kbli5]],Table1[[#All],[kbli5]:[digital_hijau]],6,)</f>
        <v>#N/A</v>
      </c>
      <c r="H422" s="54" t="e">
        <f>VLOOKUP(Table13[[#This Row],[kbli5]],kata_kunci!$B:$H,3,FALSE)</f>
        <v>#N/A</v>
      </c>
      <c r="I422" s="84" t="e">
        <f>VLOOKUP(Table13[[#This Row],[kbli5]],kata_kunci!$B:$H,5,FALSE)</f>
        <v>#N/A</v>
      </c>
      <c r="J422" s="84" t="e">
        <f>VLOOKUP(Table13[[#This Row],[kbli5]],kata_kunci!$B:$H,6,FALSE)</f>
        <v>#N/A</v>
      </c>
      <c r="K422" s="84" t="e">
        <f>VLOOKUP(Table13[[#This Row],[kbli5]],kata_kunci!$B:$H,7,FALSE)</f>
        <v>#N/A</v>
      </c>
    </row>
    <row r="423" spans="1:11" ht="30.75" thickBot="1" x14ac:dyDescent="0.3">
      <c r="A423" s="53" t="s">
        <v>450</v>
      </c>
      <c r="B423" s="40">
        <v>22201</v>
      </c>
      <c r="C423" s="41" t="s">
        <v>700</v>
      </c>
      <c r="D423" s="30" t="e">
        <f>VLOOKUP(Table13[[#This Row],[kbli5]],Table1[[#All],[kbli5]:[digital_hijau]],3,)</f>
        <v>#N/A</v>
      </c>
      <c r="E423" s="53" t="e">
        <f>VLOOKUP(Table13[[#This Row],[kbli5]],kata_kunci!$B:$H,4,FALSE)</f>
        <v>#N/A</v>
      </c>
      <c r="F423" s="53" t="e">
        <f>VLOOKUP(Table13[[#This Row],[kbli5]],Table1[[#All],[kbli5]:[digital_hijau]],5,)</f>
        <v>#N/A</v>
      </c>
      <c r="G423" s="35" t="s">
        <v>2091</v>
      </c>
      <c r="H423" s="54" t="e">
        <f>VLOOKUP(Table13[[#This Row],[kbli5]],kata_kunci!$B:$H,3,FALSE)</f>
        <v>#N/A</v>
      </c>
      <c r="I423" s="84" t="e">
        <f>VLOOKUP(Table13[[#This Row],[kbli5]],kata_kunci!$B:$H,5,FALSE)</f>
        <v>#N/A</v>
      </c>
      <c r="J423" s="84" t="e">
        <f>VLOOKUP(Table13[[#This Row],[kbli5]],kata_kunci!$B:$H,6,FALSE)</f>
        <v>#N/A</v>
      </c>
      <c r="K423" s="84" t="e">
        <f>VLOOKUP(Table13[[#This Row],[kbli5]],kata_kunci!$B:$H,7,FALSE)</f>
        <v>#N/A</v>
      </c>
    </row>
    <row r="424" spans="1:11" ht="45.75" thickBot="1" x14ac:dyDescent="0.3">
      <c r="A424" s="53" t="s">
        <v>450</v>
      </c>
      <c r="B424" s="40">
        <v>22202</v>
      </c>
      <c r="C424" s="41" t="s">
        <v>701</v>
      </c>
      <c r="D424" s="30" t="e">
        <f>VLOOKUP(Table13[[#This Row],[kbli5]],Table1[[#All],[kbli5]:[digital_hijau]],3,)</f>
        <v>#N/A</v>
      </c>
      <c r="E424" s="53" t="e">
        <f>VLOOKUP(Table13[[#This Row],[kbli5]],kata_kunci!$B:$H,4,FALSE)</f>
        <v>#N/A</v>
      </c>
      <c r="F424" s="53" t="e">
        <f>VLOOKUP(Table13[[#This Row],[kbli5]],Table1[[#All],[kbli5]:[digital_hijau]],5,)</f>
        <v>#N/A</v>
      </c>
      <c r="G424" s="53" t="e">
        <f>VLOOKUP(Table13[[#This Row],[kbli5]],Table1[[#All],[kbli5]:[digital_hijau]],6,)</f>
        <v>#N/A</v>
      </c>
      <c r="H424" s="54" t="e">
        <f>VLOOKUP(Table13[[#This Row],[kbli5]],kata_kunci!$B:$H,3,FALSE)</f>
        <v>#N/A</v>
      </c>
      <c r="I424" s="84" t="e">
        <f>VLOOKUP(Table13[[#This Row],[kbli5]],kata_kunci!$B:$H,5,FALSE)</f>
        <v>#N/A</v>
      </c>
      <c r="J424" s="84" t="e">
        <f>VLOOKUP(Table13[[#This Row],[kbli5]],kata_kunci!$B:$H,6,FALSE)</f>
        <v>#N/A</v>
      </c>
      <c r="K424" s="84" t="e">
        <f>VLOOKUP(Table13[[#This Row],[kbli5]],kata_kunci!$B:$H,7,FALSE)</f>
        <v>#N/A</v>
      </c>
    </row>
    <row r="425" spans="1:11" ht="30.75" thickBot="1" x14ac:dyDescent="0.3">
      <c r="A425" s="53" t="s">
        <v>450</v>
      </c>
      <c r="B425" s="40">
        <v>22203</v>
      </c>
      <c r="C425" s="41" t="s">
        <v>702</v>
      </c>
      <c r="D425" s="30" t="e">
        <f>VLOOKUP(Table13[[#This Row],[kbli5]],Table1[[#All],[kbli5]:[digital_hijau]],3,)</f>
        <v>#N/A</v>
      </c>
      <c r="E425" s="53" t="e">
        <f>VLOOKUP(Table13[[#This Row],[kbli5]],kata_kunci!$B:$H,4,FALSE)</f>
        <v>#N/A</v>
      </c>
      <c r="F425" s="53" t="e">
        <f>VLOOKUP(Table13[[#This Row],[kbli5]],Table1[[#All],[kbli5]:[digital_hijau]],5,)</f>
        <v>#N/A</v>
      </c>
      <c r="G425" s="53" t="e">
        <f>VLOOKUP(Table13[[#This Row],[kbli5]],Table1[[#All],[kbli5]:[digital_hijau]],6,)</f>
        <v>#N/A</v>
      </c>
      <c r="H425" s="54" t="e">
        <f>VLOOKUP(Table13[[#This Row],[kbli5]],kata_kunci!$B:$H,3,FALSE)</f>
        <v>#N/A</v>
      </c>
      <c r="I425" s="84" t="e">
        <f>VLOOKUP(Table13[[#This Row],[kbli5]],kata_kunci!$B:$H,5,FALSE)</f>
        <v>#N/A</v>
      </c>
      <c r="J425" s="84" t="e">
        <f>VLOOKUP(Table13[[#This Row],[kbli5]],kata_kunci!$B:$H,6,FALSE)</f>
        <v>#N/A</v>
      </c>
      <c r="K425" s="84" t="e">
        <f>VLOOKUP(Table13[[#This Row],[kbli5]],kata_kunci!$B:$H,7,FALSE)</f>
        <v>#N/A</v>
      </c>
    </row>
    <row r="426" spans="1:11" ht="30.75" thickBot="1" x14ac:dyDescent="0.3">
      <c r="A426" s="53" t="s">
        <v>450</v>
      </c>
      <c r="B426" s="40">
        <v>22204</v>
      </c>
      <c r="C426" s="41" t="s">
        <v>703</v>
      </c>
      <c r="D426" s="30" t="e">
        <f>VLOOKUP(Table13[[#This Row],[kbli5]],Table1[[#All],[kbli5]:[digital_hijau]],3,)</f>
        <v>#N/A</v>
      </c>
      <c r="E426" s="53" t="e">
        <f>VLOOKUP(Table13[[#This Row],[kbli5]],kata_kunci!$B:$H,4,FALSE)</f>
        <v>#N/A</v>
      </c>
      <c r="F426" s="53" t="e">
        <f>VLOOKUP(Table13[[#This Row],[kbli5]],Table1[[#All],[kbli5]:[digital_hijau]],5,)</f>
        <v>#N/A</v>
      </c>
      <c r="G426" s="53" t="e">
        <f>VLOOKUP(Table13[[#This Row],[kbli5]],Table1[[#All],[kbli5]:[digital_hijau]],6,)</f>
        <v>#N/A</v>
      </c>
      <c r="H426" s="54" t="e">
        <f>VLOOKUP(Table13[[#This Row],[kbli5]],kata_kunci!$B:$H,3,FALSE)</f>
        <v>#N/A</v>
      </c>
      <c r="I426" s="84" t="e">
        <f>VLOOKUP(Table13[[#This Row],[kbli5]],kata_kunci!$B:$H,5,FALSE)</f>
        <v>#N/A</v>
      </c>
      <c r="J426" s="84" t="e">
        <f>VLOOKUP(Table13[[#This Row],[kbli5]],kata_kunci!$B:$H,6,FALSE)</f>
        <v>#N/A</v>
      </c>
      <c r="K426" s="84" t="e">
        <f>VLOOKUP(Table13[[#This Row],[kbli5]],kata_kunci!$B:$H,7,FALSE)</f>
        <v>#N/A</v>
      </c>
    </row>
    <row r="427" spans="1:11" ht="45.75" thickBot="1" x14ac:dyDescent="0.3">
      <c r="A427" s="53" t="s">
        <v>450</v>
      </c>
      <c r="B427" s="40">
        <v>22205</v>
      </c>
      <c r="C427" s="41" t="s">
        <v>704</v>
      </c>
      <c r="D427" s="30" t="e">
        <f>VLOOKUP(Table13[[#This Row],[kbli5]],Table1[[#All],[kbli5]:[digital_hijau]],3,)</f>
        <v>#N/A</v>
      </c>
      <c r="E427" s="53" t="e">
        <f>VLOOKUP(Table13[[#This Row],[kbli5]],kata_kunci!$B:$H,4,FALSE)</f>
        <v>#N/A</v>
      </c>
      <c r="F427" s="53" t="e">
        <f>VLOOKUP(Table13[[#This Row],[kbli5]],Table1[[#All],[kbli5]:[digital_hijau]],5,)</f>
        <v>#N/A</v>
      </c>
      <c r="G427" s="53" t="e">
        <f>VLOOKUP(Table13[[#This Row],[kbli5]],Table1[[#All],[kbli5]:[digital_hijau]],6,)</f>
        <v>#N/A</v>
      </c>
      <c r="H427" s="54" t="e">
        <f>VLOOKUP(Table13[[#This Row],[kbli5]],kata_kunci!$B:$H,3,FALSE)</f>
        <v>#N/A</v>
      </c>
      <c r="I427" s="84" t="e">
        <f>VLOOKUP(Table13[[#This Row],[kbli5]],kata_kunci!$B:$H,5,FALSE)</f>
        <v>#N/A</v>
      </c>
      <c r="J427" s="84" t="e">
        <f>VLOOKUP(Table13[[#This Row],[kbli5]],kata_kunci!$B:$H,6,FALSE)</f>
        <v>#N/A</v>
      </c>
      <c r="K427" s="84" t="e">
        <f>VLOOKUP(Table13[[#This Row],[kbli5]],kata_kunci!$B:$H,7,FALSE)</f>
        <v>#N/A</v>
      </c>
    </row>
    <row r="428" spans="1:11" ht="60.75" thickBot="1" x14ac:dyDescent="0.3">
      <c r="A428" s="53" t="s">
        <v>450</v>
      </c>
      <c r="B428" s="40">
        <v>22206</v>
      </c>
      <c r="C428" s="41" t="s">
        <v>705</v>
      </c>
      <c r="D428" s="30" t="e">
        <f>VLOOKUP(Table13[[#This Row],[kbli5]],Table1[[#All],[kbli5]:[digital_hijau]],3,)</f>
        <v>#N/A</v>
      </c>
      <c r="E428" s="53" t="e">
        <f>VLOOKUP(Table13[[#This Row],[kbli5]],kata_kunci!$B:$H,4,FALSE)</f>
        <v>#N/A</v>
      </c>
      <c r="F428" s="53" t="e">
        <f>VLOOKUP(Table13[[#This Row],[kbli5]],Table1[[#All],[kbli5]:[digital_hijau]],5,)</f>
        <v>#N/A</v>
      </c>
      <c r="G428" s="53" t="e">
        <f>VLOOKUP(Table13[[#This Row],[kbli5]],Table1[[#All],[kbli5]:[digital_hijau]],6,)</f>
        <v>#N/A</v>
      </c>
      <c r="H428" s="54" t="e">
        <f>VLOOKUP(Table13[[#This Row],[kbli5]],kata_kunci!$B:$H,3,FALSE)</f>
        <v>#N/A</v>
      </c>
      <c r="I428" s="84" t="e">
        <f>VLOOKUP(Table13[[#This Row],[kbli5]],kata_kunci!$B:$H,5,FALSE)</f>
        <v>#N/A</v>
      </c>
      <c r="J428" s="84" t="e">
        <f>VLOOKUP(Table13[[#This Row],[kbli5]],kata_kunci!$B:$H,6,FALSE)</f>
        <v>#N/A</v>
      </c>
      <c r="K428" s="84" t="e">
        <f>VLOOKUP(Table13[[#This Row],[kbli5]],kata_kunci!$B:$H,7,FALSE)</f>
        <v>#N/A</v>
      </c>
    </row>
    <row r="429" spans="1:11" ht="30.75" thickBot="1" x14ac:dyDescent="0.3">
      <c r="A429" s="53" t="s">
        <v>450</v>
      </c>
      <c r="B429" s="40">
        <v>22209</v>
      </c>
      <c r="C429" s="41" t="s">
        <v>706</v>
      </c>
      <c r="D429" s="30" t="e">
        <f>VLOOKUP(Table13[[#This Row],[kbli5]],Table1[[#All],[kbli5]:[digital_hijau]],3,)</f>
        <v>#N/A</v>
      </c>
      <c r="E429" s="53" t="e">
        <f>VLOOKUP(Table13[[#This Row],[kbli5]],kata_kunci!$B:$H,4,FALSE)</f>
        <v>#N/A</v>
      </c>
      <c r="F429" s="53" t="e">
        <f>VLOOKUP(Table13[[#This Row],[kbli5]],Table1[[#All],[kbli5]:[digital_hijau]],5,)</f>
        <v>#N/A</v>
      </c>
      <c r="G429" s="53" t="e">
        <f>VLOOKUP(Table13[[#This Row],[kbli5]],Table1[[#All],[kbli5]:[digital_hijau]],6,)</f>
        <v>#N/A</v>
      </c>
      <c r="H429" s="54" t="e">
        <f>VLOOKUP(Table13[[#This Row],[kbli5]],kata_kunci!$B:$H,3,FALSE)</f>
        <v>#N/A</v>
      </c>
      <c r="I429" s="84" t="e">
        <f>VLOOKUP(Table13[[#This Row],[kbli5]],kata_kunci!$B:$H,5,FALSE)</f>
        <v>#N/A</v>
      </c>
      <c r="J429" s="84" t="e">
        <f>VLOOKUP(Table13[[#This Row],[kbli5]],kata_kunci!$B:$H,6,FALSE)</f>
        <v>#N/A</v>
      </c>
      <c r="K429" s="84" t="e">
        <f>VLOOKUP(Table13[[#This Row],[kbli5]],kata_kunci!$B:$H,7,FALSE)</f>
        <v>#N/A</v>
      </c>
    </row>
    <row r="430" spans="1:11" ht="15.75" thickBot="1" x14ac:dyDescent="0.3">
      <c r="A430" s="53" t="s">
        <v>450</v>
      </c>
      <c r="B430" s="40">
        <v>23111</v>
      </c>
      <c r="C430" s="41" t="s">
        <v>707</v>
      </c>
      <c r="D430" s="30" t="e">
        <f>VLOOKUP(Table13[[#This Row],[kbli5]],Table1[[#All],[kbli5]:[digital_hijau]],3,)</f>
        <v>#N/A</v>
      </c>
      <c r="E430" s="53" t="e">
        <f>VLOOKUP(Table13[[#This Row],[kbli5]],kata_kunci!$B:$H,4,FALSE)</f>
        <v>#N/A</v>
      </c>
      <c r="F430" s="53" t="e">
        <f>VLOOKUP(Table13[[#This Row],[kbli5]],Table1[[#All],[kbli5]:[digital_hijau]],5,)</f>
        <v>#N/A</v>
      </c>
      <c r="G430" s="53" t="e">
        <f>VLOOKUP(Table13[[#This Row],[kbli5]],Table1[[#All],[kbli5]:[digital_hijau]],6,)</f>
        <v>#N/A</v>
      </c>
      <c r="H430" s="54" t="e">
        <f>VLOOKUP(Table13[[#This Row],[kbli5]],kata_kunci!$B:$H,3,FALSE)</f>
        <v>#N/A</v>
      </c>
      <c r="I430" s="84" t="e">
        <f>VLOOKUP(Table13[[#This Row],[kbli5]],kata_kunci!$B:$H,5,FALSE)</f>
        <v>#N/A</v>
      </c>
      <c r="J430" s="84" t="e">
        <f>VLOOKUP(Table13[[#This Row],[kbli5]],kata_kunci!$B:$H,6,FALSE)</f>
        <v>#N/A</v>
      </c>
      <c r="K430" s="84" t="e">
        <f>VLOOKUP(Table13[[#This Row],[kbli5]],kata_kunci!$B:$H,7,FALSE)</f>
        <v>#N/A</v>
      </c>
    </row>
    <row r="431" spans="1:11" ht="15.75" thickBot="1" x14ac:dyDescent="0.3">
      <c r="A431" s="53" t="s">
        <v>450</v>
      </c>
      <c r="B431" s="40">
        <v>23112</v>
      </c>
      <c r="C431" s="41" t="s">
        <v>708</v>
      </c>
      <c r="D431" s="30" t="e">
        <f>VLOOKUP(Table13[[#This Row],[kbli5]],Table1[[#All],[kbli5]:[digital_hijau]],3,)</f>
        <v>#N/A</v>
      </c>
      <c r="E431" s="53" t="e">
        <f>VLOOKUP(Table13[[#This Row],[kbli5]],kata_kunci!$B:$H,4,FALSE)</f>
        <v>#N/A</v>
      </c>
      <c r="F431" s="53" t="e">
        <f>VLOOKUP(Table13[[#This Row],[kbli5]],Table1[[#All],[kbli5]:[digital_hijau]],5,)</f>
        <v>#N/A</v>
      </c>
      <c r="G431" s="53" t="e">
        <f>VLOOKUP(Table13[[#This Row],[kbli5]],Table1[[#All],[kbli5]:[digital_hijau]],6,)</f>
        <v>#N/A</v>
      </c>
      <c r="H431" s="54" t="e">
        <f>VLOOKUP(Table13[[#This Row],[kbli5]],kata_kunci!$B:$H,3,FALSE)</f>
        <v>#N/A</v>
      </c>
      <c r="I431" s="84" t="e">
        <f>VLOOKUP(Table13[[#This Row],[kbli5]],kata_kunci!$B:$H,5,FALSE)</f>
        <v>#N/A</v>
      </c>
      <c r="J431" s="84" t="e">
        <f>VLOOKUP(Table13[[#This Row],[kbli5]],kata_kunci!$B:$H,6,FALSE)</f>
        <v>#N/A</v>
      </c>
      <c r="K431" s="84" t="e">
        <f>VLOOKUP(Table13[[#This Row],[kbli5]],kata_kunci!$B:$H,7,FALSE)</f>
        <v>#N/A</v>
      </c>
    </row>
    <row r="432" spans="1:11" ht="15.75" thickBot="1" x14ac:dyDescent="0.3">
      <c r="A432" s="53" t="s">
        <v>450</v>
      </c>
      <c r="B432" s="40">
        <v>23119</v>
      </c>
      <c r="C432" s="41" t="s">
        <v>709</v>
      </c>
      <c r="D432" s="30" t="e">
        <f>VLOOKUP(Table13[[#This Row],[kbli5]],Table1[[#All],[kbli5]:[digital_hijau]],3,)</f>
        <v>#N/A</v>
      </c>
      <c r="E432" s="53" t="e">
        <f>VLOOKUP(Table13[[#This Row],[kbli5]],kata_kunci!$B:$H,4,FALSE)</f>
        <v>#N/A</v>
      </c>
      <c r="F432" s="53" t="e">
        <f>VLOOKUP(Table13[[#This Row],[kbli5]],Table1[[#All],[kbli5]:[digital_hijau]],5,)</f>
        <v>#N/A</v>
      </c>
      <c r="G432" s="53" t="e">
        <f>VLOOKUP(Table13[[#This Row],[kbli5]],Table1[[#All],[kbli5]:[digital_hijau]],6,)</f>
        <v>#N/A</v>
      </c>
      <c r="H432" s="54" t="e">
        <f>VLOOKUP(Table13[[#This Row],[kbli5]],kata_kunci!$B:$H,3,FALSE)</f>
        <v>#N/A</v>
      </c>
      <c r="I432" s="84" t="e">
        <f>VLOOKUP(Table13[[#This Row],[kbli5]],kata_kunci!$B:$H,5,FALSE)</f>
        <v>#N/A</v>
      </c>
      <c r="J432" s="84" t="e">
        <f>VLOOKUP(Table13[[#This Row],[kbli5]],kata_kunci!$B:$H,6,FALSE)</f>
        <v>#N/A</v>
      </c>
      <c r="K432" s="84" t="e">
        <f>VLOOKUP(Table13[[#This Row],[kbli5]],kata_kunci!$B:$H,7,FALSE)</f>
        <v>#N/A</v>
      </c>
    </row>
    <row r="433" spans="1:11" ht="45.75" thickBot="1" x14ac:dyDescent="0.3">
      <c r="A433" s="53" t="s">
        <v>450</v>
      </c>
      <c r="B433" s="40">
        <v>23121</v>
      </c>
      <c r="C433" s="41" t="s">
        <v>710</v>
      </c>
      <c r="D433" s="30" t="e">
        <f>VLOOKUP(Table13[[#This Row],[kbli5]],Table1[[#All],[kbli5]:[digital_hijau]],3,)</f>
        <v>#N/A</v>
      </c>
      <c r="E433" s="53" t="e">
        <f>VLOOKUP(Table13[[#This Row],[kbli5]],kata_kunci!$B:$H,4,FALSE)</f>
        <v>#N/A</v>
      </c>
      <c r="F433" s="53" t="e">
        <f>VLOOKUP(Table13[[#This Row],[kbli5]],Table1[[#All],[kbli5]:[digital_hijau]],5,)</f>
        <v>#N/A</v>
      </c>
      <c r="G433" s="53" t="e">
        <f>VLOOKUP(Table13[[#This Row],[kbli5]],Table1[[#All],[kbli5]:[digital_hijau]],6,)</f>
        <v>#N/A</v>
      </c>
      <c r="H433" s="54" t="e">
        <f>VLOOKUP(Table13[[#This Row],[kbli5]],kata_kunci!$B:$H,3,FALSE)</f>
        <v>#N/A</v>
      </c>
      <c r="I433" s="84" t="e">
        <f>VLOOKUP(Table13[[#This Row],[kbli5]],kata_kunci!$B:$H,5,FALSE)</f>
        <v>#N/A</v>
      </c>
      <c r="J433" s="84" t="e">
        <f>VLOOKUP(Table13[[#This Row],[kbli5]],kata_kunci!$B:$H,6,FALSE)</f>
        <v>#N/A</v>
      </c>
      <c r="K433" s="84" t="e">
        <f>VLOOKUP(Table13[[#This Row],[kbli5]],kata_kunci!$B:$H,7,FALSE)</f>
        <v>#N/A</v>
      </c>
    </row>
    <row r="434" spans="1:11" ht="45.75" thickBot="1" x14ac:dyDescent="0.3">
      <c r="A434" s="53" t="s">
        <v>450</v>
      </c>
      <c r="B434" s="40">
        <v>23122</v>
      </c>
      <c r="C434" s="41" t="s">
        <v>711</v>
      </c>
      <c r="D434" s="30" t="e">
        <f>VLOOKUP(Table13[[#This Row],[kbli5]],Table1[[#All],[kbli5]:[digital_hijau]],3,)</f>
        <v>#N/A</v>
      </c>
      <c r="E434" s="53" t="e">
        <f>VLOOKUP(Table13[[#This Row],[kbli5]],kata_kunci!$B:$H,4,FALSE)</f>
        <v>#N/A</v>
      </c>
      <c r="F434" s="53" t="e">
        <f>VLOOKUP(Table13[[#This Row],[kbli5]],Table1[[#All],[kbli5]:[digital_hijau]],5,)</f>
        <v>#N/A</v>
      </c>
      <c r="G434" s="53" t="e">
        <f>VLOOKUP(Table13[[#This Row],[kbli5]],Table1[[#All],[kbli5]:[digital_hijau]],6,)</f>
        <v>#N/A</v>
      </c>
      <c r="H434" s="54" t="e">
        <f>VLOOKUP(Table13[[#This Row],[kbli5]],kata_kunci!$B:$H,3,FALSE)</f>
        <v>#N/A</v>
      </c>
      <c r="I434" s="84" t="e">
        <f>VLOOKUP(Table13[[#This Row],[kbli5]],kata_kunci!$B:$H,5,FALSE)</f>
        <v>#N/A</v>
      </c>
      <c r="J434" s="84" t="e">
        <f>VLOOKUP(Table13[[#This Row],[kbli5]],kata_kunci!$B:$H,6,FALSE)</f>
        <v>#N/A</v>
      </c>
      <c r="K434" s="84" t="e">
        <f>VLOOKUP(Table13[[#This Row],[kbli5]],kata_kunci!$B:$H,7,FALSE)</f>
        <v>#N/A</v>
      </c>
    </row>
    <row r="435" spans="1:11" ht="30.75" thickBot="1" x14ac:dyDescent="0.3">
      <c r="A435" s="53" t="s">
        <v>450</v>
      </c>
      <c r="B435" s="40">
        <v>23129</v>
      </c>
      <c r="C435" s="41" t="s">
        <v>712</v>
      </c>
      <c r="D435" s="30" t="e">
        <f>VLOOKUP(Table13[[#This Row],[kbli5]],Table1[[#All],[kbli5]:[digital_hijau]],3,)</f>
        <v>#N/A</v>
      </c>
      <c r="E435" s="53" t="e">
        <f>VLOOKUP(Table13[[#This Row],[kbli5]],kata_kunci!$B:$H,4,FALSE)</f>
        <v>#N/A</v>
      </c>
      <c r="F435" s="53" t="e">
        <f>VLOOKUP(Table13[[#This Row],[kbli5]],Table1[[#All],[kbli5]:[digital_hijau]],5,)</f>
        <v>#N/A</v>
      </c>
      <c r="G435" s="53" t="e">
        <f>VLOOKUP(Table13[[#This Row],[kbli5]],Table1[[#All],[kbli5]:[digital_hijau]],6,)</f>
        <v>#N/A</v>
      </c>
      <c r="H435" s="54" t="e">
        <f>VLOOKUP(Table13[[#This Row],[kbli5]],kata_kunci!$B:$H,3,FALSE)</f>
        <v>#N/A</v>
      </c>
      <c r="I435" s="84" t="e">
        <f>VLOOKUP(Table13[[#This Row],[kbli5]],kata_kunci!$B:$H,5,FALSE)</f>
        <v>#N/A</v>
      </c>
      <c r="J435" s="84" t="e">
        <f>VLOOKUP(Table13[[#This Row],[kbli5]],kata_kunci!$B:$H,6,FALSE)</f>
        <v>#N/A</v>
      </c>
      <c r="K435" s="84" t="e">
        <f>VLOOKUP(Table13[[#This Row],[kbli5]],kata_kunci!$B:$H,7,FALSE)</f>
        <v>#N/A</v>
      </c>
    </row>
    <row r="436" spans="1:11" ht="45.75" thickBot="1" x14ac:dyDescent="0.3">
      <c r="A436" s="53" t="s">
        <v>450</v>
      </c>
      <c r="B436" s="40">
        <v>23911</v>
      </c>
      <c r="C436" s="41" t="s">
        <v>713</v>
      </c>
      <c r="D436" s="30" t="e">
        <f>VLOOKUP(Table13[[#This Row],[kbli5]],Table1[[#All],[kbli5]:[digital_hijau]],3,)</f>
        <v>#N/A</v>
      </c>
      <c r="E436" s="53" t="e">
        <f>VLOOKUP(Table13[[#This Row],[kbli5]],kata_kunci!$B:$H,4,FALSE)</f>
        <v>#N/A</v>
      </c>
      <c r="F436" s="53" t="e">
        <f>VLOOKUP(Table13[[#This Row],[kbli5]],Table1[[#All],[kbli5]:[digital_hijau]],5,)</f>
        <v>#N/A</v>
      </c>
      <c r="G436" s="53" t="e">
        <f>VLOOKUP(Table13[[#This Row],[kbli5]],Table1[[#All],[kbli5]:[digital_hijau]],6,)</f>
        <v>#N/A</v>
      </c>
      <c r="H436" s="54" t="e">
        <f>VLOOKUP(Table13[[#This Row],[kbli5]],kata_kunci!$B:$H,3,FALSE)</f>
        <v>#N/A</v>
      </c>
      <c r="I436" s="84" t="e">
        <f>VLOOKUP(Table13[[#This Row],[kbli5]],kata_kunci!$B:$H,5,FALSE)</f>
        <v>#N/A</v>
      </c>
      <c r="J436" s="84" t="e">
        <f>VLOOKUP(Table13[[#This Row],[kbli5]],kata_kunci!$B:$H,6,FALSE)</f>
        <v>#N/A</v>
      </c>
      <c r="K436" s="84" t="e">
        <f>VLOOKUP(Table13[[#This Row],[kbli5]],kata_kunci!$B:$H,7,FALSE)</f>
        <v>#N/A</v>
      </c>
    </row>
    <row r="437" spans="1:11" ht="45.75" thickBot="1" x14ac:dyDescent="0.3">
      <c r="A437" s="53" t="s">
        <v>450</v>
      </c>
      <c r="B437" s="40">
        <v>23919</v>
      </c>
      <c r="C437" s="41" t="s">
        <v>714</v>
      </c>
      <c r="D437" s="30" t="e">
        <f>VLOOKUP(Table13[[#This Row],[kbli5]],Table1[[#All],[kbli5]:[digital_hijau]],3,)</f>
        <v>#N/A</v>
      </c>
      <c r="E437" s="53" t="e">
        <f>VLOOKUP(Table13[[#This Row],[kbli5]],kata_kunci!$B:$H,4,FALSE)</f>
        <v>#N/A</v>
      </c>
      <c r="F437" s="53" t="e">
        <f>VLOOKUP(Table13[[#This Row],[kbli5]],Table1[[#All],[kbli5]:[digital_hijau]],5,)</f>
        <v>#N/A</v>
      </c>
      <c r="G437" s="53" t="e">
        <f>VLOOKUP(Table13[[#This Row],[kbli5]],Table1[[#All],[kbli5]:[digital_hijau]],6,)</f>
        <v>#N/A</v>
      </c>
      <c r="H437" s="54" t="e">
        <f>VLOOKUP(Table13[[#This Row],[kbli5]],kata_kunci!$B:$H,3,FALSE)</f>
        <v>#N/A</v>
      </c>
      <c r="I437" s="84" t="e">
        <f>VLOOKUP(Table13[[#This Row],[kbli5]],kata_kunci!$B:$H,5,FALSE)</f>
        <v>#N/A</v>
      </c>
      <c r="J437" s="84" t="e">
        <f>VLOOKUP(Table13[[#This Row],[kbli5]],kata_kunci!$B:$H,6,FALSE)</f>
        <v>#N/A</v>
      </c>
      <c r="K437" s="84" t="e">
        <f>VLOOKUP(Table13[[#This Row],[kbli5]],kata_kunci!$B:$H,7,FALSE)</f>
        <v>#N/A</v>
      </c>
    </row>
    <row r="438" spans="1:11" ht="30.75" thickBot="1" x14ac:dyDescent="0.3">
      <c r="A438" s="53" t="s">
        <v>450</v>
      </c>
      <c r="B438" s="40">
        <v>23921</v>
      </c>
      <c r="C438" s="41" t="s">
        <v>715</v>
      </c>
      <c r="D438" s="30" t="e">
        <f>VLOOKUP(Table13[[#This Row],[kbli5]],Table1[[#All],[kbli5]:[digital_hijau]],3,)</f>
        <v>#N/A</v>
      </c>
      <c r="E438" s="53" t="e">
        <f>VLOOKUP(Table13[[#This Row],[kbli5]],kata_kunci!$B:$H,4,FALSE)</f>
        <v>#N/A</v>
      </c>
      <c r="F438" s="53" t="e">
        <f>VLOOKUP(Table13[[#This Row],[kbli5]],Table1[[#All],[kbli5]:[digital_hijau]],5,)</f>
        <v>#N/A</v>
      </c>
      <c r="G438" s="53" t="e">
        <f>VLOOKUP(Table13[[#This Row],[kbli5]],Table1[[#All],[kbli5]:[digital_hijau]],6,)</f>
        <v>#N/A</v>
      </c>
      <c r="H438" s="54" t="e">
        <f>VLOOKUP(Table13[[#This Row],[kbli5]],kata_kunci!$B:$H,3,FALSE)</f>
        <v>#N/A</v>
      </c>
      <c r="I438" s="84" t="e">
        <f>VLOOKUP(Table13[[#This Row],[kbli5]],kata_kunci!$B:$H,5,FALSE)</f>
        <v>#N/A</v>
      </c>
      <c r="J438" s="84" t="e">
        <f>VLOOKUP(Table13[[#This Row],[kbli5]],kata_kunci!$B:$H,6,FALSE)</f>
        <v>#N/A</v>
      </c>
      <c r="K438" s="84" t="e">
        <f>VLOOKUP(Table13[[#This Row],[kbli5]],kata_kunci!$B:$H,7,FALSE)</f>
        <v>#N/A</v>
      </c>
    </row>
    <row r="439" spans="1:11" ht="30.75" thickBot="1" x14ac:dyDescent="0.3">
      <c r="A439" s="53" t="s">
        <v>450</v>
      </c>
      <c r="B439" s="40">
        <v>23922</v>
      </c>
      <c r="C439" s="41" t="s">
        <v>716</v>
      </c>
      <c r="D439" s="30" t="e">
        <f>VLOOKUP(Table13[[#This Row],[kbli5]],Table1[[#All],[kbli5]:[digital_hijau]],3,)</f>
        <v>#N/A</v>
      </c>
      <c r="E439" s="53" t="e">
        <f>VLOOKUP(Table13[[#This Row],[kbli5]],kata_kunci!$B:$H,4,FALSE)</f>
        <v>#N/A</v>
      </c>
      <c r="F439" s="53" t="e">
        <f>VLOOKUP(Table13[[#This Row],[kbli5]],Table1[[#All],[kbli5]:[digital_hijau]],5,)</f>
        <v>#N/A</v>
      </c>
      <c r="G439" s="53" t="e">
        <f>VLOOKUP(Table13[[#This Row],[kbli5]],Table1[[#All],[kbli5]:[digital_hijau]],6,)</f>
        <v>#N/A</v>
      </c>
      <c r="H439" s="54" t="e">
        <f>VLOOKUP(Table13[[#This Row],[kbli5]],kata_kunci!$B:$H,3,FALSE)</f>
        <v>#N/A</v>
      </c>
      <c r="I439" s="84" t="e">
        <f>VLOOKUP(Table13[[#This Row],[kbli5]],kata_kunci!$B:$H,5,FALSE)</f>
        <v>#N/A</v>
      </c>
      <c r="J439" s="84" t="e">
        <f>VLOOKUP(Table13[[#This Row],[kbli5]],kata_kunci!$B:$H,6,FALSE)</f>
        <v>#N/A</v>
      </c>
      <c r="K439" s="84" t="e">
        <f>VLOOKUP(Table13[[#This Row],[kbli5]],kata_kunci!$B:$H,7,FALSE)</f>
        <v>#N/A</v>
      </c>
    </row>
    <row r="440" spans="1:11" ht="45.75" thickBot="1" x14ac:dyDescent="0.3">
      <c r="A440" s="53" t="s">
        <v>450</v>
      </c>
      <c r="B440" s="40">
        <v>23929</v>
      </c>
      <c r="C440" s="41" t="s">
        <v>717</v>
      </c>
      <c r="D440" s="30" t="e">
        <f>VLOOKUP(Table13[[#This Row],[kbli5]],Table1[[#All],[kbli5]:[digital_hijau]],3,)</f>
        <v>#N/A</v>
      </c>
      <c r="E440" s="53" t="e">
        <f>VLOOKUP(Table13[[#This Row],[kbli5]],kata_kunci!$B:$H,4,FALSE)</f>
        <v>#N/A</v>
      </c>
      <c r="F440" s="53" t="e">
        <f>VLOOKUP(Table13[[#This Row],[kbli5]],Table1[[#All],[kbli5]:[digital_hijau]],5,)</f>
        <v>#N/A</v>
      </c>
      <c r="G440" s="53" t="e">
        <f>VLOOKUP(Table13[[#This Row],[kbli5]],Table1[[#All],[kbli5]:[digital_hijau]],6,)</f>
        <v>#N/A</v>
      </c>
      <c r="H440" s="54" t="e">
        <f>VLOOKUP(Table13[[#This Row],[kbli5]],kata_kunci!$B:$H,3,FALSE)</f>
        <v>#N/A</v>
      </c>
      <c r="I440" s="84" t="e">
        <f>VLOOKUP(Table13[[#This Row],[kbli5]],kata_kunci!$B:$H,5,FALSE)</f>
        <v>#N/A</v>
      </c>
      <c r="J440" s="84" t="e">
        <f>VLOOKUP(Table13[[#This Row],[kbli5]],kata_kunci!$B:$H,6,FALSE)</f>
        <v>#N/A</v>
      </c>
      <c r="K440" s="84" t="e">
        <f>VLOOKUP(Table13[[#This Row],[kbli5]],kata_kunci!$B:$H,7,FALSE)</f>
        <v>#N/A</v>
      </c>
    </row>
    <row r="441" spans="1:11" ht="45.75" thickBot="1" x14ac:dyDescent="0.3">
      <c r="A441" s="53" t="s">
        <v>450</v>
      </c>
      <c r="B441" s="40">
        <v>23931</v>
      </c>
      <c r="C441" s="41" t="s">
        <v>718</v>
      </c>
      <c r="D441" s="30" t="e">
        <f>VLOOKUP(Table13[[#This Row],[kbli5]],Table1[[#All],[kbli5]:[digital_hijau]],3,)</f>
        <v>#N/A</v>
      </c>
      <c r="E441" s="53" t="e">
        <f>VLOOKUP(Table13[[#This Row],[kbli5]],kata_kunci!$B:$H,4,FALSE)</f>
        <v>#N/A</v>
      </c>
      <c r="F441" s="53" t="e">
        <f>VLOOKUP(Table13[[#This Row],[kbli5]],Table1[[#All],[kbli5]:[digital_hijau]],5,)</f>
        <v>#N/A</v>
      </c>
      <c r="G441" s="53" t="e">
        <f>VLOOKUP(Table13[[#This Row],[kbli5]],Table1[[#All],[kbli5]:[digital_hijau]],6,)</f>
        <v>#N/A</v>
      </c>
      <c r="H441" s="54" t="e">
        <f>VLOOKUP(Table13[[#This Row],[kbli5]],kata_kunci!$B:$H,3,FALSE)</f>
        <v>#N/A</v>
      </c>
      <c r="I441" s="84" t="e">
        <f>VLOOKUP(Table13[[#This Row],[kbli5]],kata_kunci!$B:$H,5,FALSE)</f>
        <v>#N/A</v>
      </c>
      <c r="J441" s="84" t="e">
        <f>VLOOKUP(Table13[[#This Row],[kbli5]],kata_kunci!$B:$H,6,FALSE)</f>
        <v>#N/A</v>
      </c>
      <c r="K441" s="84" t="e">
        <f>VLOOKUP(Table13[[#This Row],[kbli5]],kata_kunci!$B:$H,7,FALSE)</f>
        <v>#N/A</v>
      </c>
    </row>
    <row r="442" spans="1:11" ht="45.75" thickBot="1" x14ac:dyDescent="0.3">
      <c r="A442" s="53" t="s">
        <v>450</v>
      </c>
      <c r="B442" s="40">
        <v>23932</v>
      </c>
      <c r="C442" s="41" t="s">
        <v>719</v>
      </c>
      <c r="D442" s="30" t="e">
        <f>VLOOKUP(Table13[[#This Row],[kbli5]],Table1[[#All],[kbli5]:[digital_hijau]],3,)</f>
        <v>#N/A</v>
      </c>
      <c r="E442" s="53" t="e">
        <f>VLOOKUP(Table13[[#This Row],[kbli5]],kata_kunci!$B:$H,4,FALSE)</f>
        <v>#N/A</v>
      </c>
      <c r="F442" s="53" t="e">
        <f>VLOOKUP(Table13[[#This Row],[kbli5]],Table1[[#All],[kbli5]:[digital_hijau]],5,)</f>
        <v>#N/A</v>
      </c>
      <c r="G442" s="53" t="e">
        <f>VLOOKUP(Table13[[#This Row],[kbli5]],Table1[[#All],[kbli5]:[digital_hijau]],6,)</f>
        <v>#N/A</v>
      </c>
      <c r="H442" s="54" t="e">
        <f>VLOOKUP(Table13[[#This Row],[kbli5]],kata_kunci!$B:$H,3,FALSE)</f>
        <v>#N/A</v>
      </c>
      <c r="I442" s="84" t="e">
        <f>VLOOKUP(Table13[[#This Row],[kbli5]],kata_kunci!$B:$H,5,FALSE)</f>
        <v>#N/A</v>
      </c>
      <c r="J442" s="84" t="e">
        <f>VLOOKUP(Table13[[#This Row],[kbli5]],kata_kunci!$B:$H,6,FALSE)</f>
        <v>#N/A</v>
      </c>
      <c r="K442" s="84" t="e">
        <f>VLOOKUP(Table13[[#This Row],[kbli5]],kata_kunci!$B:$H,7,FALSE)</f>
        <v>#N/A</v>
      </c>
    </row>
    <row r="443" spans="1:11" ht="45.75" thickBot="1" x14ac:dyDescent="0.3">
      <c r="A443" s="53" t="s">
        <v>450</v>
      </c>
      <c r="B443" s="40">
        <v>23933</v>
      </c>
      <c r="C443" s="41" t="s">
        <v>720</v>
      </c>
      <c r="D443" s="30" t="e">
        <f>VLOOKUP(Table13[[#This Row],[kbli5]],Table1[[#All],[kbli5]:[digital_hijau]],3,)</f>
        <v>#N/A</v>
      </c>
      <c r="E443" s="53" t="e">
        <f>VLOOKUP(Table13[[#This Row],[kbli5]],kata_kunci!$B:$H,4,FALSE)</f>
        <v>#N/A</v>
      </c>
      <c r="F443" s="53" t="e">
        <f>VLOOKUP(Table13[[#This Row],[kbli5]],Table1[[#All],[kbli5]:[digital_hijau]],5,)</f>
        <v>#N/A</v>
      </c>
      <c r="G443" s="53" t="e">
        <f>VLOOKUP(Table13[[#This Row],[kbli5]],Table1[[#All],[kbli5]:[digital_hijau]],6,)</f>
        <v>#N/A</v>
      </c>
      <c r="H443" s="54" t="e">
        <f>VLOOKUP(Table13[[#This Row],[kbli5]],kata_kunci!$B:$H,3,FALSE)</f>
        <v>#N/A</v>
      </c>
      <c r="I443" s="84" t="e">
        <f>VLOOKUP(Table13[[#This Row],[kbli5]],kata_kunci!$B:$H,5,FALSE)</f>
        <v>#N/A</v>
      </c>
      <c r="J443" s="84" t="e">
        <f>VLOOKUP(Table13[[#This Row],[kbli5]],kata_kunci!$B:$H,6,FALSE)</f>
        <v>#N/A</v>
      </c>
      <c r="K443" s="84" t="e">
        <f>VLOOKUP(Table13[[#This Row],[kbli5]],kata_kunci!$B:$H,7,FALSE)</f>
        <v>#N/A</v>
      </c>
    </row>
    <row r="444" spans="1:11" ht="30.75" thickBot="1" x14ac:dyDescent="0.3">
      <c r="A444" s="53" t="s">
        <v>450</v>
      </c>
      <c r="B444" s="40">
        <v>23934</v>
      </c>
      <c r="C444" s="41" t="s">
        <v>721</v>
      </c>
      <c r="D444" s="30" t="e">
        <f>VLOOKUP(Table13[[#This Row],[kbli5]],Table1[[#All],[kbli5]:[digital_hijau]],3,)</f>
        <v>#N/A</v>
      </c>
      <c r="E444" s="53" t="e">
        <f>VLOOKUP(Table13[[#This Row],[kbli5]],kata_kunci!$B:$H,4,FALSE)</f>
        <v>#N/A</v>
      </c>
      <c r="F444" s="53" t="e">
        <f>VLOOKUP(Table13[[#This Row],[kbli5]],Table1[[#All],[kbli5]:[digital_hijau]],5,)</f>
        <v>#N/A</v>
      </c>
      <c r="G444" s="53" t="e">
        <f>VLOOKUP(Table13[[#This Row],[kbli5]],Table1[[#All],[kbli5]:[digital_hijau]],6,)</f>
        <v>#N/A</v>
      </c>
      <c r="H444" s="54" t="e">
        <f>VLOOKUP(Table13[[#This Row],[kbli5]],kata_kunci!$B:$H,3,FALSE)</f>
        <v>#N/A</v>
      </c>
      <c r="I444" s="84" t="e">
        <f>VLOOKUP(Table13[[#This Row],[kbli5]],kata_kunci!$B:$H,5,FALSE)</f>
        <v>#N/A</v>
      </c>
      <c r="J444" s="84" t="e">
        <f>VLOOKUP(Table13[[#This Row],[kbli5]],kata_kunci!$B:$H,6,FALSE)</f>
        <v>#N/A</v>
      </c>
      <c r="K444" s="84" t="e">
        <f>VLOOKUP(Table13[[#This Row],[kbli5]],kata_kunci!$B:$H,7,FALSE)</f>
        <v>#N/A</v>
      </c>
    </row>
    <row r="445" spans="1:11" ht="45.75" thickBot="1" x14ac:dyDescent="0.3">
      <c r="A445" s="53" t="s">
        <v>450</v>
      </c>
      <c r="B445" s="40">
        <v>23935</v>
      </c>
      <c r="C445" s="41" t="s">
        <v>722</v>
      </c>
      <c r="D445" s="30" t="e">
        <f>VLOOKUP(Table13[[#This Row],[kbli5]],Table1[[#All],[kbli5]:[digital_hijau]],3,)</f>
        <v>#N/A</v>
      </c>
      <c r="E445" s="53" t="e">
        <f>VLOOKUP(Table13[[#This Row],[kbli5]],kata_kunci!$B:$H,4,FALSE)</f>
        <v>#N/A</v>
      </c>
      <c r="F445" s="53" t="e">
        <f>VLOOKUP(Table13[[#This Row],[kbli5]],Table1[[#All],[kbli5]:[digital_hijau]],5,)</f>
        <v>#N/A</v>
      </c>
      <c r="G445" s="53" t="e">
        <f>VLOOKUP(Table13[[#This Row],[kbli5]],Table1[[#All],[kbli5]:[digital_hijau]],6,)</f>
        <v>#N/A</v>
      </c>
      <c r="H445" s="54" t="e">
        <f>VLOOKUP(Table13[[#This Row],[kbli5]],kata_kunci!$B:$H,3,FALSE)</f>
        <v>#N/A</v>
      </c>
      <c r="I445" s="84" t="e">
        <f>VLOOKUP(Table13[[#This Row],[kbli5]],kata_kunci!$B:$H,5,FALSE)</f>
        <v>#N/A</v>
      </c>
      <c r="J445" s="84" t="e">
        <f>VLOOKUP(Table13[[#This Row],[kbli5]],kata_kunci!$B:$H,6,FALSE)</f>
        <v>#N/A</v>
      </c>
      <c r="K445" s="84" t="e">
        <f>VLOOKUP(Table13[[#This Row],[kbli5]],kata_kunci!$B:$H,7,FALSE)</f>
        <v>#N/A</v>
      </c>
    </row>
    <row r="446" spans="1:11" ht="45.75" thickBot="1" x14ac:dyDescent="0.3">
      <c r="A446" s="53" t="s">
        <v>450</v>
      </c>
      <c r="B446" s="40">
        <v>23939</v>
      </c>
      <c r="C446" s="41" t="s">
        <v>723</v>
      </c>
      <c r="D446" s="30" t="e">
        <f>VLOOKUP(Table13[[#This Row],[kbli5]],Table1[[#All],[kbli5]:[digital_hijau]],3,)</f>
        <v>#N/A</v>
      </c>
      <c r="E446" s="53" t="e">
        <f>VLOOKUP(Table13[[#This Row],[kbli5]],kata_kunci!$B:$H,4,FALSE)</f>
        <v>#N/A</v>
      </c>
      <c r="F446" s="53" t="e">
        <f>VLOOKUP(Table13[[#This Row],[kbli5]],Table1[[#All],[kbli5]:[digital_hijau]],5,)</f>
        <v>#N/A</v>
      </c>
      <c r="G446" s="53" t="e">
        <f>VLOOKUP(Table13[[#This Row],[kbli5]],Table1[[#All],[kbli5]:[digital_hijau]],6,)</f>
        <v>#N/A</v>
      </c>
      <c r="H446" s="54" t="e">
        <f>VLOOKUP(Table13[[#This Row],[kbli5]],kata_kunci!$B:$H,3,FALSE)</f>
        <v>#N/A</v>
      </c>
      <c r="I446" s="84" t="e">
        <f>VLOOKUP(Table13[[#This Row],[kbli5]],kata_kunci!$B:$H,5,FALSE)</f>
        <v>#N/A</v>
      </c>
      <c r="J446" s="84" t="e">
        <f>VLOOKUP(Table13[[#This Row],[kbli5]],kata_kunci!$B:$H,6,FALSE)</f>
        <v>#N/A</v>
      </c>
      <c r="K446" s="84" t="e">
        <f>VLOOKUP(Table13[[#This Row],[kbli5]],kata_kunci!$B:$H,7,FALSE)</f>
        <v>#N/A</v>
      </c>
    </row>
    <row r="447" spans="1:11" ht="15.75" thickBot="1" x14ac:dyDescent="0.3">
      <c r="A447" s="53" t="s">
        <v>450</v>
      </c>
      <c r="B447" s="40">
        <v>23941</v>
      </c>
      <c r="C447" s="41" t="s">
        <v>724</v>
      </c>
      <c r="D447" s="30" t="e">
        <f>VLOOKUP(Table13[[#This Row],[kbli5]],Table1[[#All],[kbli5]:[digital_hijau]],3,)</f>
        <v>#N/A</v>
      </c>
      <c r="E447" s="53" t="e">
        <f>VLOOKUP(Table13[[#This Row],[kbli5]],kata_kunci!$B:$H,4,FALSE)</f>
        <v>#N/A</v>
      </c>
      <c r="F447" s="53" t="e">
        <f>VLOOKUP(Table13[[#This Row],[kbli5]],Table1[[#All],[kbli5]:[digital_hijau]],5,)</f>
        <v>#N/A</v>
      </c>
      <c r="G447" s="53" t="e">
        <f>VLOOKUP(Table13[[#This Row],[kbli5]],Table1[[#All],[kbli5]:[digital_hijau]],6,)</f>
        <v>#N/A</v>
      </c>
      <c r="H447" s="54" t="e">
        <f>VLOOKUP(Table13[[#This Row],[kbli5]],kata_kunci!$B:$H,3,FALSE)</f>
        <v>#N/A</v>
      </c>
      <c r="I447" s="84" t="e">
        <f>VLOOKUP(Table13[[#This Row],[kbli5]],kata_kunci!$B:$H,5,FALSE)</f>
        <v>#N/A</v>
      </c>
      <c r="J447" s="84" t="e">
        <f>VLOOKUP(Table13[[#This Row],[kbli5]],kata_kunci!$B:$H,6,FALSE)</f>
        <v>#N/A</v>
      </c>
      <c r="K447" s="84" t="e">
        <f>VLOOKUP(Table13[[#This Row],[kbli5]],kata_kunci!$B:$H,7,FALSE)</f>
        <v>#N/A</v>
      </c>
    </row>
    <row r="448" spans="1:11" ht="15.75" thickBot="1" x14ac:dyDescent="0.3">
      <c r="A448" s="53" t="s">
        <v>450</v>
      </c>
      <c r="B448" s="40">
        <v>23942</v>
      </c>
      <c r="C448" s="41" t="s">
        <v>725</v>
      </c>
      <c r="D448" s="30" t="e">
        <f>VLOOKUP(Table13[[#This Row],[kbli5]],Table1[[#All],[kbli5]:[digital_hijau]],3,)</f>
        <v>#N/A</v>
      </c>
      <c r="E448" s="53" t="e">
        <f>VLOOKUP(Table13[[#This Row],[kbli5]],kata_kunci!$B:$H,4,FALSE)</f>
        <v>#N/A</v>
      </c>
      <c r="F448" s="53" t="e">
        <f>VLOOKUP(Table13[[#This Row],[kbli5]],Table1[[#All],[kbli5]:[digital_hijau]],5,)</f>
        <v>#N/A</v>
      </c>
      <c r="G448" s="53" t="e">
        <f>VLOOKUP(Table13[[#This Row],[kbli5]],Table1[[#All],[kbli5]:[digital_hijau]],6,)</f>
        <v>#N/A</v>
      </c>
      <c r="H448" s="54" t="e">
        <f>VLOOKUP(Table13[[#This Row],[kbli5]],kata_kunci!$B:$H,3,FALSE)</f>
        <v>#N/A</v>
      </c>
      <c r="I448" s="84" t="e">
        <f>VLOOKUP(Table13[[#This Row],[kbli5]],kata_kunci!$B:$H,5,FALSE)</f>
        <v>#N/A</v>
      </c>
      <c r="J448" s="84" t="e">
        <f>VLOOKUP(Table13[[#This Row],[kbli5]],kata_kunci!$B:$H,6,FALSE)</f>
        <v>#N/A</v>
      </c>
      <c r="K448" s="84" t="e">
        <f>VLOOKUP(Table13[[#This Row],[kbli5]],kata_kunci!$B:$H,7,FALSE)</f>
        <v>#N/A</v>
      </c>
    </row>
    <row r="449" spans="1:11" ht="15.75" thickBot="1" x14ac:dyDescent="0.3">
      <c r="A449" s="53" t="s">
        <v>450</v>
      </c>
      <c r="B449" s="40">
        <v>23943</v>
      </c>
      <c r="C449" s="41" t="s">
        <v>726</v>
      </c>
      <c r="D449" s="30" t="e">
        <f>VLOOKUP(Table13[[#This Row],[kbli5]],Table1[[#All],[kbli5]:[digital_hijau]],3,)</f>
        <v>#N/A</v>
      </c>
      <c r="E449" s="53" t="e">
        <f>VLOOKUP(Table13[[#This Row],[kbli5]],kata_kunci!$B:$H,4,FALSE)</f>
        <v>#N/A</v>
      </c>
      <c r="F449" s="53" t="e">
        <f>VLOOKUP(Table13[[#This Row],[kbli5]],Table1[[#All],[kbli5]:[digital_hijau]],5,)</f>
        <v>#N/A</v>
      </c>
      <c r="G449" s="53" t="e">
        <f>VLOOKUP(Table13[[#This Row],[kbli5]],Table1[[#All],[kbli5]:[digital_hijau]],6,)</f>
        <v>#N/A</v>
      </c>
      <c r="H449" s="54" t="e">
        <f>VLOOKUP(Table13[[#This Row],[kbli5]],kata_kunci!$B:$H,3,FALSE)</f>
        <v>#N/A</v>
      </c>
      <c r="I449" s="84" t="e">
        <f>VLOOKUP(Table13[[#This Row],[kbli5]],kata_kunci!$B:$H,5,FALSE)</f>
        <v>#N/A</v>
      </c>
      <c r="J449" s="84" t="e">
        <f>VLOOKUP(Table13[[#This Row],[kbli5]],kata_kunci!$B:$H,6,FALSE)</f>
        <v>#N/A</v>
      </c>
      <c r="K449" s="84" t="e">
        <f>VLOOKUP(Table13[[#This Row],[kbli5]],kata_kunci!$B:$H,7,FALSE)</f>
        <v>#N/A</v>
      </c>
    </row>
    <row r="450" spans="1:11" ht="30.75" thickBot="1" x14ac:dyDescent="0.3">
      <c r="A450" s="53" t="s">
        <v>450</v>
      </c>
      <c r="B450" s="40">
        <v>23951</v>
      </c>
      <c r="C450" s="41" t="s">
        <v>727</v>
      </c>
      <c r="D450" s="30" t="e">
        <f>VLOOKUP(Table13[[#This Row],[kbli5]],Table1[[#All],[kbli5]:[digital_hijau]],3,)</f>
        <v>#N/A</v>
      </c>
      <c r="E450" s="53" t="e">
        <f>VLOOKUP(Table13[[#This Row],[kbli5]],kata_kunci!$B:$H,4,FALSE)</f>
        <v>#N/A</v>
      </c>
      <c r="F450" s="53" t="e">
        <f>VLOOKUP(Table13[[#This Row],[kbli5]],Table1[[#All],[kbli5]:[digital_hijau]],5,)</f>
        <v>#N/A</v>
      </c>
      <c r="G450" s="53" t="e">
        <f>VLOOKUP(Table13[[#This Row],[kbli5]],Table1[[#All],[kbli5]:[digital_hijau]],6,)</f>
        <v>#N/A</v>
      </c>
      <c r="H450" s="54" t="e">
        <f>VLOOKUP(Table13[[#This Row],[kbli5]],kata_kunci!$B:$H,3,FALSE)</f>
        <v>#N/A</v>
      </c>
      <c r="I450" s="84" t="e">
        <f>VLOOKUP(Table13[[#This Row],[kbli5]],kata_kunci!$B:$H,5,FALSE)</f>
        <v>#N/A</v>
      </c>
      <c r="J450" s="84" t="e">
        <f>VLOOKUP(Table13[[#This Row],[kbli5]],kata_kunci!$B:$H,6,FALSE)</f>
        <v>#N/A</v>
      </c>
      <c r="K450" s="84" t="e">
        <f>VLOOKUP(Table13[[#This Row],[kbli5]],kata_kunci!$B:$H,7,FALSE)</f>
        <v>#N/A</v>
      </c>
    </row>
    <row r="451" spans="1:11" ht="30.75" thickBot="1" x14ac:dyDescent="0.3">
      <c r="A451" s="53" t="s">
        <v>450</v>
      </c>
      <c r="B451" s="40">
        <v>23952</v>
      </c>
      <c r="C451" s="41" t="s">
        <v>728</v>
      </c>
      <c r="D451" s="30" t="e">
        <f>VLOOKUP(Table13[[#This Row],[kbli5]],Table1[[#All],[kbli5]:[digital_hijau]],3,)</f>
        <v>#N/A</v>
      </c>
      <c r="E451" s="53" t="e">
        <f>VLOOKUP(Table13[[#This Row],[kbli5]],kata_kunci!$B:$H,4,FALSE)</f>
        <v>#N/A</v>
      </c>
      <c r="F451" s="53" t="e">
        <f>VLOOKUP(Table13[[#This Row],[kbli5]],Table1[[#All],[kbli5]:[digital_hijau]],5,)</f>
        <v>#N/A</v>
      </c>
      <c r="G451" s="53" t="e">
        <f>VLOOKUP(Table13[[#This Row],[kbli5]],Table1[[#All],[kbli5]:[digital_hijau]],6,)</f>
        <v>#N/A</v>
      </c>
      <c r="H451" s="54" t="e">
        <f>VLOOKUP(Table13[[#This Row],[kbli5]],kata_kunci!$B:$H,3,FALSE)</f>
        <v>#N/A</v>
      </c>
      <c r="I451" s="84" t="e">
        <f>VLOOKUP(Table13[[#This Row],[kbli5]],kata_kunci!$B:$H,5,FALSE)</f>
        <v>#N/A</v>
      </c>
      <c r="J451" s="84" t="e">
        <f>VLOOKUP(Table13[[#This Row],[kbli5]],kata_kunci!$B:$H,6,FALSE)</f>
        <v>#N/A</v>
      </c>
      <c r="K451" s="84" t="e">
        <f>VLOOKUP(Table13[[#This Row],[kbli5]],kata_kunci!$B:$H,7,FALSE)</f>
        <v>#N/A</v>
      </c>
    </row>
    <row r="452" spans="1:11" ht="30.75" thickBot="1" x14ac:dyDescent="0.3">
      <c r="A452" s="53" t="s">
        <v>450</v>
      </c>
      <c r="B452" s="40">
        <v>23953</v>
      </c>
      <c r="C452" s="41" t="s">
        <v>729</v>
      </c>
      <c r="D452" s="30" t="e">
        <f>VLOOKUP(Table13[[#This Row],[kbli5]],Table1[[#All],[kbli5]:[digital_hijau]],3,)</f>
        <v>#N/A</v>
      </c>
      <c r="E452" s="53" t="e">
        <f>VLOOKUP(Table13[[#This Row],[kbli5]],kata_kunci!$B:$H,4,FALSE)</f>
        <v>#N/A</v>
      </c>
      <c r="F452" s="53" t="e">
        <f>VLOOKUP(Table13[[#This Row],[kbli5]],Table1[[#All],[kbli5]:[digital_hijau]],5,)</f>
        <v>#N/A</v>
      </c>
      <c r="G452" s="53" t="e">
        <f>VLOOKUP(Table13[[#This Row],[kbli5]],Table1[[#All],[kbli5]:[digital_hijau]],6,)</f>
        <v>#N/A</v>
      </c>
      <c r="H452" s="54" t="e">
        <f>VLOOKUP(Table13[[#This Row],[kbli5]],kata_kunci!$B:$H,3,FALSE)</f>
        <v>#N/A</v>
      </c>
      <c r="I452" s="84" t="e">
        <f>VLOOKUP(Table13[[#This Row],[kbli5]],kata_kunci!$B:$H,5,FALSE)</f>
        <v>#N/A</v>
      </c>
      <c r="J452" s="84" t="e">
        <f>VLOOKUP(Table13[[#This Row],[kbli5]],kata_kunci!$B:$H,6,FALSE)</f>
        <v>#N/A</v>
      </c>
      <c r="K452" s="84" t="e">
        <f>VLOOKUP(Table13[[#This Row],[kbli5]],kata_kunci!$B:$H,7,FALSE)</f>
        <v>#N/A</v>
      </c>
    </row>
    <row r="453" spans="1:11" ht="30.75" thickBot="1" x14ac:dyDescent="0.3">
      <c r="A453" s="53" t="s">
        <v>450</v>
      </c>
      <c r="B453" s="40">
        <v>23954</v>
      </c>
      <c r="C453" s="41" t="s">
        <v>730</v>
      </c>
      <c r="D453" s="30" t="e">
        <f>VLOOKUP(Table13[[#This Row],[kbli5]],Table1[[#All],[kbli5]:[digital_hijau]],3,)</f>
        <v>#N/A</v>
      </c>
      <c r="E453" s="53" t="e">
        <f>VLOOKUP(Table13[[#This Row],[kbli5]],kata_kunci!$B:$H,4,FALSE)</f>
        <v>#N/A</v>
      </c>
      <c r="F453" s="53" t="e">
        <f>VLOOKUP(Table13[[#This Row],[kbli5]],Table1[[#All],[kbli5]:[digital_hijau]],5,)</f>
        <v>#N/A</v>
      </c>
      <c r="G453" s="53" t="e">
        <f>VLOOKUP(Table13[[#This Row],[kbli5]],Table1[[#All],[kbli5]:[digital_hijau]],6,)</f>
        <v>#N/A</v>
      </c>
      <c r="H453" s="54" t="e">
        <f>VLOOKUP(Table13[[#This Row],[kbli5]],kata_kunci!$B:$H,3,FALSE)</f>
        <v>#N/A</v>
      </c>
      <c r="I453" s="84" t="e">
        <f>VLOOKUP(Table13[[#This Row],[kbli5]],kata_kunci!$B:$H,5,FALSE)</f>
        <v>#N/A</v>
      </c>
      <c r="J453" s="84" t="e">
        <f>VLOOKUP(Table13[[#This Row],[kbli5]],kata_kunci!$B:$H,6,FALSE)</f>
        <v>#N/A</v>
      </c>
      <c r="K453" s="84" t="e">
        <f>VLOOKUP(Table13[[#This Row],[kbli5]],kata_kunci!$B:$H,7,FALSE)</f>
        <v>#N/A</v>
      </c>
    </row>
    <row r="454" spans="1:11" ht="30.75" thickBot="1" x14ac:dyDescent="0.3">
      <c r="A454" s="53" t="s">
        <v>450</v>
      </c>
      <c r="B454" s="40">
        <v>23955</v>
      </c>
      <c r="C454" s="41" t="s">
        <v>731</v>
      </c>
      <c r="D454" s="30" t="e">
        <f>VLOOKUP(Table13[[#This Row],[kbli5]],Table1[[#All],[kbli5]:[digital_hijau]],3,)</f>
        <v>#N/A</v>
      </c>
      <c r="E454" s="53" t="e">
        <f>VLOOKUP(Table13[[#This Row],[kbli5]],kata_kunci!$B:$H,4,FALSE)</f>
        <v>#N/A</v>
      </c>
      <c r="F454" s="53" t="e">
        <f>VLOOKUP(Table13[[#This Row],[kbli5]],Table1[[#All],[kbli5]:[digital_hijau]],5,)</f>
        <v>#N/A</v>
      </c>
      <c r="G454" s="53" t="e">
        <f>VLOOKUP(Table13[[#This Row],[kbli5]],Table1[[#All],[kbli5]:[digital_hijau]],6,)</f>
        <v>#N/A</v>
      </c>
      <c r="H454" s="54" t="e">
        <f>VLOOKUP(Table13[[#This Row],[kbli5]],kata_kunci!$B:$H,3,FALSE)</f>
        <v>#N/A</v>
      </c>
      <c r="I454" s="84" t="e">
        <f>VLOOKUP(Table13[[#This Row],[kbli5]],kata_kunci!$B:$H,5,FALSE)</f>
        <v>#N/A</v>
      </c>
      <c r="J454" s="84" t="e">
        <f>VLOOKUP(Table13[[#This Row],[kbli5]],kata_kunci!$B:$H,6,FALSE)</f>
        <v>#N/A</v>
      </c>
      <c r="K454" s="84" t="e">
        <f>VLOOKUP(Table13[[#This Row],[kbli5]],kata_kunci!$B:$H,7,FALSE)</f>
        <v>#N/A</v>
      </c>
    </row>
    <row r="455" spans="1:11" ht="30.75" thickBot="1" x14ac:dyDescent="0.3">
      <c r="A455" s="53" t="s">
        <v>450</v>
      </c>
      <c r="B455" s="40">
        <v>23961</v>
      </c>
      <c r="C455" s="41" t="s">
        <v>732</v>
      </c>
      <c r="D455" s="30" t="e">
        <f>VLOOKUP(Table13[[#This Row],[kbli5]],Table1[[#All],[kbli5]:[digital_hijau]],3,)</f>
        <v>#N/A</v>
      </c>
      <c r="E455" s="53" t="e">
        <f>VLOOKUP(Table13[[#This Row],[kbli5]],kata_kunci!$B:$H,4,FALSE)</f>
        <v>#N/A</v>
      </c>
      <c r="F455" s="53" t="e">
        <f>VLOOKUP(Table13[[#This Row],[kbli5]],Table1[[#All],[kbli5]:[digital_hijau]],5,)</f>
        <v>#N/A</v>
      </c>
      <c r="G455" s="53" t="e">
        <f>VLOOKUP(Table13[[#This Row],[kbli5]],Table1[[#All],[kbli5]:[digital_hijau]],6,)</f>
        <v>#N/A</v>
      </c>
      <c r="H455" s="54" t="e">
        <f>VLOOKUP(Table13[[#This Row],[kbli5]],kata_kunci!$B:$H,3,FALSE)</f>
        <v>#N/A</v>
      </c>
      <c r="I455" s="84" t="e">
        <f>VLOOKUP(Table13[[#This Row],[kbli5]],kata_kunci!$B:$H,5,FALSE)</f>
        <v>#N/A</v>
      </c>
      <c r="J455" s="84" t="e">
        <f>VLOOKUP(Table13[[#This Row],[kbli5]],kata_kunci!$B:$H,6,FALSE)</f>
        <v>#N/A</v>
      </c>
      <c r="K455" s="84" t="e">
        <f>VLOOKUP(Table13[[#This Row],[kbli5]],kata_kunci!$B:$H,7,FALSE)</f>
        <v>#N/A</v>
      </c>
    </row>
    <row r="456" spans="1:11" ht="30.75" thickBot="1" x14ac:dyDescent="0.3">
      <c r="A456" s="53" t="s">
        <v>450</v>
      </c>
      <c r="B456" s="40">
        <v>23962</v>
      </c>
      <c r="C456" s="41" t="s">
        <v>733</v>
      </c>
      <c r="D456" s="30" t="e">
        <f>VLOOKUP(Table13[[#This Row],[kbli5]],Table1[[#All],[kbli5]:[digital_hijau]],3,)</f>
        <v>#N/A</v>
      </c>
      <c r="E456" s="53" t="e">
        <f>VLOOKUP(Table13[[#This Row],[kbli5]],kata_kunci!$B:$H,4,FALSE)</f>
        <v>#N/A</v>
      </c>
      <c r="F456" s="53" t="e">
        <f>VLOOKUP(Table13[[#This Row],[kbli5]],Table1[[#All],[kbli5]:[digital_hijau]],5,)</f>
        <v>#N/A</v>
      </c>
      <c r="G456" s="53" t="e">
        <f>VLOOKUP(Table13[[#This Row],[kbli5]],Table1[[#All],[kbli5]:[digital_hijau]],6,)</f>
        <v>#N/A</v>
      </c>
      <c r="H456" s="54" t="e">
        <f>VLOOKUP(Table13[[#This Row],[kbli5]],kata_kunci!$B:$H,3,FALSE)</f>
        <v>#N/A</v>
      </c>
      <c r="I456" s="84" t="e">
        <f>VLOOKUP(Table13[[#This Row],[kbli5]],kata_kunci!$B:$H,5,FALSE)</f>
        <v>#N/A</v>
      </c>
      <c r="J456" s="84" t="e">
        <f>VLOOKUP(Table13[[#This Row],[kbli5]],kata_kunci!$B:$H,6,FALSE)</f>
        <v>#N/A</v>
      </c>
      <c r="K456" s="84" t="e">
        <f>VLOOKUP(Table13[[#This Row],[kbli5]],kata_kunci!$B:$H,7,FALSE)</f>
        <v>#N/A</v>
      </c>
    </row>
    <row r="457" spans="1:11" ht="30.75" thickBot="1" x14ac:dyDescent="0.3">
      <c r="A457" s="53" t="s">
        <v>450</v>
      </c>
      <c r="B457" s="40">
        <v>23969</v>
      </c>
      <c r="C457" s="41" t="s">
        <v>734</v>
      </c>
      <c r="D457" s="30" t="e">
        <f>VLOOKUP(Table13[[#This Row],[kbli5]],Table1[[#All],[kbli5]:[digital_hijau]],3,)</f>
        <v>#N/A</v>
      </c>
      <c r="E457" s="53" t="e">
        <f>VLOOKUP(Table13[[#This Row],[kbli5]],kata_kunci!$B:$H,4,FALSE)</f>
        <v>#N/A</v>
      </c>
      <c r="F457" s="53" t="e">
        <f>VLOOKUP(Table13[[#This Row],[kbli5]],Table1[[#All],[kbli5]:[digital_hijau]],5,)</f>
        <v>#N/A</v>
      </c>
      <c r="G457" s="53" t="e">
        <f>VLOOKUP(Table13[[#This Row],[kbli5]],Table1[[#All],[kbli5]:[digital_hijau]],6,)</f>
        <v>#N/A</v>
      </c>
      <c r="H457" s="54" t="e">
        <f>VLOOKUP(Table13[[#This Row],[kbli5]],kata_kunci!$B:$H,3,FALSE)</f>
        <v>#N/A</v>
      </c>
      <c r="I457" s="84" t="e">
        <f>VLOOKUP(Table13[[#This Row],[kbli5]],kata_kunci!$B:$H,5,FALSE)</f>
        <v>#N/A</v>
      </c>
      <c r="J457" s="84" t="e">
        <f>VLOOKUP(Table13[[#This Row],[kbli5]],kata_kunci!$B:$H,6,FALSE)</f>
        <v>#N/A</v>
      </c>
      <c r="K457" s="84" t="e">
        <f>VLOOKUP(Table13[[#This Row],[kbli5]],kata_kunci!$B:$H,7,FALSE)</f>
        <v>#N/A</v>
      </c>
    </row>
    <row r="458" spans="1:11" ht="15.75" thickBot="1" x14ac:dyDescent="0.3">
      <c r="A458" s="53" t="s">
        <v>450</v>
      </c>
      <c r="B458" s="40">
        <v>23991</v>
      </c>
      <c r="C458" s="41" t="s">
        <v>735</v>
      </c>
      <c r="D458" s="30" t="e">
        <f>VLOOKUP(Table13[[#This Row],[kbli5]],Table1[[#All],[kbli5]:[digital_hijau]],3,)</f>
        <v>#N/A</v>
      </c>
      <c r="E458" s="53" t="e">
        <f>VLOOKUP(Table13[[#This Row],[kbli5]],kata_kunci!$B:$H,4,FALSE)</f>
        <v>#N/A</v>
      </c>
      <c r="F458" s="53" t="e">
        <f>VLOOKUP(Table13[[#This Row],[kbli5]],Table1[[#All],[kbli5]:[digital_hijau]],5,)</f>
        <v>#N/A</v>
      </c>
      <c r="G458" s="53" t="e">
        <f>VLOOKUP(Table13[[#This Row],[kbli5]],Table1[[#All],[kbli5]:[digital_hijau]],6,)</f>
        <v>#N/A</v>
      </c>
      <c r="H458" s="54" t="e">
        <f>VLOOKUP(Table13[[#This Row],[kbli5]],kata_kunci!$B:$H,3,FALSE)</f>
        <v>#N/A</v>
      </c>
      <c r="I458" s="84" t="e">
        <f>VLOOKUP(Table13[[#This Row],[kbli5]],kata_kunci!$B:$H,5,FALSE)</f>
        <v>#N/A</v>
      </c>
      <c r="J458" s="84" t="e">
        <f>VLOOKUP(Table13[[#This Row],[kbli5]],kata_kunci!$B:$H,6,FALSE)</f>
        <v>#N/A</v>
      </c>
      <c r="K458" s="84" t="e">
        <f>VLOOKUP(Table13[[#This Row],[kbli5]],kata_kunci!$B:$H,7,FALSE)</f>
        <v>#N/A</v>
      </c>
    </row>
    <row r="459" spans="1:11" ht="45.75" thickBot="1" x14ac:dyDescent="0.3">
      <c r="A459" s="53" t="s">
        <v>450</v>
      </c>
      <c r="B459" s="40">
        <v>23992</v>
      </c>
      <c r="C459" s="41" t="s">
        <v>736</v>
      </c>
      <c r="D459" s="30" t="e">
        <f>VLOOKUP(Table13[[#This Row],[kbli5]],Table1[[#All],[kbli5]:[digital_hijau]],3,)</f>
        <v>#N/A</v>
      </c>
      <c r="E459" s="53" t="e">
        <f>VLOOKUP(Table13[[#This Row],[kbli5]],kata_kunci!$B:$H,4,FALSE)</f>
        <v>#N/A</v>
      </c>
      <c r="F459" s="53" t="e">
        <f>VLOOKUP(Table13[[#This Row],[kbli5]],Table1[[#All],[kbli5]:[digital_hijau]],5,)</f>
        <v>#N/A</v>
      </c>
      <c r="G459" s="53" t="e">
        <f>VLOOKUP(Table13[[#This Row],[kbli5]],Table1[[#All],[kbli5]:[digital_hijau]],6,)</f>
        <v>#N/A</v>
      </c>
      <c r="H459" s="54" t="e">
        <f>VLOOKUP(Table13[[#This Row],[kbli5]],kata_kunci!$B:$H,3,FALSE)</f>
        <v>#N/A</v>
      </c>
      <c r="I459" s="84" t="e">
        <f>VLOOKUP(Table13[[#This Row],[kbli5]],kata_kunci!$B:$H,5,FALSE)</f>
        <v>#N/A</v>
      </c>
      <c r="J459" s="84" t="e">
        <f>VLOOKUP(Table13[[#This Row],[kbli5]],kata_kunci!$B:$H,6,FALSE)</f>
        <v>#N/A</v>
      </c>
      <c r="K459" s="84" t="e">
        <f>VLOOKUP(Table13[[#This Row],[kbli5]],kata_kunci!$B:$H,7,FALSE)</f>
        <v>#N/A</v>
      </c>
    </row>
    <row r="460" spans="1:11" ht="45.75" thickBot="1" x14ac:dyDescent="0.3">
      <c r="A460" s="53" t="s">
        <v>450</v>
      </c>
      <c r="B460" s="40">
        <v>23993</v>
      </c>
      <c r="C460" s="41" t="s">
        <v>737</v>
      </c>
      <c r="D460" s="30" t="e">
        <f>VLOOKUP(Table13[[#This Row],[kbli5]],Table1[[#All],[kbli5]:[digital_hijau]],3,)</f>
        <v>#N/A</v>
      </c>
      <c r="E460" s="53" t="e">
        <f>VLOOKUP(Table13[[#This Row],[kbli5]],kata_kunci!$B:$H,4,FALSE)</f>
        <v>#N/A</v>
      </c>
      <c r="F460" s="53" t="e">
        <f>VLOOKUP(Table13[[#This Row],[kbli5]],Table1[[#All],[kbli5]:[digital_hijau]],5,)</f>
        <v>#N/A</v>
      </c>
      <c r="G460" s="53" t="e">
        <f>VLOOKUP(Table13[[#This Row],[kbli5]],Table1[[#All],[kbli5]:[digital_hijau]],6,)</f>
        <v>#N/A</v>
      </c>
      <c r="H460" s="54" t="e">
        <f>VLOOKUP(Table13[[#This Row],[kbli5]],kata_kunci!$B:$H,3,FALSE)</f>
        <v>#N/A</v>
      </c>
      <c r="I460" s="84" t="e">
        <f>VLOOKUP(Table13[[#This Row],[kbli5]],kata_kunci!$B:$H,5,FALSE)</f>
        <v>#N/A</v>
      </c>
      <c r="J460" s="84" t="e">
        <f>VLOOKUP(Table13[[#This Row],[kbli5]],kata_kunci!$B:$H,6,FALSE)</f>
        <v>#N/A</v>
      </c>
      <c r="K460" s="84" t="e">
        <f>VLOOKUP(Table13[[#This Row],[kbli5]],kata_kunci!$B:$H,7,FALSE)</f>
        <v>#N/A</v>
      </c>
    </row>
    <row r="461" spans="1:11" ht="30.75" thickBot="1" x14ac:dyDescent="0.3">
      <c r="A461" s="53" t="s">
        <v>450</v>
      </c>
      <c r="B461" s="40">
        <v>23999</v>
      </c>
      <c r="C461" s="41" t="s">
        <v>738</v>
      </c>
      <c r="D461" s="30" t="e">
        <f>VLOOKUP(Table13[[#This Row],[kbli5]],Table1[[#All],[kbli5]:[digital_hijau]],3,)</f>
        <v>#N/A</v>
      </c>
      <c r="E461" s="53" t="e">
        <f>VLOOKUP(Table13[[#This Row],[kbli5]],kata_kunci!$B:$H,4,FALSE)</f>
        <v>#N/A</v>
      </c>
      <c r="F461" s="53" t="e">
        <f>VLOOKUP(Table13[[#This Row],[kbli5]],Table1[[#All],[kbli5]:[digital_hijau]],5,)</f>
        <v>#N/A</v>
      </c>
      <c r="G461" s="53" t="e">
        <f>VLOOKUP(Table13[[#This Row],[kbli5]],Table1[[#All],[kbli5]:[digital_hijau]],6,)</f>
        <v>#N/A</v>
      </c>
      <c r="H461" s="54" t="e">
        <f>VLOOKUP(Table13[[#This Row],[kbli5]],kata_kunci!$B:$H,3,FALSE)</f>
        <v>#N/A</v>
      </c>
      <c r="I461" s="84" t="e">
        <f>VLOOKUP(Table13[[#This Row],[kbli5]],kata_kunci!$B:$H,5,FALSE)</f>
        <v>#N/A</v>
      </c>
      <c r="J461" s="84" t="e">
        <f>VLOOKUP(Table13[[#This Row],[kbli5]],kata_kunci!$B:$H,6,FALSE)</f>
        <v>#N/A</v>
      </c>
      <c r="K461" s="84" t="e">
        <f>VLOOKUP(Table13[[#This Row],[kbli5]],kata_kunci!$B:$H,7,FALSE)</f>
        <v>#N/A</v>
      </c>
    </row>
    <row r="462" spans="1:11" ht="30.75" thickBot="1" x14ac:dyDescent="0.3">
      <c r="A462" s="53" t="s">
        <v>450</v>
      </c>
      <c r="B462" s="40">
        <v>24101</v>
      </c>
      <c r="C462" s="41" t="s">
        <v>739</v>
      </c>
      <c r="D462" s="30" t="e">
        <f>VLOOKUP(Table13[[#This Row],[kbli5]],Table1[[#All],[kbli5]:[digital_hijau]],3,)</f>
        <v>#N/A</v>
      </c>
      <c r="E462" s="53" t="e">
        <f>VLOOKUP(Table13[[#This Row],[kbli5]],kata_kunci!$B:$H,4,FALSE)</f>
        <v>#N/A</v>
      </c>
      <c r="F462" s="53" t="e">
        <f>VLOOKUP(Table13[[#This Row],[kbli5]],Table1[[#All],[kbli5]:[digital_hijau]],5,)</f>
        <v>#N/A</v>
      </c>
      <c r="G462" s="53" t="e">
        <f>VLOOKUP(Table13[[#This Row],[kbli5]],Table1[[#All],[kbli5]:[digital_hijau]],6,)</f>
        <v>#N/A</v>
      </c>
      <c r="H462" s="54" t="e">
        <f>VLOOKUP(Table13[[#This Row],[kbli5]],kata_kunci!$B:$H,3,FALSE)</f>
        <v>#N/A</v>
      </c>
      <c r="I462" s="84" t="e">
        <f>VLOOKUP(Table13[[#This Row],[kbli5]],kata_kunci!$B:$H,5,FALSE)</f>
        <v>#N/A</v>
      </c>
      <c r="J462" s="84" t="e">
        <f>VLOOKUP(Table13[[#This Row],[kbli5]],kata_kunci!$B:$H,6,FALSE)</f>
        <v>#N/A</v>
      </c>
      <c r="K462" s="84" t="e">
        <f>VLOOKUP(Table13[[#This Row],[kbli5]],kata_kunci!$B:$H,7,FALSE)</f>
        <v>#N/A</v>
      </c>
    </row>
    <row r="463" spans="1:11" ht="15.75" thickBot="1" x14ac:dyDescent="0.3">
      <c r="A463" s="53" t="s">
        <v>450</v>
      </c>
      <c r="B463" s="40">
        <v>24102</v>
      </c>
      <c r="C463" s="41" t="s">
        <v>740</v>
      </c>
      <c r="D463" s="30" t="e">
        <f>VLOOKUP(Table13[[#This Row],[kbli5]],Table1[[#All],[kbli5]:[digital_hijau]],3,)</f>
        <v>#N/A</v>
      </c>
      <c r="E463" s="53" t="e">
        <f>VLOOKUP(Table13[[#This Row],[kbli5]],kata_kunci!$B:$H,4,FALSE)</f>
        <v>#N/A</v>
      </c>
      <c r="F463" s="53" t="e">
        <f>VLOOKUP(Table13[[#This Row],[kbli5]],Table1[[#All],[kbli5]:[digital_hijau]],5,)</f>
        <v>#N/A</v>
      </c>
      <c r="G463" s="53" t="e">
        <f>VLOOKUP(Table13[[#This Row],[kbli5]],Table1[[#All],[kbli5]:[digital_hijau]],6,)</f>
        <v>#N/A</v>
      </c>
      <c r="H463" s="54" t="e">
        <f>VLOOKUP(Table13[[#This Row],[kbli5]],kata_kunci!$B:$H,3,FALSE)</f>
        <v>#N/A</v>
      </c>
      <c r="I463" s="84" t="e">
        <f>VLOOKUP(Table13[[#This Row],[kbli5]],kata_kunci!$B:$H,5,FALSE)</f>
        <v>#N/A</v>
      </c>
      <c r="J463" s="84" t="e">
        <f>VLOOKUP(Table13[[#This Row],[kbli5]],kata_kunci!$B:$H,6,FALSE)</f>
        <v>#N/A</v>
      </c>
      <c r="K463" s="84" t="e">
        <f>VLOOKUP(Table13[[#This Row],[kbli5]],kata_kunci!$B:$H,7,FALSE)</f>
        <v>#N/A</v>
      </c>
    </row>
    <row r="464" spans="1:11" ht="45.75" thickBot="1" x14ac:dyDescent="0.3">
      <c r="A464" s="53" t="s">
        <v>450</v>
      </c>
      <c r="B464" s="40">
        <v>24103</v>
      </c>
      <c r="C464" s="41" t="s">
        <v>741</v>
      </c>
      <c r="D464" s="30" t="e">
        <f>VLOOKUP(Table13[[#This Row],[kbli5]],Table1[[#All],[kbli5]:[digital_hijau]],3,)</f>
        <v>#N/A</v>
      </c>
      <c r="E464" s="53" t="e">
        <f>VLOOKUP(Table13[[#This Row],[kbli5]],kata_kunci!$B:$H,4,FALSE)</f>
        <v>#N/A</v>
      </c>
      <c r="F464" s="53" t="e">
        <f>VLOOKUP(Table13[[#This Row],[kbli5]],Table1[[#All],[kbli5]:[digital_hijau]],5,)</f>
        <v>#N/A</v>
      </c>
      <c r="G464" s="53" t="e">
        <f>VLOOKUP(Table13[[#This Row],[kbli5]],Table1[[#All],[kbli5]:[digital_hijau]],6,)</f>
        <v>#N/A</v>
      </c>
      <c r="H464" s="54" t="e">
        <f>VLOOKUP(Table13[[#This Row],[kbli5]],kata_kunci!$B:$H,3,FALSE)</f>
        <v>#N/A</v>
      </c>
      <c r="I464" s="84" t="e">
        <f>VLOOKUP(Table13[[#This Row],[kbli5]],kata_kunci!$B:$H,5,FALSE)</f>
        <v>#N/A</v>
      </c>
      <c r="J464" s="84" t="e">
        <f>VLOOKUP(Table13[[#This Row],[kbli5]],kata_kunci!$B:$H,6,FALSE)</f>
        <v>#N/A</v>
      </c>
      <c r="K464" s="84" t="e">
        <f>VLOOKUP(Table13[[#This Row],[kbli5]],kata_kunci!$B:$H,7,FALSE)</f>
        <v>#N/A</v>
      </c>
    </row>
    <row r="465" spans="1:11" ht="30.75" thickBot="1" x14ac:dyDescent="0.3">
      <c r="A465" s="53" t="s">
        <v>450</v>
      </c>
      <c r="B465" s="40">
        <v>24201</v>
      </c>
      <c r="C465" s="41" t="s">
        <v>742</v>
      </c>
      <c r="D465" s="30" t="e">
        <f>VLOOKUP(Table13[[#This Row],[kbli5]],Table1[[#All],[kbli5]:[digital_hijau]],3,)</f>
        <v>#N/A</v>
      </c>
      <c r="E465" s="53" t="e">
        <f>VLOOKUP(Table13[[#This Row],[kbli5]],kata_kunci!$B:$H,4,FALSE)</f>
        <v>#N/A</v>
      </c>
      <c r="F465" s="53" t="e">
        <f>VLOOKUP(Table13[[#This Row],[kbli5]],Table1[[#All],[kbli5]:[digital_hijau]],5,)</f>
        <v>#N/A</v>
      </c>
      <c r="G465" s="53" t="e">
        <f>VLOOKUP(Table13[[#This Row],[kbli5]],Table1[[#All],[kbli5]:[digital_hijau]],6,)</f>
        <v>#N/A</v>
      </c>
      <c r="H465" s="54" t="e">
        <f>VLOOKUP(Table13[[#This Row],[kbli5]],kata_kunci!$B:$H,3,FALSE)</f>
        <v>#N/A</v>
      </c>
      <c r="I465" s="84" t="e">
        <f>VLOOKUP(Table13[[#This Row],[kbli5]],kata_kunci!$B:$H,5,FALSE)</f>
        <v>#N/A</v>
      </c>
      <c r="J465" s="84" t="e">
        <f>VLOOKUP(Table13[[#This Row],[kbli5]],kata_kunci!$B:$H,6,FALSE)</f>
        <v>#N/A</v>
      </c>
      <c r="K465" s="84" t="e">
        <f>VLOOKUP(Table13[[#This Row],[kbli5]],kata_kunci!$B:$H,7,FALSE)</f>
        <v>#N/A</v>
      </c>
    </row>
    <row r="466" spans="1:11" ht="30.75" thickBot="1" x14ac:dyDescent="0.3">
      <c r="A466" s="53" t="s">
        <v>450</v>
      </c>
      <c r="B466" s="40">
        <v>24202</v>
      </c>
      <c r="C466" s="41" t="s">
        <v>743</v>
      </c>
      <c r="D466" s="30" t="e">
        <f>VLOOKUP(Table13[[#This Row],[kbli5]],Table1[[#All],[kbli5]:[digital_hijau]],3,)</f>
        <v>#N/A</v>
      </c>
      <c r="E466" s="53" t="e">
        <f>VLOOKUP(Table13[[#This Row],[kbli5]],kata_kunci!$B:$H,4,FALSE)</f>
        <v>#N/A</v>
      </c>
      <c r="F466" s="53" t="e">
        <f>VLOOKUP(Table13[[#This Row],[kbli5]],Table1[[#All],[kbli5]:[digital_hijau]],5,)</f>
        <v>#N/A</v>
      </c>
      <c r="G466" s="53" t="e">
        <f>VLOOKUP(Table13[[#This Row],[kbli5]],Table1[[#All],[kbli5]:[digital_hijau]],6,)</f>
        <v>#N/A</v>
      </c>
      <c r="H466" s="54" t="e">
        <f>VLOOKUP(Table13[[#This Row],[kbli5]],kata_kunci!$B:$H,3,FALSE)</f>
        <v>#N/A</v>
      </c>
      <c r="I466" s="84" t="e">
        <f>VLOOKUP(Table13[[#This Row],[kbli5]],kata_kunci!$B:$H,5,FALSE)</f>
        <v>#N/A</v>
      </c>
      <c r="J466" s="84" t="e">
        <f>VLOOKUP(Table13[[#This Row],[kbli5]],kata_kunci!$B:$H,6,FALSE)</f>
        <v>#N/A</v>
      </c>
      <c r="K466" s="84" t="e">
        <f>VLOOKUP(Table13[[#This Row],[kbli5]],kata_kunci!$B:$H,7,FALSE)</f>
        <v>#N/A</v>
      </c>
    </row>
    <row r="467" spans="1:11" ht="30.75" thickBot="1" x14ac:dyDescent="0.3">
      <c r="A467" s="53" t="s">
        <v>450</v>
      </c>
      <c r="B467" s="40">
        <v>24203</v>
      </c>
      <c r="C467" s="41" t="s">
        <v>744</v>
      </c>
      <c r="D467" s="30" t="e">
        <f>VLOOKUP(Table13[[#This Row],[kbli5]],Table1[[#All],[kbli5]:[digital_hijau]],3,)</f>
        <v>#N/A</v>
      </c>
      <c r="E467" s="53" t="e">
        <f>VLOOKUP(Table13[[#This Row],[kbli5]],kata_kunci!$B:$H,4,FALSE)</f>
        <v>#N/A</v>
      </c>
      <c r="F467" s="53" t="e">
        <f>VLOOKUP(Table13[[#This Row],[kbli5]],Table1[[#All],[kbli5]:[digital_hijau]],5,)</f>
        <v>#N/A</v>
      </c>
      <c r="G467" s="53" t="e">
        <f>VLOOKUP(Table13[[#This Row],[kbli5]],Table1[[#All],[kbli5]:[digital_hijau]],6,)</f>
        <v>#N/A</v>
      </c>
      <c r="H467" s="54" t="e">
        <f>VLOOKUP(Table13[[#This Row],[kbli5]],kata_kunci!$B:$H,3,FALSE)</f>
        <v>#N/A</v>
      </c>
      <c r="I467" s="84" t="e">
        <f>VLOOKUP(Table13[[#This Row],[kbli5]],kata_kunci!$B:$H,5,FALSE)</f>
        <v>#N/A</v>
      </c>
      <c r="J467" s="84" t="e">
        <f>VLOOKUP(Table13[[#This Row],[kbli5]],kata_kunci!$B:$H,6,FALSE)</f>
        <v>#N/A</v>
      </c>
      <c r="K467" s="84" t="e">
        <f>VLOOKUP(Table13[[#This Row],[kbli5]],kata_kunci!$B:$H,7,FALSE)</f>
        <v>#N/A</v>
      </c>
    </row>
    <row r="468" spans="1:11" ht="30.75" thickBot="1" x14ac:dyDescent="0.3">
      <c r="A468" s="53" t="s">
        <v>450</v>
      </c>
      <c r="B468" s="40">
        <v>24204</v>
      </c>
      <c r="C468" s="41" t="s">
        <v>745</v>
      </c>
      <c r="D468" s="30" t="e">
        <f>VLOOKUP(Table13[[#This Row],[kbli5]],Table1[[#All],[kbli5]:[digital_hijau]],3,)</f>
        <v>#N/A</v>
      </c>
      <c r="E468" s="53" t="e">
        <f>VLOOKUP(Table13[[#This Row],[kbli5]],kata_kunci!$B:$H,4,FALSE)</f>
        <v>#N/A</v>
      </c>
      <c r="F468" s="53" t="e">
        <f>VLOOKUP(Table13[[#This Row],[kbli5]],Table1[[#All],[kbli5]:[digital_hijau]],5,)</f>
        <v>#N/A</v>
      </c>
      <c r="G468" s="53" t="e">
        <f>VLOOKUP(Table13[[#This Row],[kbli5]],Table1[[#All],[kbli5]:[digital_hijau]],6,)</f>
        <v>#N/A</v>
      </c>
      <c r="H468" s="54" t="e">
        <f>VLOOKUP(Table13[[#This Row],[kbli5]],kata_kunci!$B:$H,3,FALSE)</f>
        <v>#N/A</v>
      </c>
      <c r="I468" s="84" t="e">
        <f>VLOOKUP(Table13[[#This Row],[kbli5]],kata_kunci!$B:$H,5,FALSE)</f>
        <v>#N/A</v>
      </c>
      <c r="J468" s="84" t="e">
        <f>VLOOKUP(Table13[[#This Row],[kbli5]],kata_kunci!$B:$H,6,FALSE)</f>
        <v>#N/A</v>
      </c>
      <c r="K468" s="84" t="e">
        <f>VLOOKUP(Table13[[#This Row],[kbli5]],kata_kunci!$B:$H,7,FALSE)</f>
        <v>#N/A</v>
      </c>
    </row>
    <row r="469" spans="1:11" ht="45.75" thickBot="1" x14ac:dyDescent="0.3">
      <c r="A469" s="53" t="s">
        <v>450</v>
      </c>
      <c r="B469" s="40">
        <v>24205</v>
      </c>
      <c r="C469" s="41" t="s">
        <v>746</v>
      </c>
      <c r="D469" s="30" t="e">
        <f>VLOOKUP(Table13[[#This Row],[kbli5]],Table1[[#All],[kbli5]:[digital_hijau]],3,)</f>
        <v>#N/A</v>
      </c>
      <c r="E469" s="53" t="e">
        <f>VLOOKUP(Table13[[#This Row],[kbli5]],kata_kunci!$B:$H,4,FALSE)</f>
        <v>#N/A</v>
      </c>
      <c r="F469" s="53" t="e">
        <f>VLOOKUP(Table13[[#This Row],[kbli5]],Table1[[#All],[kbli5]:[digital_hijau]],5,)</f>
        <v>#N/A</v>
      </c>
      <c r="G469" s="53" t="e">
        <f>VLOOKUP(Table13[[#This Row],[kbli5]],Table1[[#All],[kbli5]:[digital_hijau]],6,)</f>
        <v>#N/A</v>
      </c>
      <c r="H469" s="54" t="e">
        <f>VLOOKUP(Table13[[#This Row],[kbli5]],kata_kunci!$B:$H,3,FALSE)</f>
        <v>#N/A</v>
      </c>
      <c r="I469" s="84" t="e">
        <f>VLOOKUP(Table13[[#This Row],[kbli5]],kata_kunci!$B:$H,5,FALSE)</f>
        <v>#N/A</v>
      </c>
      <c r="J469" s="84" t="e">
        <f>VLOOKUP(Table13[[#This Row],[kbli5]],kata_kunci!$B:$H,6,FALSE)</f>
        <v>#N/A</v>
      </c>
      <c r="K469" s="84" t="e">
        <f>VLOOKUP(Table13[[#This Row],[kbli5]],kata_kunci!$B:$H,7,FALSE)</f>
        <v>#N/A</v>
      </c>
    </row>
    <row r="470" spans="1:11" ht="30.75" thickBot="1" x14ac:dyDescent="0.3">
      <c r="A470" s="53" t="s">
        <v>450</v>
      </c>
      <c r="B470" s="40">
        <v>24206</v>
      </c>
      <c r="C470" s="41" t="s">
        <v>747</v>
      </c>
      <c r="D470" s="30" t="e">
        <f>VLOOKUP(Table13[[#This Row],[kbli5]],Table1[[#All],[kbli5]:[digital_hijau]],3,)</f>
        <v>#N/A</v>
      </c>
      <c r="E470" s="53" t="e">
        <f>VLOOKUP(Table13[[#This Row],[kbli5]],kata_kunci!$B:$H,4,FALSE)</f>
        <v>#N/A</v>
      </c>
      <c r="F470" s="53" t="e">
        <f>VLOOKUP(Table13[[#This Row],[kbli5]],Table1[[#All],[kbli5]:[digital_hijau]],5,)</f>
        <v>#N/A</v>
      </c>
      <c r="G470" s="53" t="e">
        <f>VLOOKUP(Table13[[#This Row],[kbli5]],Table1[[#All],[kbli5]:[digital_hijau]],6,)</f>
        <v>#N/A</v>
      </c>
      <c r="H470" s="54" t="e">
        <f>VLOOKUP(Table13[[#This Row],[kbli5]],kata_kunci!$B:$H,3,FALSE)</f>
        <v>#N/A</v>
      </c>
      <c r="I470" s="84" t="e">
        <f>VLOOKUP(Table13[[#This Row],[kbli5]],kata_kunci!$B:$H,5,FALSE)</f>
        <v>#N/A</v>
      </c>
      <c r="J470" s="84" t="e">
        <f>VLOOKUP(Table13[[#This Row],[kbli5]],kata_kunci!$B:$H,6,FALSE)</f>
        <v>#N/A</v>
      </c>
      <c r="K470" s="84" t="e">
        <f>VLOOKUP(Table13[[#This Row],[kbli5]],kata_kunci!$B:$H,7,FALSE)</f>
        <v>#N/A</v>
      </c>
    </row>
    <row r="471" spans="1:11" ht="30.75" thickBot="1" x14ac:dyDescent="0.3">
      <c r="A471" s="53" t="s">
        <v>450</v>
      </c>
      <c r="B471" s="40">
        <v>24310</v>
      </c>
      <c r="C471" s="41" t="s">
        <v>748</v>
      </c>
      <c r="D471" s="30" t="e">
        <f>VLOOKUP(Table13[[#This Row],[kbli5]],Table1[[#All],[kbli5]:[digital_hijau]],3,)</f>
        <v>#N/A</v>
      </c>
      <c r="E471" s="53" t="e">
        <f>VLOOKUP(Table13[[#This Row],[kbli5]],kata_kunci!$B:$H,4,FALSE)</f>
        <v>#N/A</v>
      </c>
      <c r="F471" s="53" t="e">
        <f>VLOOKUP(Table13[[#This Row],[kbli5]],Table1[[#All],[kbli5]:[digital_hijau]],5,)</f>
        <v>#N/A</v>
      </c>
      <c r="G471" s="53" t="e">
        <f>VLOOKUP(Table13[[#This Row],[kbli5]],Table1[[#All],[kbli5]:[digital_hijau]],6,)</f>
        <v>#N/A</v>
      </c>
      <c r="H471" s="54" t="e">
        <f>VLOOKUP(Table13[[#This Row],[kbli5]],kata_kunci!$B:$H,3,FALSE)</f>
        <v>#N/A</v>
      </c>
      <c r="I471" s="84" t="e">
        <f>VLOOKUP(Table13[[#This Row],[kbli5]],kata_kunci!$B:$H,5,FALSE)</f>
        <v>#N/A</v>
      </c>
      <c r="J471" s="84" t="e">
        <f>VLOOKUP(Table13[[#This Row],[kbli5]],kata_kunci!$B:$H,6,FALSE)</f>
        <v>#N/A</v>
      </c>
      <c r="K471" s="84" t="e">
        <f>VLOOKUP(Table13[[#This Row],[kbli5]],kata_kunci!$B:$H,7,FALSE)</f>
        <v>#N/A</v>
      </c>
    </row>
    <row r="472" spans="1:11" ht="30.75" thickBot="1" x14ac:dyDescent="0.3">
      <c r="A472" s="53" t="s">
        <v>450</v>
      </c>
      <c r="B472" s="40">
        <v>24320</v>
      </c>
      <c r="C472" s="41" t="s">
        <v>749</v>
      </c>
      <c r="D472" s="30" t="e">
        <f>VLOOKUP(Table13[[#This Row],[kbli5]],Table1[[#All],[kbli5]:[digital_hijau]],3,)</f>
        <v>#N/A</v>
      </c>
      <c r="E472" s="53" t="e">
        <f>VLOOKUP(Table13[[#This Row],[kbli5]],kata_kunci!$B:$H,4,FALSE)</f>
        <v>#N/A</v>
      </c>
      <c r="F472" s="53" t="e">
        <f>VLOOKUP(Table13[[#This Row],[kbli5]],Table1[[#All],[kbli5]:[digital_hijau]],5,)</f>
        <v>#N/A</v>
      </c>
      <c r="G472" s="53" t="e">
        <f>VLOOKUP(Table13[[#This Row],[kbli5]],Table1[[#All],[kbli5]:[digital_hijau]],6,)</f>
        <v>#N/A</v>
      </c>
      <c r="H472" s="54" t="e">
        <f>VLOOKUP(Table13[[#This Row],[kbli5]],kata_kunci!$B:$H,3,FALSE)</f>
        <v>#N/A</v>
      </c>
      <c r="I472" s="84" t="e">
        <f>VLOOKUP(Table13[[#This Row],[kbli5]],kata_kunci!$B:$H,5,FALSE)</f>
        <v>#N/A</v>
      </c>
      <c r="J472" s="84" t="e">
        <f>VLOOKUP(Table13[[#This Row],[kbli5]],kata_kunci!$B:$H,6,FALSE)</f>
        <v>#N/A</v>
      </c>
      <c r="K472" s="84" t="e">
        <f>VLOOKUP(Table13[[#This Row],[kbli5]],kata_kunci!$B:$H,7,FALSE)</f>
        <v>#N/A</v>
      </c>
    </row>
    <row r="473" spans="1:11" ht="45.75" thickBot="1" x14ac:dyDescent="0.3">
      <c r="A473" s="53" t="s">
        <v>450</v>
      </c>
      <c r="B473" s="40">
        <v>25111</v>
      </c>
      <c r="C473" s="41" t="s">
        <v>750</v>
      </c>
      <c r="D473" s="30" t="e">
        <f>VLOOKUP(Table13[[#This Row],[kbli5]],Table1[[#All],[kbli5]:[digital_hijau]],3,)</f>
        <v>#N/A</v>
      </c>
      <c r="E473" s="53" t="e">
        <f>VLOOKUP(Table13[[#This Row],[kbli5]],kata_kunci!$B:$H,4,FALSE)</f>
        <v>#N/A</v>
      </c>
      <c r="F473" s="53" t="e">
        <f>VLOOKUP(Table13[[#This Row],[kbli5]],Table1[[#All],[kbli5]:[digital_hijau]],5,)</f>
        <v>#N/A</v>
      </c>
      <c r="G473" s="53" t="e">
        <f>VLOOKUP(Table13[[#This Row],[kbli5]],Table1[[#All],[kbli5]:[digital_hijau]],6,)</f>
        <v>#N/A</v>
      </c>
      <c r="H473" s="54" t="e">
        <f>VLOOKUP(Table13[[#This Row],[kbli5]],kata_kunci!$B:$H,3,FALSE)</f>
        <v>#N/A</v>
      </c>
      <c r="I473" s="84" t="e">
        <f>VLOOKUP(Table13[[#This Row],[kbli5]],kata_kunci!$B:$H,5,FALSE)</f>
        <v>#N/A</v>
      </c>
      <c r="J473" s="84" t="e">
        <f>VLOOKUP(Table13[[#This Row],[kbli5]],kata_kunci!$B:$H,6,FALSE)</f>
        <v>#N/A</v>
      </c>
      <c r="K473" s="84" t="e">
        <f>VLOOKUP(Table13[[#This Row],[kbli5]],kata_kunci!$B:$H,7,FALSE)</f>
        <v>#N/A</v>
      </c>
    </row>
    <row r="474" spans="1:11" ht="45.75" thickBot="1" x14ac:dyDescent="0.3">
      <c r="A474" s="53" t="s">
        <v>450</v>
      </c>
      <c r="B474" s="40">
        <v>25112</v>
      </c>
      <c r="C474" s="41" t="s">
        <v>751</v>
      </c>
      <c r="D474" s="30" t="e">
        <f>VLOOKUP(Table13[[#This Row],[kbli5]],Table1[[#All],[kbli5]:[digital_hijau]],3,)</f>
        <v>#N/A</v>
      </c>
      <c r="E474" s="53" t="e">
        <f>VLOOKUP(Table13[[#This Row],[kbli5]],kata_kunci!$B:$H,4,FALSE)</f>
        <v>#N/A</v>
      </c>
      <c r="F474" s="53" t="e">
        <f>VLOOKUP(Table13[[#This Row],[kbli5]],Table1[[#All],[kbli5]:[digital_hijau]],5,)</f>
        <v>#N/A</v>
      </c>
      <c r="G474" s="53" t="e">
        <f>VLOOKUP(Table13[[#This Row],[kbli5]],Table1[[#All],[kbli5]:[digital_hijau]],6,)</f>
        <v>#N/A</v>
      </c>
      <c r="H474" s="54" t="e">
        <f>VLOOKUP(Table13[[#This Row],[kbli5]],kata_kunci!$B:$H,3,FALSE)</f>
        <v>#N/A</v>
      </c>
      <c r="I474" s="84" t="e">
        <f>VLOOKUP(Table13[[#This Row],[kbli5]],kata_kunci!$B:$H,5,FALSE)</f>
        <v>#N/A</v>
      </c>
      <c r="J474" s="84" t="e">
        <f>VLOOKUP(Table13[[#This Row],[kbli5]],kata_kunci!$B:$H,6,FALSE)</f>
        <v>#N/A</v>
      </c>
      <c r="K474" s="84" t="e">
        <f>VLOOKUP(Table13[[#This Row],[kbli5]],kata_kunci!$B:$H,7,FALSE)</f>
        <v>#N/A</v>
      </c>
    </row>
    <row r="475" spans="1:11" ht="45.75" thickBot="1" x14ac:dyDescent="0.3">
      <c r="A475" s="53" t="s">
        <v>450</v>
      </c>
      <c r="B475" s="40">
        <v>25113</v>
      </c>
      <c r="C475" s="41" t="s">
        <v>752</v>
      </c>
      <c r="D475" s="30" t="e">
        <f>VLOOKUP(Table13[[#This Row],[kbli5]],Table1[[#All],[kbli5]:[digital_hijau]],3,)</f>
        <v>#N/A</v>
      </c>
      <c r="E475" s="53" t="e">
        <f>VLOOKUP(Table13[[#This Row],[kbli5]],kata_kunci!$B:$H,4,FALSE)</f>
        <v>#N/A</v>
      </c>
      <c r="F475" s="53" t="e">
        <f>VLOOKUP(Table13[[#This Row],[kbli5]],Table1[[#All],[kbli5]:[digital_hijau]],5,)</f>
        <v>#N/A</v>
      </c>
      <c r="G475" s="53" t="e">
        <f>VLOOKUP(Table13[[#This Row],[kbli5]],Table1[[#All],[kbli5]:[digital_hijau]],6,)</f>
        <v>#N/A</v>
      </c>
      <c r="H475" s="54" t="e">
        <f>VLOOKUP(Table13[[#This Row],[kbli5]],kata_kunci!$B:$H,3,FALSE)</f>
        <v>#N/A</v>
      </c>
      <c r="I475" s="84" t="e">
        <f>VLOOKUP(Table13[[#This Row],[kbli5]],kata_kunci!$B:$H,5,FALSE)</f>
        <v>#N/A</v>
      </c>
      <c r="J475" s="84" t="e">
        <f>VLOOKUP(Table13[[#This Row],[kbli5]],kata_kunci!$B:$H,6,FALSE)</f>
        <v>#N/A</v>
      </c>
      <c r="K475" s="84" t="e">
        <f>VLOOKUP(Table13[[#This Row],[kbli5]],kata_kunci!$B:$H,7,FALSE)</f>
        <v>#N/A</v>
      </c>
    </row>
    <row r="476" spans="1:11" ht="30.75" thickBot="1" x14ac:dyDescent="0.3">
      <c r="A476" s="53" t="s">
        <v>450</v>
      </c>
      <c r="B476" s="40">
        <v>25119</v>
      </c>
      <c r="C476" s="41" t="s">
        <v>753</v>
      </c>
      <c r="D476" s="30" t="e">
        <f>VLOOKUP(Table13[[#This Row],[kbli5]],Table1[[#All],[kbli5]:[digital_hijau]],3,)</f>
        <v>#N/A</v>
      </c>
      <c r="E476" s="53" t="e">
        <f>VLOOKUP(Table13[[#This Row],[kbli5]],kata_kunci!$B:$H,4,FALSE)</f>
        <v>#N/A</v>
      </c>
      <c r="F476" s="53" t="e">
        <f>VLOOKUP(Table13[[#This Row],[kbli5]],Table1[[#All],[kbli5]:[digital_hijau]],5,)</f>
        <v>#N/A</v>
      </c>
      <c r="G476" s="53" t="e">
        <f>VLOOKUP(Table13[[#This Row],[kbli5]],Table1[[#All],[kbli5]:[digital_hijau]],6,)</f>
        <v>#N/A</v>
      </c>
      <c r="H476" s="54" t="e">
        <f>VLOOKUP(Table13[[#This Row],[kbli5]],kata_kunci!$B:$H,3,FALSE)</f>
        <v>#N/A</v>
      </c>
      <c r="I476" s="84" t="e">
        <f>VLOOKUP(Table13[[#This Row],[kbli5]],kata_kunci!$B:$H,5,FALSE)</f>
        <v>#N/A</v>
      </c>
      <c r="J476" s="84" t="e">
        <f>VLOOKUP(Table13[[#This Row],[kbli5]],kata_kunci!$B:$H,6,FALSE)</f>
        <v>#N/A</v>
      </c>
      <c r="K476" s="84" t="e">
        <f>VLOOKUP(Table13[[#This Row],[kbli5]],kata_kunci!$B:$H,7,FALSE)</f>
        <v>#N/A</v>
      </c>
    </row>
    <row r="477" spans="1:11" ht="45.75" thickBot="1" x14ac:dyDescent="0.3">
      <c r="A477" s="53" t="s">
        <v>450</v>
      </c>
      <c r="B477" s="40">
        <v>25120</v>
      </c>
      <c r="C477" s="41" t="s">
        <v>754</v>
      </c>
      <c r="D477" s="30" t="e">
        <f>VLOOKUP(Table13[[#This Row],[kbli5]],Table1[[#All],[kbli5]:[digital_hijau]],3,)</f>
        <v>#N/A</v>
      </c>
      <c r="E477" s="53" t="e">
        <f>VLOOKUP(Table13[[#This Row],[kbli5]],kata_kunci!$B:$H,4,FALSE)</f>
        <v>#N/A</v>
      </c>
      <c r="F477" s="53" t="e">
        <f>VLOOKUP(Table13[[#This Row],[kbli5]],Table1[[#All],[kbli5]:[digital_hijau]],5,)</f>
        <v>#N/A</v>
      </c>
      <c r="G477" s="35" t="s">
        <v>2091</v>
      </c>
      <c r="H477" s="54" t="e">
        <f>VLOOKUP(Table13[[#This Row],[kbli5]],kata_kunci!$B:$H,3,FALSE)</f>
        <v>#N/A</v>
      </c>
      <c r="I477" s="84" t="e">
        <f>VLOOKUP(Table13[[#This Row],[kbli5]],kata_kunci!$B:$H,5,FALSE)</f>
        <v>#N/A</v>
      </c>
      <c r="J477" s="84" t="e">
        <f>VLOOKUP(Table13[[#This Row],[kbli5]],kata_kunci!$B:$H,6,FALSE)</f>
        <v>#N/A</v>
      </c>
      <c r="K477" s="84" t="e">
        <f>VLOOKUP(Table13[[#This Row],[kbli5]],kata_kunci!$B:$H,7,FALSE)</f>
        <v>#N/A</v>
      </c>
    </row>
    <row r="478" spans="1:11" ht="30.75" thickBot="1" x14ac:dyDescent="0.3">
      <c r="A478" s="53" t="s">
        <v>450</v>
      </c>
      <c r="B478" s="40">
        <v>25130</v>
      </c>
      <c r="C478" s="41" t="s">
        <v>755</v>
      </c>
      <c r="D478" s="30" t="e">
        <f>VLOOKUP(Table13[[#This Row],[kbli5]],Table1[[#All],[kbli5]:[digital_hijau]],3,)</f>
        <v>#N/A</v>
      </c>
      <c r="E478" s="53" t="e">
        <f>VLOOKUP(Table13[[#This Row],[kbli5]],kata_kunci!$B:$H,4,FALSE)</f>
        <v>#N/A</v>
      </c>
      <c r="F478" s="53" t="e">
        <f>VLOOKUP(Table13[[#This Row],[kbli5]],Table1[[#All],[kbli5]:[digital_hijau]],5,)</f>
        <v>#N/A</v>
      </c>
      <c r="G478" s="53" t="e">
        <f>VLOOKUP(Table13[[#This Row],[kbli5]],Table1[[#All],[kbli5]:[digital_hijau]],6,)</f>
        <v>#N/A</v>
      </c>
      <c r="H478" s="54" t="e">
        <f>VLOOKUP(Table13[[#This Row],[kbli5]],kata_kunci!$B:$H,3,FALSE)</f>
        <v>#N/A</v>
      </c>
      <c r="I478" s="84" t="e">
        <f>VLOOKUP(Table13[[#This Row],[kbli5]],kata_kunci!$B:$H,5,FALSE)</f>
        <v>#N/A</v>
      </c>
      <c r="J478" s="84" t="e">
        <f>VLOOKUP(Table13[[#This Row],[kbli5]],kata_kunci!$B:$H,6,FALSE)</f>
        <v>#N/A</v>
      </c>
      <c r="K478" s="84" t="e">
        <f>VLOOKUP(Table13[[#This Row],[kbli5]],kata_kunci!$B:$H,7,FALSE)</f>
        <v>#N/A</v>
      </c>
    </row>
    <row r="479" spans="1:11" ht="30.75" thickBot="1" x14ac:dyDescent="0.3">
      <c r="A479" s="53" t="s">
        <v>450</v>
      </c>
      <c r="B479" s="40">
        <v>25200</v>
      </c>
      <c r="C479" s="41" t="s">
        <v>756</v>
      </c>
      <c r="D479" s="30" t="e">
        <f>VLOOKUP(Table13[[#This Row],[kbli5]],Table1[[#All],[kbli5]:[digital_hijau]],3,)</f>
        <v>#N/A</v>
      </c>
      <c r="E479" s="53" t="e">
        <f>VLOOKUP(Table13[[#This Row],[kbli5]],kata_kunci!$B:$H,4,FALSE)</f>
        <v>#N/A</v>
      </c>
      <c r="F479" s="53" t="e">
        <f>VLOOKUP(Table13[[#This Row],[kbli5]],Table1[[#All],[kbli5]:[digital_hijau]],5,)</f>
        <v>#N/A</v>
      </c>
      <c r="G479" s="53" t="e">
        <f>VLOOKUP(Table13[[#This Row],[kbli5]],Table1[[#All],[kbli5]:[digital_hijau]],6,)</f>
        <v>#N/A</v>
      </c>
      <c r="H479" s="54" t="e">
        <f>VLOOKUP(Table13[[#This Row],[kbli5]],kata_kunci!$B:$H,3,FALSE)</f>
        <v>#N/A</v>
      </c>
      <c r="I479" s="84" t="e">
        <f>VLOOKUP(Table13[[#This Row],[kbli5]],kata_kunci!$B:$H,5,FALSE)</f>
        <v>#N/A</v>
      </c>
      <c r="J479" s="84" t="e">
        <f>VLOOKUP(Table13[[#This Row],[kbli5]],kata_kunci!$B:$H,6,FALSE)</f>
        <v>#N/A</v>
      </c>
      <c r="K479" s="84" t="e">
        <f>VLOOKUP(Table13[[#This Row],[kbli5]],kata_kunci!$B:$H,7,FALSE)</f>
        <v>#N/A</v>
      </c>
    </row>
    <row r="480" spans="1:11" ht="60.75" thickBot="1" x14ac:dyDescent="0.3">
      <c r="A480" s="53" t="s">
        <v>450</v>
      </c>
      <c r="B480" s="40">
        <v>25910</v>
      </c>
      <c r="C480" s="41" t="s">
        <v>757</v>
      </c>
      <c r="D480" s="30" t="e">
        <f>VLOOKUP(Table13[[#This Row],[kbli5]],Table1[[#All],[kbli5]:[digital_hijau]],3,)</f>
        <v>#N/A</v>
      </c>
      <c r="E480" s="53" t="e">
        <f>VLOOKUP(Table13[[#This Row],[kbli5]],kata_kunci!$B:$H,4,FALSE)</f>
        <v>#N/A</v>
      </c>
      <c r="F480" s="53" t="e">
        <f>VLOOKUP(Table13[[#This Row],[kbli5]],Table1[[#All],[kbli5]:[digital_hijau]],5,)</f>
        <v>#N/A</v>
      </c>
      <c r="G480" s="53" t="e">
        <f>VLOOKUP(Table13[[#This Row],[kbli5]],Table1[[#All],[kbli5]:[digital_hijau]],6,)</f>
        <v>#N/A</v>
      </c>
      <c r="H480" s="54" t="e">
        <f>VLOOKUP(Table13[[#This Row],[kbli5]],kata_kunci!$B:$H,3,FALSE)</f>
        <v>#N/A</v>
      </c>
      <c r="I480" s="84" t="e">
        <f>VLOOKUP(Table13[[#This Row],[kbli5]],kata_kunci!$B:$H,5,FALSE)</f>
        <v>#N/A</v>
      </c>
      <c r="J480" s="84" t="e">
        <f>VLOOKUP(Table13[[#This Row],[kbli5]],kata_kunci!$B:$H,6,FALSE)</f>
        <v>#N/A</v>
      </c>
      <c r="K480" s="84" t="e">
        <f>VLOOKUP(Table13[[#This Row],[kbli5]],kata_kunci!$B:$H,7,FALSE)</f>
        <v>#N/A</v>
      </c>
    </row>
    <row r="481" spans="1:11" ht="30.75" thickBot="1" x14ac:dyDescent="0.3">
      <c r="A481" s="53" t="s">
        <v>450</v>
      </c>
      <c r="B481" s="40">
        <v>25920</v>
      </c>
      <c r="C481" s="41" t="s">
        <v>758</v>
      </c>
      <c r="D481" s="30" t="e">
        <f>VLOOKUP(Table13[[#This Row],[kbli5]],Table1[[#All],[kbli5]:[digital_hijau]],3,)</f>
        <v>#N/A</v>
      </c>
      <c r="E481" s="53" t="e">
        <f>VLOOKUP(Table13[[#This Row],[kbli5]],kata_kunci!$B:$H,4,FALSE)</f>
        <v>#N/A</v>
      </c>
      <c r="F481" s="53" t="e">
        <f>VLOOKUP(Table13[[#This Row],[kbli5]],Table1[[#All],[kbli5]:[digital_hijau]],5,)</f>
        <v>#N/A</v>
      </c>
      <c r="G481" s="53" t="e">
        <f>VLOOKUP(Table13[[#This Row],[kbli5]],Table1[[#All],[kbli5]:[digital_hijau]],6,)</f>
        <v>#N/A</v>
      </c>
      <c r="H481" s="54" t="e">
        <f>VLOOKUP(Table13[[#This Row],[kbli5]],kata_kunci!$B:$H,3,FALSE)</f>
        <v>#N/A</v>
      </c>
      <c r="I481" s="84" t="e">
        <f>VLOOKUP(Table13[[#This Row],[kbli5]],kata_kunci!$B:$H,5,FALSE)</f>
        <v>#N/A</v>
      </c>
      <c r="J481" s="84" t="e">
        <f>VLOOKUP(Table13[[#This Row],[kbli5]],kata_kunci!$B:$H,6,FALSE)</f>
        <v>#N/A</v>
      </c>
      <c r="K481" s="84" t="e">
        <f>VLOOKUP(Table13[[#This Row],[kbli5]],kata_kunci!$B:$H,7,FALSE)</f>
        <v>#N/A</v>
      </c>
    </row>
    <row r="482" spans="1:11" ht="30.75" thickBot="1" x14ac:dyDescent="0.3">
      <c r="A482" s="53" t="s">
        <v>450</v>
      </c>
      <c r="B482" s="40">
        <v>25931</v>
      </c>
      <c r="C482" s="41" t="s">
        <v>759</v>
      </c>
      <c r="D482" s="30" t="e">
        <f>VLOOKUP(Table13[[#This Row],[kbli5]],Table1[[#All],[kbli5]:[digital_hijau]],3,)</f>
        <v>#N/A</v>
      </c>
      <c r="E482" s="53" t="e">
        <f>VLOOKUP(Table13[[#This Row],[kbli5]],kata_kunci!$B:$H,4,FALSE)</f>
        <v>#N/A</v>
      </c>
      <c r="F482" s="53" t="e">
        <f>VLOOKUP(Table13[[#This Row],[kbli5]],Table1[[#All],[kbli5]:[digital_hijau]],5,)</f>
        <v>#N/A</v>
      </c>
      <c r="G482" s="53" t="e">
        <f>VLOOKUP(Table13[[#This Row],[kbli5]],Table1[[#All],[kbli5]:[digital_hijau]],6,)</f>
        <v>#N/A</v>
      </c>
      <c r="H482" s="54" t="e">
        <f>VLOOKUP(Table13[[#This Row],[kbli5]],kata_kunci!$B:$H,3,FALSE)</f>
        <v>#N/A</v>
      </c>
      <c r="I482" s="84" t="e">
        <f>VLOOKUP(Table13[[#This Row],[kbli5]],kata_kunci!$B:$H,5,FALSE)</f>
        <v>#N/A</v>
      </c>
      <c r="J482" s="84" t="e">
        <f>VLOOKUP(Table13[[#This Row],[kbli5]],kata_kunci!$B:$H,6,FALSE)</f>
        <v>#N/A</v>
      </c>
      <c r="K482" s="84" t="e">
        <f>VLOOKUP(Table13[[#This Row],[kbli5]],kata_kunci!$B:$H,7,FALSE)</f>
        <v>#N/A</v>
      </c>
    </row>
    <row r="483" spans="1:11" ht="15.75" thickBot="1" x14ac:dyDescent="0.3">
      <c r="A483" s="53" t="s">
        <v>450</v>
      </c>
      <c r="B483" s="40">
        <v>25932</v>
      </c>
      <c r="C483" s="41" t="s">
        <v>760</v>
      </c>
      <c r="D483" s="30" t="e">
        <f>VLOOKUP(Table13[[#This Row],[kbli5]],Table1[[#All],[kbli5]:[digital_hijau]],3,)</f>
        <v>#N/A</v>
      </c>
      <c r="E483" s="53" t="e">
        <f>VLOOKUP(Table13[[#This Row],[kbli5]],kata_kunci!$B:$H,4,FALSE)</f>
        <v>#N/A</v>
      </c>
      <c r="F483" s="53" t="e">
        <f>VLOOKUP(Table13[[#This Row],[kbli5]],Table1[[#All],[kbli5]:[digital_hijau]],5,)</f>
        <v>#N/A</v>
      </c>
      <c r="G483" s="53" t="e">
        <f>VLOOKUP(Table13[[#This Row],[kbli5]],Table1[[#All],[kbli5]:[digital_hijau]],6,)</f>
        <v>#N/A</v>
      </c>
      <c r="H483" s="54" t="e">
        <f>VLOOKUP(Table13[[#This Row],[kbli5]],kata_kunci!$B:$H,3,FALSE)</f>
        <v>#N/A</v>
      </c>
      <c r="I483" s="84" t="e">
        <f>VLOOKUP(Table13[[#This Row],[kbli5]],kata_kunci!$B:$H,5,FALSE)</f>
        <v>#N/A</v>
      </c>
      <c r="J483" s="84" t="e">
        <f>VLOOKUP(Table13[[#This Row],[kbli5]],kata_kunci!$B:$H,6,FALSE)</f>
        <v>#N/A</v>
      </c>
      <c r="K483" s="84" t="e">
        <f>VLOOKUP(Table13[[#This Row],[kbli5]],kata_kunci!$B:$H,7,FALSE)</f>
        <v>#N/A</v>
      </c>
    </row>
    <row r="484" spans="1:11" ht="30.75" thickBot="1" x14ac:dyDescent="0.3">
      <c r="A484" s="53" t="s">
        <v>450</v>
      </c>
      <c r="B484" s="40">
        <v>25933</v>
      </c>
      <c r="C484" s="41" t="s">
        <v>761</v>
      </c>
      <c r="D484" s="30" t="e">
        <f>VLOOKUP(Table13[[#This Row],[kbli5]],Table1[[#All],[kbli5]:[digital_hijau]],3,)</f>
        <v>#N/A</v>
      </c>
      <c r="E484" s="53" t="e">
        <f>VLOOKUP(Table13[[#This Row],[kbli5]],kata_kunci!$B:$H,4,FALSE)</f>
        <v>#N/A</v>
      </c>
      <c r="F484" s="53" t="e">
        <f>VLOOKUP(Table13[[#This Row],[kbli5]],Table1[[#All],[kbli5]:[digital_hijau]],5,)</f>
        <v>#N/A</v>
      </c>
      <c r="G484" s="53" t="e">
        <f>VLOOKUP(Table13[[#This Row],[kbli5]],Table1[[#All],[kbli5]:[digital_hijau]],6,)</f>
        <v>#N/A</v>
      </c>
      <c r="H484" s="54" t="e">
        <f>VLOOKUP(Table13[[#This Row],[kbli5]],kata_kunci!$B:$H,3,FALSE)</f>
        <v>#N/A</v>
      </c>
      <c r="I484" s="84" t="e">
        <f>VLOOKUP(Table13[[#This Row],[kbli5]],kata_kunci!$B:$H,5,FALSE)</f>
        <v>#N/A</v>
      </c>
      <c r="J484" s="84" t="e">
        <f>VLOOKUP(Table13[[#This Row],[kbli5]],kata_kunci!$B:$H,6,FALSE)</f>
        <v>#N/A</v>
      </c>
      <c r="K484" s="84" t="e">
        <f>VLOOKUP(Table13[[#This Row],[kbli5]],kata_kunci!$B:$H,7,FALSE)</f>
        <v>#N/A</v>
      </c>
    </row>
    <row r="485" spans="1:11" ht="30.75" thickBot="1" x14ac:dyDescent="0.3">
      <c r="A485" s="53" t="s">
        <v>450</v>
      </c>
      <c r="B485" s="40">
        <v>25934</v>
      </c>
      <c r="C485" s="41" t="s">
        <v>762</v>
      </c>
      <c r="D485" s="30" t="e">
        <f>VLOOKUP(Table13[[#This Row],[kbli5]],Table1[[#All],[kbli5]:[digital_hijau]],3,)</f>
        <v>#N/A</v>
      </c>
      <c r="E485" s="53" t="e">
        <f>VLOOKUP(Table13[[#This Row],[kbli5]],kata_kunci!$B:$H,4,FALSE)</f>
        <v>#N/A</v>
      </c>
      <c r="F485" s="53" t="e">
        <f>VLOOKUP(Table13[[#This Row],[kbli5]],Table1[[#All],[kbli5]:[digital_hijau]],5,)</f>
        <v>#N/A</v>
      </c>
      <c r="G485" s="53" t="e">
        <f>VLOOKUP(Table13[[#This Row],[kbli5]],Table1[[#All],[kbli5]:[digital_hijau]],6,)</f>
        <v>#N/A</v>
      </c>
      <c r="H485" s="54" t="e">
        <f>VLOOKUP(Table13[[#This Row],[kbli5]],kata_kunci!$B:$H,3,FALSE)</f>
        <v>#N/A</v>
      </c>
      <c r="I485" s="84" t="e">
        <f>VLOOKUP(Table13[[#This Row],[kbli5]],kata_kunci!$B:$H,5,FALSE)</f>
        <v>#N/A</v>
      </c>
      <c r="J485" s="84" t="e">
        <f>VLOOKUP(Table13[[#This Row],[kbli5]],kata_kunci!$B:$H,6,FALSE)</f>
        <v>#N/A</v>
      </c>
      <c r="K485" s="84" t="e">
        <f>VLOOKUP(Table13[[#This Row],[kbli5]],kata_kunci!$B:$H,7,FALSE)</f>
        <v>#N/A</v>
      </c>
    </row>
    <row r="486" spans="1:11" ht="45.75" thickBot="1" x14ac:dyDescent="0.3">
      <c r="A486" s="53" t="s">
        <v>450</v>
      </c>
      <c r="B486" s="40">
        <v>25940</v>
      </c>
      <c r="C486" s="41" t="s">
        <v>763</v>
      </c>
      <c r="D486" s="30" t="e">
        <f>VLOOKUP(Table13[[#This Row],[kbli5]],Table1[[#All],[kbli5]:[digital_hijau]],3,)</f>
        <v>#N/A</v>
      </c>
      <c r="E486" s="53" t="e">
        <f>VLOOKUP(Table13[[#This Row],[kbli5]],kata_kunci!$B:$H,4,FALSE)</f>
        <v>#N/A</v>
      </c>
      <c r="F486" s="53" t="e">
        <f>VLOOKUP(Table13[[#This Row],[kbli5]],Table1[[#All],[kbli5]:[digital_hijau]],5,)</f>
        <v>#N/A</v>
      </c>
      <c r="G486" s="53" t="e">
        <f>VLOOKUP(Table13[[#This Row],[kbli5]],Table1[[#All],[kbli5]:[digital_hijau]],6,)</f>
        <v>#N/A</v>
      </c>
      <c r="H486" s="54" t="e">
        <f>VLOOKUP(Table13[[#This Row],[kbli5]],kata_kunci!$B:$H,3,FALSE)</f>
        <v>#N/A</v>
      </c>
      <c r="I486" s="84" t="e">
        <f>VLOOKUP(Table13[[#This Row],[kbli5]],kata_kunci!$B:$H,5,FALSE)</f>
        <v>#N/A</v>
      </c>
      <c r="J486" s="84" t="e">
        <f>VLOOKUP(Table13[[#This Row],[kbli5]],kata_kunci!$B:$H,6,FALSE)</f>
        <v>#N/A</v>
      </c>
      <c r="K486" s="84" t="e">
        <f>VLOOKUP(Table13[[#This Row],[kbli5]],kata_kunci!$B:$H,7,FALSE)</f>
        <v>#N/A</v>
      </c>
    </row>
    <row r="487" spans="1:11" ht="45.75" thickBot="1" x14ac:dyDescent="0.3">
      <c r="A487" s="53" t="s">
        <v>450</v>
      </c>
      <c r="B487" s="40">
        <v>25951</v>
      </c>
      <c r="C487" s="41" t="s">
        <v>764</v>
      </c>
      <c r="D487" s="30" t="e">
        <f>VLOOKUP(Table13[[#This Row],[kbli5]],Table1[[#All],[kbli5]:[digital_hijau]],3,)</f>
        <v>#N/A</v>
      </c>
      <c r="E487" s="53" t="e">
        <f>VLOOKUP(Table13[[#This Row],[kbli5]],kata_kunci!$B:$H,4,FALSE)</f>
        <v>#N/A</v>
      </c>
      <c r="F487" s="53" t="e">
        <f>VLOOKUP(Table13[[#This Row],[kbli5]],Table1[[#All],[kbli5]:[digital_hijau]],5,)</f>
        <v>#N/A</v>
      </c>
      <c r="G487" s="53" t="e">
        <f>VLOOKUP(Table13[[#This Row],[kbli5]],Table1[[#All],[kbli5]:[digital_hijau]],6,)</f>
        <v>#N/A</v>
      </c>
      <c r="H487" s="54" t="e">
        <f>VLOOKUP(Table13[[#This Row],[kbli5]],kata_kunci!$B:$H,3,FALSE)</f>
        <v>#N/A</v>
      </c>
      <c r="I487" s="84" t="e">
        <f>VLOOKUP(Table13[[#This Row],[kbli5]],kata_kunci!$B:$H,5,FALSE)</f>
        <v>#N/A</v>
      </c>
      <c r="J487" s="84" t="e">
        <f>VLOOKUP(Table13[[#This Row],[kbli5]],kata_kunci!$B:$H,6,FALSE)</f>
        <v>#N/A</v>
      </c>
      <c r="K487" s="84" t="e">
        <f>VLOOKUP(Table13[[#This Row],[kbli5]],kata_kunci!$B:$H,7,FALSE)</f>
        <v>#N/A</v>
      </c>
    </row>
    <row r="488" spans="1:11" ht="30.75" thickBot="1" x14ac:dyDescent="0.3">
      <c r="A488" s="53" t="s">
        <v>450</v>
      </c>
      <c r="B488" s="40">
        <v>25952</v>
      </c>
      <c r="C488" s="41" t="s">
        <v>765</v>
      </c>
      <c r="D488" s="30" t="e">
        <f>VLOOKUP(Table13[[#This Row],[kbli5]],Table1[[#All],[kbli5]:[digital_hijau]],3,)</f>
        <v>#N/A</v>
      </c>
      <c r="E488" s="53" t="e">
        <f>VLOOKUP(Table13[[#This Row],[kbli5]],kata_kunci!$B:$H,4,FALSE)</f>
        <v>#N/A</v>
      </c>
      <c r="F488" s="53" t="e">
        <f>VLOOKUP(Table13[[#This Row],[kbli5]],Table1[[#All],[kbli5]:[digital_hijau]],5,)</f>
        <v>#N/A</v>
      </c>
      <c r="G488" s="53" t="e">
        <f>VLOOKUP(Table13[[#This Row],[kbli5]],Table1[[#All],[kbli5]:[digital_hijau]],6,)</f>
        <v>#N/A</v>
      </c>
      <c r="H488" s="54" t="e">
        <f>VLOOKUP(Table13[[#This Row],[kbli5]],kata_kunci!$B:$H,3,FALSE)</f>
        <v>#N/A</v>
      </c>
      <c r="I488" s="84" t="e">
        <f>VLOOKUP(Table13[[#This Row],[kbli5]],kata_kunci!$B:$H,5,FALSE)</f>
        <v>#N/A</v>
      </c>
      <c r="J488" s="84" t="e">
        <f>VLOOKUP(Table13[[#This Row],[kbli5]],kata_kunci!$B:$H,6,FALSE)</f>
        <v>#N/A</v>
      </c>
      <c r="K488" s="84" t="e">
        <f>VLOOKUP(Table13[[#This Row],[kbli5]],kata_kunci!$B:$H,7,FALSE)</f>
        <v>#N/A</v>
      </c>
    </row>
    <row r="489" spans="1:11" ht="45.75" thickBot="1" x14ac:dyDescent="0.3">
      <c r="A489" s="53" t="s">
        <v>450</v>
      </c>
      <c r="B489" s="40">
        <v>25991</v>
      </c>
      <c r="C489" s="41" t="s">
        <v>766</v>
      </c>
      <c r="D489" s="30" t="e">
        <f>VLOOKUP(Table13[[#This Row],[kbli5]],Table1[[#All],[kbli5]:[digital_hijau]],3,)</f>
        <v>#N/A</v>
      </c>
      <c r="E489" s="53" t="e">
        <f>VLOOKUP(Table13[[#This Row],[kbli5]],kata_kunci!$B:$H,4,FALSE)</f>
        <v>#N/A</v>
      </c>
      <c r="F489" s="53" t="e">
        <f>VLOOKUP(Table13[[#This Row],[kbli5]],Table1[[#All],[kbli5]:[digital_hijau]],5,)</f>
        <v>#N/A</v>
      </c>
      <c r="G489" s="53" t="e">
        <f>VLOOKUP(Table13[[#This Row],[kbli5]],Table1[[#All],[kbli5]:[digital_hijau]],6,)</f>
        <v>#N/A</v>
      </c>
      <c r="H489" s="54" t="e">
        <f>VLOOKUP(Table13[[#This Row],[kbli5]],kata_kunci!$B:$H,3,FALSE)</f>
        <v>#N/A</v>
      </c>
      <c r="I489" s="84" t="e">
        <f>VLOOKUP(Table13[[#This Row],[kbli5]],kata_kunci!$B:$H,5,FALSE)</f>
        <v>#N/A</v>
      </c>
      <c r="J489" s="84" t="e">
        <f>VLOOKUP(Table13[[#This Row],[kbli5]],kata_kunci!$B:$H,6,FALSE)</f>
        <v>#N/A</v>
      </c>
      <c r="K489" s="84" t="e">
        <f>VLOOKUP(Table13[[#This Row],[kbli5]],kata_kunci!$B:$H,7,FALSE)</f>
        <v>#N/A</v>
      </c>
    </row>
    <row r="490" spans="1:11" ht="45.75" thickBot="1" x14ac:dyDescent="0.3">
      <c r="A490" s="53" t="s">
        <v>450</v>
      </c>
      <c r="B490" s="40">
        <v>25992</v>
      </c>
      <c r="C490" s="41" t="s">
        <v>767</v>
      </c>
      <c r="D490" s="30" t="e">
        <f>VLOOKUP(Table13[[#This Row],[kbli5]],Table1[[#All],[kbli5]:[digital_hijau]],3,)</f>
        <v>#N/A</v>
      </c>
      <c r="E490" s="53" t="e">
        <f>VLOOKUP(Table13[[#This Row],[kbli5]],kata_kunci!$B:$H,4,FALSE)</f>
        <v>#N/A</v>
      </c>
      <c r="F490" s="53" t="e">
        <f>VLOOKUP(Table13[[#This Row],[kbli5]],Table1[[#All],[kbli5]:[digital_hijau]],5,)</f>
        <v>#N/A</v>
      </c>
      <c r="G490" s="53" t="e">
        <f>VLOOKUP(Table13[[#This Row],[kbli5]],Table1[[#All],[kbli5]:[digital_hijau]],6,)</f>
        <v>#N/A</v>
      </c>
      <c r="H490" s="54" t="e">
        <f>VLOOKUP(Table13[[#This Row],[kbli5]],kata_kunci!$B:$H,3,FALSE)</f>
        <v>#N/A</v>
      </c>
      <c r="I490" s="84" t="e">
        <f>VLOOKUP(Table13[[#This Row],[kbli5]],kata_kunci!$B:$H,5,FALSE)</f>
        <v>#N/A</v>
      </c>
      <c r="J490" s="84" t="e">
        <f>VLOOKUP(Table13[[#This Row],[kbli5]],kata_kunci!$B:$H,6,FALSE)</f>
        <v>#N/A</v>
      </c>
      <c r="K490" s="84" t="e">
        <f>VLOOKUP(Table13[[#This Row],[kbli5]],kata_kunci!$B:$H,7,FALSE)</f>
        <v>#N/A</v>
      </c>
    </row>
    <row r="491" spans="1:11" ht="45.75" thickBot="1" x14ac:dyDescent="0.3">
      <c r="A491" s="53" t="s">
        <v>450</v>
      </c>
      <c r="B491" s="40">
        <v>25993</v>
      </c>
      <c r="C491" s="41" t="s">
        <v>768</v>
      </c>
      <c r="D491" s="30" t="e">
        <f>VLOOKUP(Table13[[#This Row],[kbli5]],Table1[[#All],[kbli5]:[digital_hijau]],3,)</f>
        <v>#N/A</v>
      </c>
      <c r="E491" s="53" t="e">
        <f>VLOOKUP(Table13[[#This Row],[kbli5]],kata_kunci!$B:$H,4,FALSE)</f>
        <v>#N/A</v>
      </c>
      <c r="F491" s="53" t="e">
        <f>VLOOKUP(Table13[[#This Row],[kbli5]],Table1[[#All],[kbli5]:[digital_hijau]],5,)</f>
        <v>#N/A</v>
      </c>
      <c r="G491" s="53" t="e">
        <f>VLOOKUP(Table13[[#This Row],[kbli5]],Table1[[#All],[kbli5]:[digital_hijau]],6,)</f>
        <v>#N/A</v>
      </c>
      <c r="H491" s="54" t="e">
        <f>VLOOKUP(Table13[[#This Row],[kbli5]],kata_kunci!$B:$H,3,FALSE)</f>
        <v>#N/A</v>
      </c>
      <c r="I491" s="84" t="e">
        <f>VLOOKUP(Table13[[#This Row],[kbli5]],kata_kunci!$B:$H,5,FALSE)</f>
        <v>#N/A</v>
      </c>
      <c r="J491" s="84" t="e">
        <f>VLOOKUP(Table13[[#This Row],[kbli5]],kata_kunci!$B:$H,6,FALSE)</f>
        <v>#N/A</v>
      </c>
      <c r="K491" s="84" t="e">
        <f>VLOOKUP(Table13[[#This Row],[kbli5]],kata_kunci!$B:$H,7,FALSE)</f>
        <v>#N/A</v>
      </c>
    </row>
    <row r="492" spans="1:11" ht="15.75" thickBot="1" x14ac:dyDescent="0.3">
      <c r="A492" s="53" t="s">
        <v>450</v>
      </c>
      <c r="B492" s="40">
        <v>25994</v>
      </c>
      <c r="C492" s="41" t="s">
        <v>769</v>
      </c>
      <c r="D492" s="30" t="e">
        <f>VLOOKUP(Table13[[#This Row],[kbli5]],Table1[[#All],[kbli5]:[digital_hijau]],3,)</f>
        <v>#N/A</v>
      </c>
      <c r="E492" s="53" t="e">
        <f>VLOOKUP(Table13[[#This Row],[kbli5]],kata_kunci!$B:$H,4,FALSE)</f>
        <v>#N/A</v>
      </c>
      <c r="F492" s="53" t="e">
        <f>VLOOKUP(Table13[[#This Row],[kbli5]],Table1[[#All],[kbli5]:[digital_hijau]],5,)</f>
        <v>#N/A</v>
      </c>
      <c r="G492" s="53" t="e">
        <f>VLOOKUP(Table13[[#This Row],[kbli5]],Table1[[#All],[kbli5]:[digital_hijau]],6,)</f>
        <v>#N/A</v>
      </c>
      <c r="H492" s="54" t="e">
        <f>VLOOKUP(Table13[[#This Row],[kbli5]],kata_kunci!$B:$H,3,FALSE)</f>
        <v>#N/A</v>
      </c>
      <c r="I492" s="84" t="e">
        <f>VLOOKUP(Table13[[#This Row],[kbli5]],kata_kunci!$B:$H,5,FALSE)</f>
        <v>#N/A</v>
      </c>
      <c r="J492" s="84" t="e">
        <f>VLOOKUP(Table13[[#This Row],[kbli5]],kata_kunci!$B:$H,6,FALSE)</f>
        <v>#N/A</v>
      </c>
      <c r="K492" s="84" t="e">
        <f>VLOOKUP(Table13[[#This Row],[kbli5]],kata_kunci!$B:$H,7,FALSE)</f>
        <v>#N/A</v>
      </c>
    </row>
    <row r="493" spans="1:11" ht="30.75" thickBot="1" x14ac:dyDescent="0.3">
      <c r="A493" s="53" t="s">
        <v>450</v>
      </c>
      <c r="B493" s="40">
        <v>25995</v>
      </c>
      <c r="C493" s="41" t="s">
        <v>770</v>
      </c>
      <c r="D493" s="30" t="e">
        <f>VLOOKUP(Table13[[#This Row],[kbli5]],Table1[[#All],[kbli5]:[digital_hijau]],3,)</f>
        <v>#N/A</v>
      </c>
      <c r="E493" s="53" t="e">
        <f>VLOOKUP(Table13[[#This Row],[kbli5]],kata_kunci!$B:$H,4,FALSE)</f>
        <v>#N/A</v>
      </c>
      <c r="F493" s="53" t="e">
        <f>VLOOKUP(Table13[[#This Row],[kbli5]],Table1[[#All],[kbli5]:[digital_hijau]],5,)</f>
        <v>#N/A</v>
      </c>
      <c r="G493" s="53" t="e">
        <f>VLOOKUP(Table13[[#This Row],[kbli5]],Table1[[#All],[kbli5]:[digital_hijau]],6,)</f>
        <v>#N/A</v>
      </c>
      <c r="H493" s="54" t="e">
        <f>VLOOKUP(Table13[[#This Row],[kbli5]],kata_kunci!$B:$H,3,FALSE)</f>
        <v>#N/A</v>
      </c>
      <c r="I493" s="84" t="e">
        <f>VLOOKUP(Table13[[#This Row],[kbli5]],kata_kunci!$B:$H,5,FALSE)</f>
        <v>#N/A</v>
      </c>
      <c r="J493" s="84" t="e">
        <f>VLOOKUP(Table13[[#This Row],[kbli5]],kata_kunci!$B:$H,6,FALSE)</f>
        <v>#N/A</v>
      </c>
      <c r="K493" s="84" t="e">
        <f>VLOOKUP(Table13[[#This Row],[kbli5]],kata_kunci!$B:$H,7,FALSE)</f>
        <v>#N/A</v>
      </c>
    </row>
    <row r="494" spans="1:11" ht="30.75" thickBot="1" x14ac:dyDescent="0.3">
      <c r="A494" s="53" t="s">
        <v>450</v>
      </c>
      <c r="B494" s="40">
        <v>25999</v>
      </c>
      <c r="C494" s="41" t="s">
        <v>771</v>
      </c>
      <c r="D494" s="30" t="e">
        <f>VLOOKUP(Table13[[#This Row],[kbli5]],Table1[[#All],[kbli5]:[digital_hijau]],3,)</f>
        <v>#N/A</v>
      </c>
      <c r="E494" s="53" t="e">
        <f>VLOOKUP(Table13[[#This Row],[kbli5]],kata_kunci!$B:$H,4,FALSE)</f>
        <v>#N/A</v>
      </c>
      <c r="F494" s="53" t="e">
        <f>VLOOKUP(Table13[[#This Row],[kbli5]],Table1[[#All],[kbli5]:[digital_hijau]],5,)</f>
        <v>#N/A</v>
      </c>
      <c r="G494" s="53" t="e">
        <f>VLOOKUP(Table13[[#This Row],[kbli5]],Table1[[#All],[kbli5]:[digital_hijau]],6,)</f>
        <v>#N/A</v>
      </c>
      <c r="H494" s="54" t="e">
        <f>VLOOKUP(Table13[[#This Row],[kbli5]],kata_kunci!$B:$H,3,FALSE)</f>
        <v>#N/A</v>
      </c>
      <c r="I494" s="84" t="e">
        <f>VLOOKUP(Table13[[#This Row],[kbli5]],kata_kunci!$B:$H,5,FALSE)</f>
        <v>#N/A</v>
      </c>
      <c r="J494" s="84" t="e">
        <f>VLOOKUP(Table13[[#This Row],[kbli5]],kata_kunci!$B:$H,6,FALSE)</f>
        <v>#N/A</v>
      </c>
      <c r="K494" s="84" t="e">
        <f>VLOOKUP(Table13[[#This Row],[kbli5]],kata_kunci!$B:$H,7,FALSE)</f>
        <v>#N/A</v>
      </c>
    </row>
    <row r="495" spans="1:11" ht="45.75" thickBot="1" x14ac:dyDescent="0.3">
      <c r="A495" s="53" t="s">
        <v>450</v>
      </c>
      <c r="B495" s="40">
        <v>26110</v>
      </c>
      <c r="C495" s="41" t="s">
        <v>772</v>
      </c>
      <c r="D495" s="30" t="e">
        <f>VLOOKUP(Table13[[#This Row],[kbli5]],Table1[[#All],[kbli5]:[digital_hijau]],3,)</f>
        <v>#N/A</v>
      </c>
      <c r="E495" s="53" t="e">
        <f>VLOOKUP(Table13[[#This Row],[kbli5]],kata_kunci!$B:$H,4,FALSE)</f>
        <v>#N/A</v>
      </c>
      <c r="F495" s="53" t="e">
        <f>VLOOKUP(Table13[[#This Row],[kbli5]],Table1[[#All],[kbli5]:[digital_hijau]],5,)</f>
        <v>#N/A</v>
      </c>
      <c r="G495" s="53" t="s">
        <v>2090</v>
      </c>
      <c r="H495" s="54" t="e">
        <f>VLOOKUP(Table13[[#This Row],[kbli5]],kata_kunci!$B:$H,3,FALSE)</f>
        <v>#N/A</v>
      </c>
      <c r="I495" s="84" t="e">
        <f>VLOOKUP(Table13[[#This Row],[kbli5]],kata_kunci!$B:$H,5,FALSE)</f>
        <v>#N/A</v>
      </c>
      <c r="J495" s="84" t="e">
        <f>VLOOKUP(Table13[[#This Row],[kbli5]],kata_kunci!$B:$H,6,FALSE)</f>
        <v>#N/A</v>
      </c>
      <c r="K495" s="84" t="e">
        <f>VLOOKUP(Table13[[#This Row],[kbli5]],kata_kunci!$B:$H,7,FALSE)</f>
        <v>#N/A</v>
      </c>
    </row>
    <row r="496" spans="1:11" ht="45.75" thickBot="1" x14ac:dyDescent="0.3">
      <c r="A496" s="53" t="s">
        <v>450</v>
      </c>
      <c r="B496" s="40">
        <v>26191</v>
      </c>
      <c r="C496" s="41" t="s">
        <v>773</v>
      </c>
      <c r="D496" s="30" t="e">
        <f>VLOOKUP(Table13[[#This Row],[kbli5]],Table1[[#All],[kbli5]:[digital_hijau]],3,)</f>
        <v>#N/A</v>
      </c>
      <c r="E496" s="53" t="e">
        <f>VLOOKUP(Table13[[#This Row],[kbli5]],kata_kunci!$B:$H,4,FALSE)</f>
        <v>#N/A</v>
      </c>
      <c r="F496" s="53" t="e">
        <f>VLOOKUP(Table13[[#This Row],[kbli5]],Table1[[#All],[kbli5]:[digital_hijau]],5,)</f>
        <v>#N/A</v>
      </c>
      <c r="G496" s="53" t="s">
        <v>2090</v>
      </c>
      <c r="H496" s="54" t="e">
        <f>VLOOKUP(Table13[[#This Row],[kbli5]],kata_kunci!$B:$H,3,FALSE)</f>
        <v>#N/A</v>
      </c>
      <c r="I496" s="84" t="e">
        <f>VLOOKUP(Table13[[#This Row],[kbli5]],kata_kunci!$B:$H,5,FALSE)</f>
        <v>#N/A</v>
      </c>
      <c r="J496" s="84" t="e">
        <f>VLOOKUP(Table13[[#This Row],[kbli5]],kata_kunci!$B:$H,6,FALSE)</f>
        <v>#N/A</v>
      </c>
      <c r="K496" s="84" t="e">
        <f>VLOOKUP(Table13[[#This Row],[kbli5]],kata_kunci!$B:$H,7,FALSE)</f>
        <v>#N/A</v>
      </c>
    </row>
    <row r="497" spans="1:11" ht="45.75" thickBot="1" x14ac:dyDescent="0.3">
      <c r="A497" s="53" t="s">
        <v>450</v>
      </c>
      <c r="B497" s="40">
        <v>26199</v>
      </c>
      <c r="C497" s="41" t="s">
        <v>774</v>
      </c>
      <c r="D497" s="30" t="e">
        <f>VLOOKUP(Table13[[#This Row],[kbli5]],Table1[[#All],[kbli5]:[digital_hijau]],3,)</f>
        <v>#N/A</v>
      </c>
      <c r="E497" s="53" t="e">
        <f>VLOOKUP(Table13[[#This Row],[kbli5]],kata_kunci!$B:$H,4,FALSE)</f>
        <v>#N/A</v>
      </c>
      <c r="F497" s="53" t="e">
        <f>VLOOKUP(Table13[[#This Row],[kbli5]],Table1[[#All],[kbli5]:[digital_hijau]],5,)</f>
        <v>#N/A</v>
      </c>
      <c r="G497" s="53" t="s">
        <v>2090</v>
      </c>
      <c r="H497" s="54" t="e">
        <f>VLOOKUP(Table13[[#This Row],[kbli5]],kata_kunci!$B:$H,3,FALSE)</f>
        <v>#N/A</v>
      </c>
      <c r="I497" s="84" t="e">
        <f>VLOOKUP(Table13[[#This Row],[kbli5]],kata_kunci!$B:$H,5,FALSE)</f>
        <v>#N/A</v>
      </c>
      <c r="J497" s="84" t="e">
        <f>VLOOKUP(Table13[[#This Row],[kbli5]],kata_kunci!$B:$H,6,FALSE)</f>
        <v>#N/A</v>
      </c>
      <c r="K497" s="84" t="e">
        <f>VLOOKUP(Table13[[#This Row],[kbli5]],kata_kunci!$B:$H,7,FALSE)</f>
        <v>#N/A</v>
      </c>
    </row>
    <row r="498" spans="1:11" ht="30.75" thickBot="1" x14ac:dyDescent="0.3">
      <c r="A498" s="53" t="s">
        <v>450</v>
      </c>
      <c r="B498" s="40">
        <v>26210</v>
      </c>
      <c r="C498" s="41" t="s">
        <v>775</v>
      </c>
      <c r="D498" s="30" t="e">
        <f>VLOOKUP(Table13[[#This Row],[kbli5]],Table1[[#All],[kbli5]:[digital_hijau]],3,)</f>
        <v>#N/A</v>
      </c>
      <c r="E498" s="53" t="e">
        <f>VLOOKUP(Table13[[#This Row],[kbli5]],kata_kunci!$B:$H,4,FALSE)</f>
        <v>#N/A</v>
      </c>
      <c r="F498" s="53" t="e">
        <f>VLOOKUP(Table13[[#This Row],[kbli5]],Table1[[#All],[kbli5]:[digital_hijau]],5,)</f>
        <v>#N/A</v>
      </c>
      <c r="G498" s="53" t="s">
        <v>2090</v>
      </c>
      <c r="H498" s="54" t="e">
        <f>VLOOKUP(Table13[[#This Row],[kbli5]],kata_kunci!$B:$H,3,FALSE)</f>
        <v>#N/A</v>
      </c>
      <c r="I498" s="84" t="e">
        <f>VLOOKUP(Table13[[#This Row],[kbli5]],kata_kunci!$B:$H,5,FALSE)</f>
        <v>#N/A</v>
      </c>
      <c r="J498" s="84" t="e">
        <f>VLOOKUP(Table13[[#This Row],[kbli5]],kata_kunci!$B:$H,6,FALSE)</f>
        <v>#N/A</v>
      </c>
      <c r="K498" s="84" t="e">
        <f>VLOOKUP(Table13[[#This Row],[kbli5]],kata_kunci!$B:$H,7,FALSE)</f>
        <v>#N/A</v>
      </c>
    </row>
    <row r="499" spans="1:11" ht="30.75" thickBot="1" x14ac:dyDescent="0.3">
      <c r="A499" s="53" t="s">
        <v>450</v>
      </c>
      <c r="B499" s="40">
        <v>26220</v>
      </c>
      <c r="C499" s="41" t="s">
        <v>776</v>
      </c>
      <c r="D499" s="30" t="e">
        <f>VLOOKUP(Table13[[#This Row],[kbli5]],Table1[[#All],[kbli5]:[digital_hijau]],3,)</f>
        <v>#N/A</v>
      </c>
      <c r="E499" s="53" t="e">
        <f>VLOOKUP(Table13[[#This Row],[kbli5]],kata_kunci!$B:$H,4,FALSE)</f>
        <v>#N/A</v>
      </c>
      <c r="F499" s="53" t="e">
        <f>VLOOKUP(Table13[[#This Row],[kbli5]],Table1[[#All],[kbli5]:[digital_hijau]],5,)</f>
        <v>#N/A</v>
      </c>
      <c r="G499" s="53" t="s">
        <v>2090</v>
      </c>
      <c r="H499" s="54" t="e">
        <f>VLOOKUP(Table13[[#This Row],[kbli5]],kata_kunci!$B:$H,3,FALSE)</f>
        <v>#N/A</v>
      </c>
      <c r="I499" s="84" t="e">
        <f>VLOOKUP(Table13[[#This Row],[kbli5]],kata_kunci!$B:$H,5,FALSE)</f>
        <v>#N/A</v>
      </c>
      <c r="J499" s="84" t="e">
        <f>VLOOKUP(Table13[[#This Row],[kbli5]],kata_kunci!$B:$H,6,FALSE)</f>
        <v>#N/A</v>
      </c>
      <c r="K499" s="84" t="e">
        <f>VLOOKUP(Table13[[#This Row],[kbli5]],kata_kunci!$B:$H,7,FALSE)</f>
        <v>#N/A</v>
      </c>
    </row>
    <row r="500" spans="1:11" ht="30.75" thickBot="1" x14ac:dyDescent="0.3">
      <c r="A500" s="53" t="s">
        <v>450</v>
      </c>
      <c r="B500" s="40">
        <v>26310</v>
      </c>
      <c r="C500" s="41" t="s">
        <v>777</v>
      </c>
      <c r="D500" s="30" t="e">
        <f>VLOOKUP(Table13[[#This Row],[kbli5]],Table1[[#All],[kbli5]:[digital_hijau]],3,)</f>
        <v>#N/A</v>
      </c>
      <c r="E500" s="53" t="e">
        <f>VLOOKUP(Table13[[#This Row],[kbli5]],kata_kunci!$B:$H,4,FALSE)</f>
        <v>#N/A</v>
      </c>
      <c r="F500" s="53" t="e">
        <f>VLOOKUP(Table13[[#This Row],[kbli5]],Table1[[#All],[kbli5]:[digital_hijau]],5,)</f>
        <v>#N/A</v>
      </c>
      <c r="G500" s="53" t="s">
        <v>2090</v>
      </c>
      <c r="H500" s="54" t="e">
        <f>VLOOKUP(Table13[[#This Row],[kbli5]],kata_kunci!$B:$H,3,FALSE)</f>
        <v>#N/A</v>
      </c>
      <c r="I500" s="84" t="e">
        <f>VLOOKUP(Table13[[#This Row],[kbli5]],kata_kunci!$B:$H,5,FALSE)</f>
        <v>#N/A</v>
      </c>
      <c r="J500" s="84" t="e">
        <f>VLOOKUP(Table13[[#This Row],[kbli5]],kata_kunci!$B:$H,6,FALSE)</f>
        <v>#N/A</v>
      </c>
      <c r="K500" s="84" t="e">
        <f>VLOOKUP(Table13[[#This Row],[kbli5]],kata_kunci!$B:$H,7,FALSE)</f>
        <v>#N/A</v>
      </c>
    </row>
    <row r="501" spans="1:11" ht="45.75" thickBot="1" x14ac:dyDescent="0.3">
      <c r="A501" s="53" t="s">
        <v>450</v>
      </c>
      <c r="B501" s="40">
        <v>26320</v>
      </c>
      <c r="C501" s="41" t="s">
        <v>778</v>
      </c>
      <c r="D501" s="30" t="e">
        <f>VLOOKUP(Table13[[#This Row],[kbli5]],Table1[[#All],[kbli5]:[digital_hijau]],3,)</f>
        <v>#N/A</v>
      </c>
      <c r="E501" s="53" t="e">
        <f>VLOOKUP(Table13[[#This Row],[kbli5]],kata_kunci!$B:$H,4,FALSE)</f>
        <v>#N/A</v>
      </c>
      <c r="F501" s="53" t="e">
        <f>VLOOKUP(Table13[[#This Row],[kbli5]],Table1[[#All],[kbli5]:[digital_hijau]],5,)</f>
        <v>#N/A</v>
      </c>
      <c r="G501" s="53" t="s">
        <v>2090</v>
      </c>
      <c r="H501" s="54" t="e">
        <f>VLOOKUP(Table13[[#This Row],[kbli5]],kata_kunci!$B:$H,3,FALSE)</f>
        <v>#N/A</v>
      </c>
      <c r="I501" s="84" t="e">
        <f>VLOOKUP(Table13[[#This Row],[kbli5]],kata_kunci!$B:$H,5,FALSE)</f>
        <v>#N/A</v>
      </c>
      <c r="J501" s="84" t="e">
        <f>VLOOKUP(Table13[[#This Row],[kbli5]],kata_kunci!$B:$H,6,FALSE)</f>
        <v>#N/A</v>
      </c>
      <c r="K501" s="84" t="e">
        <f>VLOOKUP(Table13[[#This Row],[kbli5]],kata_kunci!$B:$H,7,FALSE)</f>
        <v>#N/A</v>
      </c>
    </row>
    <row r="502" spans="1:11" ht="30.75" thickBot="1" x14ac:dyDescent="0.3">
      <c r="A502" s="53" t="s">
        <v>450</v>
      </c>
      <c r="B502" s="40">
        <v>26391</v>
      </c>
      <c r="C502" s="41" t="s">
        <v>779</v>
      </c>
      <c r="D502" s="30" t="e">
        <f>VLOOKUP(Table13[[#This Row],[kbli5]],Table1[[#All],[kbli5]:[digital_hijau]],3,)</f>
        <v>#N/A</v>
      </c>
      <c r="E502" s="53" t="e">
        <f>VLOOKUP(Table13[[#This Row],[kbli5]],kata_kunci!$B:$H,4,FALSE)</f>
        <v>#N/A</v>
      </c>
      <c r="F502" s="53" t="e">
        <f>VLOOKUP(Table13[[#This Row],[kbli5]],Table1[[#All],[kbli5]:[digital_hijau]],5,)</f>
        <v>#N/A</v>
      </c>
      <c r="G502" s="53" t="s">
        <v>2090</v>
      </c>
      <c r="H502" s="54" t="e">
        <f>VLOOKUP(Table13[[#This Row],[kbli5]],kata_kunci!$B:$H,3,FALSE)</f>
        <v>#N/A</v>
      </c>
      <c r="I502" s="84" t="e">
        <f>VLOOKUP(Table13[[#This Row],[kbli5]],kata_kunci!$B:$H,5,FALSE)</f>
        <v>#N/A</v>
      </c>
      <c r="J502" s="84" t="e">
        <f>VLOOKUP(Table13[[#This Row],[kbli5]],kata_kunci!$B:$H,6,FALSE)</f>
        <v>#N/A</v>
      </c>
      <c r="K502" s="84" t="e">
        <f>VLOOKUP(Table13[[#This Row],[kbli5]],kata_kunci!$B:$H,7,FALSE)</f>
        <v>#N/A</v>
      </c>
    </row>
    <row r="503" spans="1:11" ht="30.75" thickBot="1" x14ac:dyDescent="0.3">
      <c r="A503" s="53" t="s">
        <v>450</v>
      </c>
      <c r="B503" s="40">
        <v>26399</v>
      </c>
      <c r="C503" s="41" t="s">
        <v>780</v>
      </c>
      <c r="D503" s="30" t="e">
        <f>VLOOKUP(Table13[[#This Row],[kbli5]],Table1[[#All],[kbli5]:[digital_hijau]],3,)</f>
        <v>#N/A</v>
      </c>
      <c r="E503" s="53" t="e">
        <f>VLOOKUP(Table13[[#This Row],[kbli5]],kata_kunci!$B:$H,4,FALSE)</f>
        <v>#N/A</v>
      </c>
      <c r="F503" s="53" t="e">
        <f>VLOOKUP(Table13[[#This Row],[kbli5]],Table1[[#All],[kbli5]:[digital_hijau]],5,)</f>
        <v>#N/A</v>
      </c>
      <c r="G503" s="53" t="s">
        <v>2090</v>
      </c>
      <c r="H503" s="54" t="e">
        <f>VLOOKUP(Table13[[#This Row],[kbli5]],kata_kunci!$B:$H,3,FALSE)</f>
        <v>#N/A</v>
      </c>
      <c r="I503" s="84" t="e">
        <f>VLOOKUP(Table13[[#This Row],[kbli5]],kata_kunci!$B:$H,5,FALSE)</f>
        <v>#N/A</v>
      </c>
      <c r="J503" s="84" t="e">
        <f>VLOOKUP(Table13[[#This Row],[kbli5]],kata_kunci!$B:$H,6,FALSE)</f>
        <v>#N/A</v>
      </c>
      <c r="K503" s="84" t="e">
        <f>VLOOKUP(Table13[[#This Row],[kbli5]],kata_kunci!$B:$H,7,FALSE)</f>
        <v>#N/A</v>
      </c>
    </row>
    <row r="504" spans="1:11" ht="45.75" thickBot="1" x14ac:dyDescent="0.3">
      <c r="A504" s="53" t="s">
        <v>450</v>
      </c>
      <c r="B504" s="40">
        <v>26410</v>
      </c>
      <c r="C504" s="41" t="s">
        <v>781</v>
      </c>
      <c r="D504" s="30" t="e">
        <f>VLOOKUP(Table13[[#This Row],[kbli5]],Table1[[#All],[kbli5]:[digital_hijau]],3,)</f>
        <v>#N/A</v>
      </c>
      <c r="E504" s="53" t="e">
        <f>VLOOKUP(Table13[[#This Row],[kbli5]],kata_kunci!$B:$H,4,FALSE)</f>
        <v>#N/A</v>
      </c>
      <c r="F504" s="53" t="e">
        <f>VLOOKUP(Table13[[#This Row],[kbli5]],Table1[[#All],[kbli5]:[digital_hijau]],5,)</f>
        <v>#N/A</v>
      </c>
      <c r="G504" s="53" t="s">
        <v>2090</v>
      </c>
      <c r="H504" s="54" t="e">
        <f>VLOOKUP(Table13[[#This Row],[kbli5]],kata_kunci!$B:$H,3,FALSE)</f>
        <v>#N/A</v>
      </c>
      <c r="I504" s="84" t="e">
        <f>VLOOKUP(Table13[[#This Row],[kbli5]],kata_kunci!$B:$H,5,FALSE)</f>
        <v>#N/A</v>
      </c>
      <c r="J504" s="84" t="e">
        <f>VLOOKUP(Table13[[#This Row],[kbli5]],kata_kunci!$B:$H,6,FALSE)</f>
        <v>#N/A</v>
      </c>
      <c r="K504" s="84" t="e">
        <f>VLOOKUP(Table13[[#This Row],[kbli5]],kata_kunci!$B:$H,7,FALSE)</f>
        <v>#N/A</v>
      </c>
    </row>
    <row r="505" spans="1:11" ht="45.75" thickBot="1" x14ac:dyDescent="0.3">
      <c r="A505" s="53" t="s">
        <v>450</v>
      </c>
      <c r="B505" s="40">
        <v>26420</v>
      </c>
      <c r="C505" s="41" t="s">
        <v>782</v>
      </c>
      <c r="D505" s="30" t="e">
        <f>VLOOKUP(Table13[[#This Row],[kbli5]],Table1[[#All],[kbli5]:[digital_hijau]],3,)</f>
        <v>#N/A</v>
      </c>
      <c r="E505" s="53" t="e">
        <f>VLOOKUP(Table13[[#This Row],[kbli5]],kata_kunci!$B:$H,4,FALSE)</f>
        <v>#N/A</v>
      </c>
      <c r="F505" s="53" t="e">
        <f>VLOOKUP(Table13[[#This Row],[kbli5]],Table1[[#All],[kbli5]:[digital_hijau]],5,)</f>
        <v>#N/A</v>
      </c>
      <c r="G505" s="53" t="s">
        <v>2090</v>
      </c>
      <c r="H505" s="54" t="e">
        <f>VLOOKUP(Table13[[#This Row],[kbli5]],kata_kunci!$B:$H,3,FALSE)</f>
        <v>#N/A</v>
      </c>
      <c r="I505" s="84" t="e">
        <f>VLOOKUP(Table13[[#This Row],[kbli5]],kata_kunci!$B:$H,5,FALSE)</f>
        <v>#N/A</v>
      </c>
      <c r="J505" s="84" t="e">
        <f>VLOOKUP(Table13[[#This Row],[kbli5]],kata_kunci!$B:$H,6,FALSE)</f>
        <v>#N/A</v>
      </c>
      <c r="K505" s="84" t="e">
        <f>VLOOKUP(Table13[[#This Row],[kbli5]],kata_kunci!$B:$H,7,FALSE)</f>
        <v>#N/A</v>
      </c>
    </row>
    <row r="506" spans="1:11" ht="45.75" thickBot="1" x14ac:dyDescent="0.3">
      <c r="A506" s="53" t="s">
        <v>450</v>
      </c>
      <c r="B506" s="40">
        <v>26490</v>
      </c>
      <c r="C506" s="41" t="s">
        <v>783</v>
      </c>
      <c r="D506" s="30" t="e">
        <f>VLOOKUP(Table13[[#This Row],[kbli5]],Table1[[#All],[kbli5]:[digital_hijau]],3,)</f>
        <v>#N/A</v>
      </c>
      <c r="E506" s="53" t="e">
        <f>VLOOKUP(Table13[[#This Row],[kbli5]],kata_kunci!$B:$H,4,FALSE)</f>
        <v>#N/A</v>
      </c>
      <c r="F506" s="53" t="e">
        <f>VLOOKUP(Table13[[#This Row],[kbli5]],Table1[[#All],[kbli5]:[digital_hijau]],5,)</f>
        <v>#N/A</v>
      </c>
      <c r="G506" s="53" t="s">
        <v>2090</v>
      </c>
      <c r="H506" s="54" t="e">
        <f>VLOOKUP(Table13[[#This Row],[kbli5]],kata_kunci!$B:$H,3,FALSE)</f>
        <v>#N/A</v>
      </c>
      <c r="I506" s="84" t="e">
        <f>VLOOKUP(Table13[[#This Row],[kbli5]],kata_kunci!$B:$H,5,FALSE)</f>
        <v>#N/A</v>
      </c>
      <c r="J506" s="84" t="e">
        <f>VLOOKUP(Table13[[#This Row],[kbli5]],kata_kunci!$B:$H,6,FALSE)</f>
        <v>#N/A</v>
      </c>
      <c r="K506" s="84" t="e">
        <f>VLOOKUP(Table13[[#This Row],[kbli5]],kata_kunci!$B:$H,7,FALSE)</f>
        <v>#N/A</v>
      </c>
    </row>
    <row r="507" spans="1:11" ht="30.75" thickBot="1" x14ac:dyDescent="0.3">
      <c r="A507" s="53" t="s">
        <v>450</v>
      </c>
      <c r="B507" s="40">
        <v>26511</v>
      </c>
      <c r="C507" s="41" t="s">
        <v>784</v>
      </c>
      <c r="D507" s="30" t="e">
        <f>VLOOKUP(Table13[[#This Row],[kbli5]],Table1[[#All],[kbli5]:[digital_hijau]],3,)</f>
        <v>#N/A</v>
      </c>
      <c r="E507" s="53" t="e">
        <f>VLOOKUP(Table13[[#This Row],[kbli5]],kata_kunci!$B:$H,4,FALSE)</f>
        <v>#N/A</v>
      </c>
      <c r="F507" s="53" t="e">
        <f>VLOOKUP(Table13[[#This Row],[kbli5]],Table1[[#All],[kbli5]:[digital_hijau]],5,)</f>
        <v>#N/A</v>
      </c>
      <c r="G507" s="53" t="s">
        <v>2090</v>
      </c>
      <c r="H507" s="54" t="e">
        <f>VLOOKUP(Table13[[#This Row],[kbli5]],kata_kunci!$B:$H,3,FALSE)</f>
        <v>#N/A</v>
      </c>
      <c r="I507" s="84" t="e">
        <f>VLOOKUP(Table13[[#This Row],[kbli5]],kata_kunci!$B:$H,5,FALSE)</f>
        <v>#N/A</v>
      </c>
      <c r="J507" s="84" t="e">
        <f>VLOOKUP(Table13[[#This Row],[kbli5]],kata_kunci!$B:$H,6,FALSE)</f>
        <v>#N/A</v>
      </c>
      <c r="K507" s="84" t="e">
        <f>VLOOKUP(Table13[[#This Row],[kbli5]],kata_kunci!$B:$H,7,FALSE)</f>
        <v>#N/A</v>
      </c>
    </row>
    <row r="508" spans="1:11" ht="30.75" thickBot="1" x14ac:dyDescent="0.3">
      <c r="A508" s="53" t="s">
        <v>450</v>
      </c>
      <c r="B508" s="40">
        <v>26512</v>
      </c>
      <c r="C508" s="41" t="s">
        <v>785</v>
      </c>
      <c r="D508" s="30" t="e">
        <f>VLOOKUP(Table13[[#This Row],[kbli5]],Table1[[#All],[kbli5]:[digital_hijau]],3,)</f>
        <v>#N/A</v>
      </c>
      <c r="E508" s="53" t="e">
        <f>VLOOKUP(Table13[[#This Row],[kbli5]],kata_kunci!$B:$H,4,FALSE)</f>
        <v>#N/A</v>
      </c>
      <c r="F508" s="53" t="e">
        <f>VLOOKUP(Table13[[#This Row],[kbli5]],Table1[[#All],[kbli5]:[digital_hijau]],5,)</f>
        <v>#N/A</v>
      </c>
      <c r="G508" s="53" t="s">
        <v>2090</v>
      </c>
      <c r="H508" s="54" t="e">
        <f>VLOOKUP(Table13[[#This Row],[kbli5]],kata_kunci!$B:$H,3,FALSE)</f>
        <v>#N/A</v>
      </c>
      <c r="I508" s="84" t="e">
        <f>VLOOKUP(Table13[[#This Row],[kbli5]],kata_kunci!$B:$H,5,FALSE)</f>
        <v>#N/A</v>
      </c>
      <c r="J508" s="84" t="e">
        <f>VLOOKUP(Table13[[#This Row],[kbli5]],kata_kunci!$B:$H,6,FALSE)</f>
        <v>#N/A</v>
      </c>
      <c r="K508" s="84" t="e">
        <f>VLOOKUP(Table13[[#This Row],[kbli5]],kata_kunci!$B:$H,7,FALSE)</f>
        <v>#N/A</v>
      </c>
    </row>
    <row r="509" spans="1:11" ht="30.75" thickBot="1" x14ac:dyDescent="0.3">
      <c r="A509" s="53" t="s">
        <v>450</v>
      </c>
      <c r="B509" s="40">
        <v>26513</v>
      </c>
      <c r="C509" s="41" t="s">
        <v>786</v>
      </c>
      <c r="D509" s="30" t="e">
        <f>VLOOKUP(Table13[[#This Row],[kbli5]],Table1[[#All],[kbli5]:[digital_hijau]],3,)</f>
        <v>#N/A</v>
      </c>
      <c r="E509" s="53" t="e">
        <f>VLOOKUP(Table13[[#This Row],[kbli5]],kata_kunci!$B:$H,4,FALSE)</f>
        <v>#N/A</v>
      </c>
      <c r="F509" s="53" t="e">
        <f>VLOOKUP(Table13[[#This Row],[kbli5]],Table1[[#All],[kbli5]:[digital_hijau]],5,)</f>
        <v>#N/A</v>
      </c>
      <c r="G509" s="35" t="s">
        <v>2060</v>
      </c>
      <c r="H509" s="54" t="e">
        <f>VLOOKUP(Table13[[#This Row],[kbli5]],kata_kunci!$B:$H,3,FALSE)</f>
        <v>#N/A</v>
      </c>
      <c r="I509" s="84" t="e">
        <f>VLOOKUP(Table13[[#This Row],[kbli5]],kata_kunci!$B:$H,5,FALSE)</f>
        <v>#N/A</v>
      </c>
      <c r="J509" s="84" t="e">
        <f>VLOOKUP(Table13[[#This Row],[kbli5]],kata_kunci!$B:$H,6,FALSE)</f>
        <v>#N/A</v>
      </c>
      <c r="K509" s="84" t="e">
        <f>VLOOKUP(Table13[[#This Row],[kbli5]],kata_kunci!$B:$H,7,FALSE)</f>
        <v>#N/A</v>
      </c>
    </row>
    <row r="510" spans="1:11" ht="45.75" thickBot="1" x14ac:dyDescent="0.3">
      <c r="A510" s="53" t="s">
        <v>450</v>
      </c>
      <c r="B510" s="40">
        <v>26519</v>
      </c>
      <c r="C510" s="41" t="s">
        <v>787</v>
      </c>
      <c r="D510" s="30" t="e">
        <f>VLOOKUP(Table13[[#This Row],[kbli5]],Table1[[#All],[kbli5]:[digital_hijau]],3,)</f>
        <v>#N/A</v>
      </c>
      <c r="E510" s="53" t="e">
        <f>VLOOKUP(Table13[[#This Row],[kbli5]],kata_kunci!$B:$H,4,FALSE)</f>
        <v>#N/A</v>
      </c>
      <c r="F510" s="53" t="e">
        <f>VLOOKUP(Table13[[#This Row],[kbli5]],Table1[[#All],[kbli5]:[digital_hijau]],5,)</f>
        <v>#N/A</v>
      </c>
      <c r="G510" s="53" t="s">
        <v>2090</v>
      </c>
      <c r="H510" s="54" t="e">
        <f>VLOOKUP(Table13[[#This Row],[kbli5]],kata_kunci!$B:$H,3,FALSE)</f>
        <v>#N/A</v>
      </c>
      <c r="I510" s="84" t="e">
        <f>VLOOKUP(Table13[[#This Row],[kbli5]],kata_kunci!$B:$H,5,FALSE)</f>
        <v>#N/A</v>
      </c>
      <c r="J510" s="84" t="e">
        <f>VLOOKUP(Table13[[#This Row],[kbli5]],kata_kunci!$B:$H,6,FALSE)</f>
        <v>#N/A</v>
      </c>
      <c r="K510" s="84" t="e">
        <f>VLOOKUP(Table13[[#This Row],[kbli5]],kata_kunci!$B:$H,7,FALSE)</f>
        <v>#N/A</v>
      </c>
    </row>
    <row r="511" spans="1:11" ht="30.75" thickBot="1" x14ac:dyDescent="0.3">
      <c r="A511" s="53" t="s">
        <v>450</v>
      </c>
      <c r="B511" s="40">
        <v>26520</v>
      </c>
      <c r="C511" s="41" t="s">
        <v>788</v>
      </c>
      <c r="D511" s="30" t="e">
        <f>VLOOKUP(Table13[[#This Row],[kbli5]],Table1[[#All],[kbli5]:[digital_hijau]],3,)</f>
        <v>#N/A</v>
      </c>
      <c r="E511" s="53" t="e">
        <f>VLOOKUP(Table13[[#This Row],[kbli5]],kata_kunci!$B:$H,4,FALSE)</f>
        <v>#N/A</v>
      </c>
      <c r="F511" s="53" t="e">
        <f>VLOOKUP(Table13[[#This Row],[kbli5]],Table1[[#All],[kbli5]:[digital_hijau]],5,)</f>
        <v>#N/A</v>
      </c>
      <c r="G511" s="53" t="s">
        <v>2090</v>
      </c>
      <c r="H511" s="54" t="e">
        <f>VLOOKUP(Table13[[#This Row],[kbli5]],kata_kunci!$B:$H,3,FALSE)</f>
        <v>#N/A</v>
      </c>
      <c r="I511" s="84" t="e">
        <f>VLOOKUP(Table13[[#This Row],[kbli5]],kata_kunci!$B:$H,5,FALSE)</f>
        <v>#N/A</v>
      </c>
      <c r="J511" s="84" t="e">
        <f>VLOOKUP(Table13[[#This Row],[kbli5]],kata_kunci!$B:$H,6,FALSE)</f>
        <v>#N/A</v>
      </c>
      <c r="K511" s="84" t="e">
        <f>VLOOKUP(Table13[[#This Row],[kbli5]],kata_kunci!$B:$H,7,FALSE)</f>
        <v>#N/A</v>
      </c>
    </row>
    <row r="512" spans="1:11" ht="45.75" thickBot="1" x14ac:dyDescent="0.3">
      <c r="A512" s="53" t="s">
        <v>450</v>
      </c>
      <c r="B512" s="40">
        <v>26601</v>
      </c>
      <c r="C512" s="41" t="s">
        <v>789</v>
      </c>
      <c r="D512" s="30" t="e">
        <f>VLOOKUP(Table13[[#This Row],[kbli5]],Table1[[#All],[kbli5]:[digital_hijau]],3,)</f>
        <v>#N/A</v>
      </c>
      <c r="E512" s="53" t="e">
        <f>VLOOKUP(Table13[[#This Row],[kbli5]],kata_kunci!$B:$H,4,FALSE)</f>
        <v>#N/A</v>
      </c>
      <c r="F512" s="53" t="e">
        <f>VLOOKUP(Table13[[#This Row],[kbli5]],Table1[[#All],[kbli5]:[digital_hijau]],5,)</f>
        <v>#N/A</v>
      </c>
      <c r="G512" s="53" t="s">
        <v>2090</v>
      </c>
      <c r="H512" s="54" t="e">
        <f>VLOOKUP(Table13[[#This Row],[kbli5]],kata_kunci!$B:$H,3,FALSE)</f>
        <v>#N/A</v>
      </c>
      <c r="I512" s="84" t="e">
        <f>VLOOKUP(Table13[[#This Row],[kbli5]],kata_kunci!$B:$H,5,FALSE)</f>
        <v>#N/A</v>
      </c>
      <c r="J512" s="84" t="e">
        <f>VLOOKUP(Table13[[#This Row],[kbli5]],kata_kunci!$B:$H,6,FALSE)</f>
        <v>#N/A</v>
      </c>
      <c r="K512" s="84" t="e">
        <f>VLOOKUP(Table13[[#This Row],[kbli5]],kata_kunci!$B:$H,7,FALSE)</f>
        <v>#N/A</v>
      </c>
    </row>
    <row r="513" spans="1:11" ht="45.75" thickBot="1" x14ac:dyDescent="0.3">
      <c r="A513" s="53" t="s">
        <v>450</v>
      </c>
      <c r="B513" s="40">
        <v>26602</v>
      </c>
      <c r="C513" s="41" t="s">
        <v>790</v>
      </c>
      <c r="D513" s="30" t="e">
        <f>VLOOKUP(Table13[[#This Row],[kbli5]],Table1[[#All],[kbli5]:[digital_hijau]],3,)</f>
        <v>#N/A</v>
      </c>
      <c r="E513" s="53" t="e">
        <f>VLOOKUP(Table13[[#This Row],[kbli5]],kata_kunci!$B:$H,4,FALSE)</f>
        <v>#N/A</v>
      </c>
      <c r="F513" s="53" t="e">
        <f>VLOOKUP(Table13[[#This Row],[kbli5]],Table1[[#All],[kbli5]:[digital_hijau]],5,)</f>
        <v>#N/A</v>
      </c>
      <c r="G513" s="53" t="s">
        <v>2090</v>
      </c>
      <c r="H513" s="54" t="e">
        <f>VLOOKUP(Table13[[#This Row],[kbli5]],kata_kunci!$B:$H,3,FALSE)</f>
        <v>#N/A</v>
      </c>
      <c r="I513" s="84" t="e">
        <f>VLOOKUP(Table13[[#This Row],[kbli5]],kata_kunci!$B:$H,5,FALSE)</f>
        <v>#N/A</v>
      </c>
      <c r="J513" s="84" t="e">
        <f>VLOOKUP(Table13[[#This Row],[kbli5]],kata_kunci!$B:$H,6,FALSE)</f>
        <v>#N/A</v>
      </c>
      <c r="K513" s="84" t="e">
        <f>VLOOKUP(Table13[[#This Row],[kbli5]],kata_kunci!$B:$H,7,FALSE)</f>
        <v>#N/A</v>
      </c>
    </row>
    <row r="514" spans="1:11" ht="30.75" thickBot="1" x14ac:dyDescent="0.3">
      <c r="A514" s="53" t="s">
        <v>450</v>
      </c>
      <c r="B514" s="40">
        <v>26701</v>
      </c>
      <c r="C514" s="41" t="s">
        <v>791</v>
      </c>
      <c r="D514" s="30" t="e">
        <f>VLOOKUP(Table13[[#This Row],[kbli5]],Table1[[#All],[kbli5]:[digital_hijau]],3,)</f>
        <v>#N/A</v>
      </c>
      <c r="E514" s="53" t="e">
        <f>VLOOKUP(Table13[[#This Row],[kbli5]],kata_kunci!$B:$H,4,FALSE)</f>
        <v>#N/A</v>
      </c>
      <c r="F514" s="53" t="e">
        <f>VLOOKUP(Table13[[#This Row],[kbli5]],Table1[[#All],[kbli5]:[digital_hijau]],5,)</f>
        <v>#N/A</v>
      </c>
      <c r="G514" s="53" t="s">
        <v>2090</v>
      </c>
      <c r="H514" s="54" t="e">
        <f>VLOOKUP(Table13[[#This Row],[kbli5]],kata_kunci!$B:$H,3,FALSE)</f>
        <v>#N/A</v>
      </c>
      <c r="I514" s="84" t="e">
        <f>VLOOKUP(Table13[[#This Row],[kbli5]],kata_kunci!$B:$H,5,FALSE)</f>
        <v>#N/A</v>
      </c>
      <c r="J514" s="84" t="e">
        <f>VLOOKUP(Table13[[#This Row],[kbli5]],kata_kunci!$B:$H,6,FALSE)</f>
        <v>#N/A</v>
      </c>
      <c r="K514" s="84" t="e">
        <f>VLOOKUP(Table13[[#This Row],[kbli5]],kata_kunci!$B:$H,7,FALSE)</f>
        <v>#N/A</v>
      </c>
    </row>
    <row r="515" spans="1:11" ht="30.75" thickBot="1" x14ac:dyDescent="0.3">
      <c r="A515" s="53" t="s">
        <v>450</v>
      </c>
      <c r="B515" s="40">
        <v>26702</v>
      </c>
      <c r="C515" s="41" t="s">
        <v>792</v>
      </c>
      <c r="D515" s="30" t="e">
        <f>VLOOKUP(Table13[[#This Row],[kbli5]],Table1[[#All],[kbli5]:[digital_hijau]],3,)</f>
        <v>#N/A</v>
      </c>
      <c r="E515" s="53" t="e">
        <f>VLOOKUP(Table13[[#This Row],[kbli5]],kata_kunci!$B:$H,4,FALSE)</f>
        <v>#N/A</v>
      </c>
      <c r="F515" s="53" t="e">
        <f>VLOOKUP(Table13[[#This Row],[kbli5]],Table1[[#All],[kbli5]:[digital_hijau]],5,)</f>
        <v>#N/A</v>
      </c>
      <c r="G515" s="53" t="s">
        <v>2090</v>
      </c>
      <c r="H515" s="54" t="e">
        <f>VLOOKUP(Table13[[#This Row],[kbli5]],kata_kunci!$B:$H,3,FALSE)</f>
        <v>#N/A</v>
      </c>
      <c r="I515" s="84" t="e">
        <f>VLOOKUP(Table13[[#This Row],[kbli5]],kata_kunci!$B:$H,5,FALSE)</f>
        <v>#N/A</v>
      </c>
      <c r="J515" s="84" t="e">
        <f>VLOOKUP(Table13[[#This Row],[kbli5]],kata_kunci!$B:$H,6,FALSE)</f>
        <v>#N/A</v>
      </c>
      <c r="K515" s="84" t="e">
        <f>VLOOKUP(Table13[[#This Row],[kbli5]],kata_kunci!$B:$H,7,FALSE)</f>
        <v>#N/A</v>
      </c>
    </row>
    <row r="516" spans="1:11" ht="30.75" thickBot="1" x14ac:dyDescent="0.3">
      <c r="A516" s="53" t="s">
        <v>450</v>
      </c>
      <c r="B516" s="40">
        <v>26703</v>
      </c>
      <c r="C516" s="41" t="s">
        <v>793</v>
      </c>
      <c r="D516" s="30" t="e">
        <f>VLOOKUP(Table13[[#This Row],[kbli5]],Table1[[#All],[kbli5]:[digital_hijau]],3,)</f>
        <v>#N/A</v>
      </c>
      <c r="E516" s="53" t="e">
        <f>VLOOKUP(Table13[[#This Row],[kbli5]],kata_kunci!$B:$H,4,FALSE)</f>
        <v>#N/A</v>
      </c>
      <c r="F516" s="53" t="e">
        <f>VLOOKUP(Table13[[#This Row],[kbli5]],Table1[[#All],[kbli5]:[digital_hijau]],5,)</f>
        <v>#N/A</v>
      </c>
      <c r="G516" s="53" t="s">
        <v>2090</v>
      </c>
      <c r="H516" s="54" t="e">
        <f>VLOOKUP(Table13[[#This Row],[kbli5]],kata_kunci!$B:$H,3,FALSE)</f>
        <v>#N/A</v>
      </c>
      <c r="I516" s="84" t="e">
        <f>VLOOKUP(Table13[[#This Row],[kbli5]],kata_kunci!$B:$H,5,FALSE)</f>
        <v>#N/A</v>
      </c>
      <c r="J516" s="84" t="e">
        <f>VLOOKUP(Table13[[#This Row],[kbli5]],kata_kunci!$B:$H,6,FALSE)</f>
        <v>#N/A</v>
      </c>
      <c r="K516" s="84" t="e">
        <f>VLOOKUP(Table13[[#This Row],[kbli5]],kata_kunci!$B:$H,7,FALSE)</f>
        <v>#N/A</v>
      </c>
    </row>
    <row r="517" spans="1:11" ht="45.75" thickBot="1" x14ac:dyDescent="0.3">
      <c r="A517" s="53" t="s">
        <v>450</v>
      </c>
      <c r="B517" s="40">
        <v>26709</v>
      </c>
      <c r="C517" s="41" t="s">
        <v>794</v>
      </c>
      <c r="D517" s="30" t="e">
        <f>VLOOKUP(Table13[[#This Row],[kbli5]],Table1[[#All],[kbli5]:[digital_hijau]],3,)</f>
        <v>#N/A</v>
      </c>
      <c r="E517" s="53" t="e">
        <f>VLOOKUP(Table13[[#This Row],[kbli5]],kata_kunci!$B:$H,4,FALSE)</f>
        <v>#N/A</v>
      </c>
      <c r="F517" s="53" t="e">
        <f>VLOOKUP(Table13[[#This Row],[kbli5]],Table1[[#All],[kbli5]:[digital_hijau]],5,)</f>
        <v>#N/A</v>
      </c>
      <c r="G517" s="53" t="s">
        <v>2090</v>
      </c>
      <c r="H517" s="54" t="e">
        <f>VLOOKUP(Table13[[#This Row],[kbli5]],kata_kunci!$B:$H,3,FALSE)</f>
        <v>#N/A</v>
      </c>
      <c r="I517" s="84" t="e">
        <f>VLOOKUP(Table13[[#This Row],[kbli5]],kata_kunci!$B:$H,5,FALSE)</f>
        <v>#N/A</v>
      </c>
      <c r="J517" s="84" t="e">
        <f>VLOOKUP(Table13[[#This Row],[kbli5]],kata_kunci!$B:$H,6,FALSE)</f>
        <v>#N/A</v>
      </c>
      <c r="K517" s="84" t="e">
        <f>VLOOKUP(Table13[[#This Row],[kbli5]],kata_kunci!$B:$H,7,FALSE)</f>
        <v>#N/A</v>
      </c>
    </row>
    <row r="518" spans="1:11" ht="30.75" thickBot="1" x14ac:dyDescent="0.3">
      <c r="A518" s="53" t="s">
        <v>450</v>
      </c>
      <c r="B518" s="40">
        <v>26800</v>
      </c>
      <c r="C518" s="41" t="s">
        <v>795</v>
      </c>
      <c r="D518" s="30" t="e">
        <f>VLOOKUP(Table13[[#This Row],[kbli5]],Table1[[#All],[kbli5]:[digital_hijau]],3,)</f>
        <v>#N/A</v>
      </c>
      <c r="E518" s="53" t="e">
        <f>VLOOKUP(Table13[[#This Row],[kbli5]],kata_kunci!$B:$H,4,FALSE)</f>
        <v>#N/A</v>
      </c>
      <c r="F518" s="53" t="e">
        <f>VLOOKUP(Table13[[#This Row],[kbli5]],Table1[[#All],[kbli5]:[digital_hijau]],5,)</f>
        <v>#N/A</v>
      </c>
      <c r="G518" s="53" t="s">
        <v>2090</v>
      </c>
      <c r="H518" s="54" t="e">
        <f>VLOOKUP(Table13[[#This Row],[kbli5]],kata_kunci!$B:$H,3,FALSE)</f>
        <v>#N/A</v>
      </c>
      <c r="I518" s="84" t="e">
        <f>VLOOKUP(Table13[[#This Row],[kbli5]],kata_kunci!$B:$H,5,FALSE)</f>
        <v>#N/A</v>
      </c>
      <c r="J518" s="84" t="e">
        <f>VLOOKUP(Table13[[#This Row],[kbli5]],kata_kunci!$B:$H,6,FALSE)</f>
        <v>#N/A</v>
      </c>
      <c r="K518" s="84" t="e">
        <f>VLOOKUP(Table13[[#This Row],[kbli5]],kata_kunci!$B:$H,7,FALSE)</f>
        <v>#N/A</v>
      </c>
    </row>
    <row r="519" spans="1:11" ht="15.75" thickBot="1" x14ac:dyDescent="0.3">
      <c r="A519" s="53" t="s">
        <v>450</v>
      </c>
      <c r="B519" s="40">
        <v>27111</v>
      </c>
      <c r="C519" s="41" t="s">
        <v>796</v>
      </c>
      <c r="D519" s="30" t="e">
        <f>VLOOKUP(Table13[[#This Row],[kbli5]],Table1[[#All],[kbli5]:[digital_hijau]],3,)</f>
        <v>#N/A</v>
      </c>
      <c r="E519" s="53" t="e">
        <f>VLOOKUP(Table13[[#This Row],[kbli5]],kata_kunci!$B:$H,4,FALSE)</f>
        <v>#N/A</v>
      </c>
      <c r="F519" s="53" t="e">
        <f>VLOOKUP(Table13[[#This Row],[kbli5]],Table1[[#All],[kbli5]:[digital_hijau]],5,)</f>
        <v>#N/A</v>
      </c>
      <c r="G519" s="53" t="s">
        <v>2090</v>
      </c>
      <c r="H519" s="54" t="e">
        <f>VLOOKUP(Table13[[#This Row],[kbli5]],kata_kunci!$B:$H,3,FALSE)</f>
        <v>#N/A</v>
      </c>
      <c r="I519" s="84" t="e">
        <f>VLOOKUP(Table13[[#This Row],[kbli5]],kata_kunci!$B:$H,5,FALSE)</f>
        <v>#N/A</v>
      </c>
      <c r="J519" s="84" t="e">
        <f>VLOOKUP(Table13[[#This Row],[kbli5]],kata_kunci!$B:$H,6,FALSE)</f>
        <v>#N/A</v>
      </c>
      <c r="K519" s="84" t="e">
        <f>VLOOKUP(Table13[[#This Row],[kbli5]],kata_kunci!$B:$H,7,FALSE)</f>
        <v>#N/A</v>
      </c>
    </row>
    <row r="520" spans="1:11" ht="30.75" thickBot="1" x14ac:dyDescent="0.3">
      <c r="A520" s="53" t="s">
        <v>450</v>
      </c>
      <c r="B520" s="40">
        <v>27112</v>
      </c>
      <c r="C520" s="41" t="s">
        <v>797</v>
      </c>
      <c r="D520" s="30" t="e">
        <f>VLOOKUP(Table13[[#This Row],[kbli5]],Table1[[#All],[kbli5]:[digital_hijau]],3,)</f>
        <v>#N/A</v>
      </c>
      <c r="E520" s="53" t="e">
        <f>VLOOKUP(Table13[[#This Row],[kbli5]],kata_kunci!$B:$H,4,FALSE)</f>
        <v>#N/A</v>
      </c>
      <c r="F520" s="53" t="e">
        <f>VLOOKUP(Table13[[#This Row],[kbli5]],Table1[[#All],[kbli5]:[digital_hijau]],5,)</f>
        <v>#N/A</v>
      </c>
      <c r="G520" s="53" t="s">
        <v>2090</v>
      </c>
      <c r="H520" s="54" t="e">
        <f>VLOOKUP(Table13[[#This Row],[kbli5]],kata_kunci!$B:$H,3,FALSE)</f>
        <v>#N/A</v>
      </c>
      <c r="I520" s="84" t="e">
        <f>VLOOKUP(Table13[[#This Row],[kbli5]],kata_kunci!$B:$H,5,FALSE)</f>
        <v>#N/A</v>
      </c>
      <c r="J520" s="84" t="e">
        <f>VLOOKUP(Table13[[#This Row],[kbli5]],kata_kunci!$B:$H,6,FALSE)</f>
        <v>#N/A</v>
      </c>
      <c r="K520" s="84" t="e">
        <f>VLOOKUP(Table13[[#This Row],[kbli5]],kata_kunci!$B:$H,7,FALSE)</f>
        <v>#N/A</v>
      </c>
    </row>
    <row r="521" spans="1:11" ht="45.75" thickBot="1" x14ac:dyDescent="0.3">
      <c r="A521" s="53" t="s">
        <v>450</v>
      </c>
      <c r="B521" s="40">
        <v>27113</v>
      </c>
      <c r="C521" s="41" t="s">
        <v>798</v>
      </c>
      <c r="D521" s="30" t="e">
        <f>VLOOKUP(Table13[[#This Row],[kbli5]],Table1[[#All],[kbli5]:[digital_hijau]],3,)</f>
        <v>#N/A</v>
      </c>
      <c r="E521" s="53" t="e">
        <f>VLOOKUP(Table13[[#This Row],[kbli5]],kata_kunci!$B:$H,4,FALSE)</f>
        <v>#N/A</v>
      </c>
      <c r="F521" s="53" t="e">
        <f>VLOOKUP(Table13[[#This Row],[kbli5]],Table1[[#All],[kbli5]:[digital_hijau]],5,)</f>
        <v>#N/A</v>
      </c>
      <c r="G521" s="53" t="s">
        <v>2090</v>
      </c>
      <c r="H521" s="54" t="e">
        <f>VLOOKUP(Table13[[#This Row],[kbli5]],kata_kunci!$B:$H,3,FALSE)</f>
        <v>#N/A</v>
      </c>
      <c r="I521" s="84" t="e">
        <f>VLOOKUP(Table13[[#This Row],[kbli5]],kata_kunci!$B:$H,5,FALSE)</f>
        <v>#N/A</v>
      </c>
      <c r="J521" s="84" t="e">
        <f>VLOOKUP(Table13[[#This Row],[kbli5]],kata_kunci!$B:$H,6,FALSE)</f>
        <v>#N/A</v>
      </c>
      <c r="K521" s="84" t="e">
        <f>VLOOKUP(Table13[[#This Row],[kbli5]],kata_kunci!$B:$H,7,FALSE)</f>
        <v>#N/A</v>
      </c>
    </row>
    <row r="522" spans="1:11" ht="45.75" thickBot="1" x14ac:dyDescent="0.3">
      <c r="A522" s="53" t="s">
        <v>450</v>
      </c>
      <c r="B522" s="40">
        <v>27120</v>
      </c>
      <c r="C522" s="41" t="s">
        <v>799</v>
      </c>
      <c r="D522" s="30" t="e">
        <f>VLOOKUP(Table13[[#This Row],[kbli5]],Table1[[#All],[kbli5]:[digital_hijau]],3,)</f>
        <v>#N/A</v>
      </c>
      <c r="E522" s="53" t="e">
        <f>VLOOKUP(Table13[[#This Row],[kbli5]],kata_kunci!$B:$H,4,FALSE)</f>
        <v>#N/A</v>
      </c>
      <c r="F522" s="53" t="e">
        <f>VLOOKUP(Table13[[#This Row],[kbli5]],Table1[[#All],[kbli5]:[digital_hijau]],5,)</f>
        <v>#N/A</v>
      </c>
      <c r="G522" s="53" t="s">
        <v>2090</v>
      </c>
      <c r="H522" s="54" t="e">
        <f>VLOOKUP(Table13[[#This Row],[kbli5]],kata_kunci!$B:$H,3,FALSE)</f>
        <v>#N/A</v>
      </c>
      <c r="I522" s="84" t="e">
        <f>VLOOKUP(Table13[[#This Row],[kbli5]],kata_kunci!$B:$H,5,FALSE)</f>
        <v>#N/A</v>
      </c>
      <c r="J522" s="84" t="e">
        <f>VLOOKUP(Table13[[#This Row],[kbli5]],kata_kunci!$B:$H,6,FALSE)</f>
        <v>#N/A</v>
      </c>
      <c r="K522" s="84" t="e">
        <f>VLOOKUP(Table13[[#This Row],[kbli5]],kata_kunci!$B:$H,7,FALSE)</f>
        <v>#N/A</v>
      </c>
    </row>
    <row r="523" spans="1:11" ht="15.75" thickBot="1" x14ac:dyDescent="0.3">
      <c r="A523" s="53" t="s">
        <v>450</v>
      </c>
      <c r="B523" s="40">
        <v>27201</v>
      </c>
      <c r="C523" s="41" t="s">
        <v>800</v>
      </c>
      <c r="D523" s="30" t="e">
        <f>VLOOKUP(Table13[[#This Row],[kbli5]],Table1[[#All],[kbli5]:[digital_hijau]],3,)</f>
        <v>#N/A</v>
      </c>
      <c r="E523" s="53" t="e">
        <f>VLOOKUP(Table13[[#This Row],[kbli5]],kata_kunci!$B:$H,4,FALSE)</f>
        <v>#N/A</v>
      </c>
      <c r="F523" s="53" t="e">
        <f>VLOOKUP(Table13[[#This Row],[kbli5]],Table1[[#All],[kbli5]:[digital_hijau]],5,)</f>
        <v>#N/A</v>
      </c>
      <c r="G523" s="53" t="s">
        <v>2090</v>
      </c>
      <c r="H523" s="54" t="e">
        <f>VLOOKUP(Table13[[#This Row],[kbli5]],kata_kunci!$B:$H,3,FALSE)</f>
        <v>#N/A</v>
      </c>
      <c r="I523" s="84" t="e">
        <f>VLOOKUP(Table13[[#This Row],[kbli5]],kata_kunci!$B:$H,5,FALSE)</f>
        <v>#N/A</v>
      </c>
      <c r="J523" s="84" t="e">
        <f>VLOOKUP(Table13[[#This Row],[kbli5]],kata_kunci!$B:$H,6,FALSE)</f>
        <v>#N/A</v>
      </c>
      <c r="K523" s="84" t="e">
        <f>VLOOKUP(Table13[[#This Row],[kbli5]],kata_kunci!$B:$H,7,FALSE)</f>
        <v>#N/A</v>
      </c>
    </row>
    <row r="524" spans="1:11" ht="30.75" thickBot="1" x14ac:dyDescent="0.3">
      <c r="A524" s="53" t="s">
        <v>450</v>
      </c>
      <c r="B524" s="40">
        <v>27202</v>
      </c>
      <c r="C524" s="41" t="s">
        <v>801</v>
      </c>
      <c r="D524" s="30" t="e">
        <f>VLOOKUP(Table13[[#This Row],[kbli5]],Table1[[#All],[kbli5]:[digital_hijau]],3,)</f>
        <v>#N/A</v>
      </c>
      <c r="E524" s="53" t="e">
        <f>VLOOKUP(Table13[[#This Row],[kbli5]],kata_kunci!$B:$H,4,FALSE)</f>
        <v>#N/A</v>
      </c>
      <c r="F524" s="53" t="e">
        <f>VLOOKUP(Table13[[#This Row],[kbli5]],Table1[[#All],[kbli5]:[digital_hijau]],5,)</f>
        <v>#N/A</v>
      </c>
      <c r="G524" s="53" t="s">
        <v>2090</v>
      </c>
      <c r="H524" s="54" t="e">
        <f>VLOOKUP(Table13[[#This Row],[kbli5]],kata_kunci!$B:$H,3,FALSE)</f>
        <v>#N/A</v>
      </c>
      <c r="I524" s="84" t="e">
        <f>VLOOKUP(Table13[[#This Row],[kbli5]],kata_kunci!$B:$H,5,FALSE)</f>
        <v>#N/A</v>
      </c>
      <c r="J524" s="84" t="e">
        <f>VLOOKUP(Table13[[#This Row],[kbli5]],kata_kunci!$B:$H,6,FALSE)</f>
        <v>#N/A</v>
      </c>
      <c r="K524" s="84" t="e">
        <f>VLOOKUP(Table13[[#This Row],[kbli5]],kata_kunci!$B:$H,7,FALSE)</f>
        <v>#N/A</v>
      </c>
    </row>
    <row r="525" spans="1:11" ht="30.75" thickBot="1" x14ac:dyDescent="0.3">
      <c r="A525" s="53" t="s">
        <v>450</v>
      </c>
      <c r="B525" s="40">
        <v>27203</v>
      </c>
      <c r="C525" s="41" t="s">
        <v>802</v>
      </c>
      <c r="D525" s="30" t="e">
        <f>VLOOKUP(Table13[[#This Row],[kbli5]],Table1[[#All],[kbli5]:[digital_hijau]],3,)</f>
        <v>#N/A</v>
      </c>
      <c r="E525" s="53" t="e">
        <f>VLOOKUP(Table13[[#This Row],[kbli5]],kata_kunci!$B:$H,4,FALSE)</f>
        <v>#N/A</v>
      </c>
      <c r="F525" s="53" t="e">
        <f>VLOOKUP(Table13[[#This Row],[kbli5]],Table1[[#All],[kbli5]:[digital_hijau]],5,)</f>
        <v>#N/A</v>
      </c>
      <c r="G525" s="53" t="s">
        <v>2090</v>
      </c>
      <c r="H525" s="54" t="e">
        <f>VLOOKUP(Table13[[#This Row],[kbli5]],kata_kunci!$B:$H,3,FALSE)</f>
        <v>#N/A</v>
      </c>
      <c r="I525" s="84" t="e">
        <f>VLOOKUP(Table13[[#This Row],[kbli5]],kata_kunci!$B:$H,5,FALSE)</f>
        <v>#N/A</v>
      </c>
      <c r="J525" s="84" t="e">
        <f>VLOOKUP(Table13[[#This Row],[kbli5]],kata_kunci!$B:$H,6,FALSE)</f>
        <v>#N/A</v>
      </c>
      <c r="K525" s="84" t="e">
        <f>VLOOKUP(Table13[[#This Row],[kbli5]],kata_kunci!$B:$H,7,FALSE)</f>
        <v>#N/A</v>
      </c>
    </row>
    <row r="526" spans="1:11" ht="30.75" thickBot="1" x14ac:dyDescent="0.3">
      <c r="A526" s="53" t="s">
        <v>450</v>
      </c>
      <c r="B526" s="40">
        <v>27310</v>
      </c>
      <c r="C526" s="41" t="s">
        <v>803</v>
      </c>
      <c r="D526" s="30" t="e">
        <f>VLOOKUP(Table13[[#This Row],[kbli5]],Table1[[#All],[kbli5]:[digital_hijau]],3,)</f>
        <v>#N/A</v>
      </c>
      <c r="E526" s="53" t="e">
        <f>VLOOKUP(Table13[[#This Row],[kbli5]],kata_kunci!$B:$H,4,FALSE)</f>
        <v>#N/A</v>
      </c>
      <c r="F526" s="53" t="e">
        <f>VLOOKUP(Table13[[#This Row],[kbli5]],Table1[[#All],[kbli5]:[digital_hijau]],5,)</f>
        <v>#N/A</v>
      </c>
      <c r="G526" s="53" t="s">
        <v>2090</v>
      </c>
      <c r="H526" s="54" t="e">
        <f>VLOOKUP(Table13[[#This Row],[kbli5]],kata_kunci!$B:$H,3,FALSE)</f>
        <v>#N/A</v>
      </c>
      <c r="I526" s="84" t="e">
        <f>VLOOKUP(Table13[[#This Row],[kbli5]],kata_kunci!$B:$H,5,FALSE)</f>
        <v>#N/A</v>
      </c>
      <c r="J526" s="84" t="e">
        <f>VLOOKUP(Table13[[#This Row],[kbli5]],kata_kunci!$B:$H,6,FALSE)</f>
        <v>#N/A</v>
      </c>
      <c r="K526" s="84" t="e">
        <f>VLOOKUP(Table13[[#This Row],[kbli5]],kata_kunci!$B:$H,7,FALSE)</f>
        <v>#N/A</v>
      </c>
    </row>
    <row r="527" spans="1:11" ht="45.75" thickBot="1" x14ac:dyDescent="0.3">
      <c r="A527" s="53" t="s">
        <v>450</v>
      </c>
      <c r="B527" s="40">
        <v>27320</v>
      </c>
      <c r="C527" s="41" t="s">
        <v>804</v>
      </c>
      <c r="D527" s="30" t="e">
        <f>VLOOKUP(Table13[[#This Row],[kbli5]],Table1[[#All],[kbli5]:[digital_hijau]],3,)</f>
        <v>#N/A</v>
      </c>
      <c r="E527" s="53" t="e">
        <f>VLOOKUP(Table13[[#This Row],[kbli5]],kata_kunci!$B:$H,4,FALSE)</f>
        <v>#N/A</v>
      </c>
      <c r="F527" s="53" t="e">
        <f>VLOOKUP(Table13[[#This Row],[kbli5]],Table1[[#All],[kbli5]:[digital_hijau]],5,)</f>
        <v>#N/A</v>
      </c>
      <c r="G527" s="53" t="s">
        <v>2090</v>
      </c>
      <c r="H527" s="54" t="e">
        <f>VLOOKUP(Table13[[#This Row],[kbli5]],kata_kunci!$B:$H,3,FALSE)</f>
        <v>#N/A</v>
      </c>
      <c r="I527" s="84" t="e">
        <f>VLOOKUP(Table13[[#This Row],[kbli5]],kata_kunci!$B:$H,5,FALSE)</f>
        <v>#N/A</v>
      </c>
      <c r="J527" s="84" t="e">
        <f>VLOOKUP(Table13[[#This Row],[kbli5]],kata_kunci!$B:$H,6,FALSE)</f>
        <v>#N/A</v>
      </c>
      <c r="K527" s="84" t="e">
        <f>VLOOKUP(Table13[[#This Row],[kbli5]],kata_kunci!$B:$H,7,FALSE)</f>
        <v>#N/A</v>
      </c>
    </row>
    <row r="528" spans="1:11" ht="30.75" thickBot="1" x14ac:dyDescent="0.3">
      <c r="A528" s="53" t="s">
        <v>450</v>
      </c>
      <c r="B528" s="40">
        <v>27330</v>
      </c>
      <c r="C528" s="41" t="s">
        <v>805</v>
      </c>
      <c r="D528" s="30" t="e">
        <f>VLOOKUP(Table13[[#This Row],[kbli5]],Table1[[#All],[kbli5]:[digital_hijau]],3,)</f>
        <v>#N/A</v>
      </c>
      <c r="E528" s="53" t="e">
        <f>VLOOKUP(Table13[[#This Row],[kbli5]],kata_kunci!$B:$H,4,FALSE)</f>
        <v>#N/A</v>
      </c>
      <c r="F528" s="53" t="e">
        <f>VLOOKUP(Table13[[#This Row],[kbli5]],Table1[[#All],[kbli5]:[digital_hijau]],5,)</f>
        <v>#N/A</v>
      </c>
      <c r="G528" s="53" t="s">
        <v>2090</v>
      </c>
      <c r="H528" s="54" t="e">
        <f>VLOOKUP(Table13[[#This Row],[kbli5]],kata_kunci!$B:$H,3,FALSE)</f>
        <v>#N/A</v>
      </c>
      <c r="I528" s="84" t="e">
        <f>VLOOKUP(Table13[[#This Row],[kbli5]],kata_kunci!$B:$H,5,FALSE)</f>
        <v>#N/A</v>
      </c>
      <c r="J528" s="84" t="e">
        <f>VLOOKUP(Table13[[#This Row],[kbli5]],kata_kunci!$B:$H,6,FALSE)</f>
        <v>#N/A</v>
      </c>
      <c r="K528" s="84" t="e">
        <f>VLOOKUP(Table13[[#This Row],[kbli5]],kata_kunci!$B:$H,7,FALSE)</f>
        <v>#N/A</v>
      </c>
    </row>
    <row r="529" spans="1:11" ht="45.75" thickBot="1" x14ac:dyDescent="0.3">
      <c r="A529" s="53" t="s">
        <v>450</v>
      </c>
      <c r="B529" s="40">
        <v>27401</v>
      </c>
      <c r="C529" s="41" t="s">
        <v>806</v>
      </c>
      <c r="D529" s="30" t="e">
        <f>VLOOKUP(Table13[[#This Row],[kbli5]],Table1[[#All],[kbli5]:[digital_hijau]],3,)</f>
        <v>#N/A</v>
      </c>
      <c r="E529" s="53" t="e">
        <f>VLOOKUP(Table13[[#This Row],[kbli5]],kata_kunci!$B:$H,4,FALSE)</f>
        <v>#N/A</v>
      </c>
      <c r="F529" s="53" t="e">
        <f>VLOOKUP(Table13[[#This Row],[kbli5]],Table1[[#All],[kbli5]:[digital_hijau]],5,)</f>
        <v>#N/A</v>
      </c>
      <c r="G529" s="53" t="s">
        <v>2090</v>
      </c>
      <c r="H529" s="54" t="e">
        <f>VLOOKUP(Table13[[#This Row],[kbli5]],kata_kunci!$B:$H,3,FALSE)</f>
        <v>#N/A</v>
      </c>
      <c r="I529" s="84" t="e">
        <f>VLOOKUP(Table13[[#This Row],[kbli5]],kata_kunci!$B:$H,5,FALSE)</f>
        <v>#N/A</v>
      </c>
      <c r="J529" s="84" t="e">
        <f>VLOOKUP(Table13[[#This Row],[kbli5]],kata_kunci!$B:$H,6,FALSE)</f>
        <v>#N/A</v>
      </c>
      <c r="K529" s="84" t="e">
        <f>VLOOKUP(Table13[[#This Row],[kbli5]],kata_kunci!$B:$H,7,FALSE)</f>
        <v>#N/A</v>
      </c>
    </row>
    <row r="530" spans="1:11" ht="30.75" thickBot="1" x14ac:dyDescent="0.3">
      <c r="A530" s="53" t="s">
        <v>450</v>
      </c>
      <c r="B530" s="40">
        <v>27402</v>
      </c>
      <c r="C530" s="41" t="s">
        <v>807</v>
      </c>
      <c r="D530" s="30" t="e">
        <f>VLOOKUP(Table13[[#This Row],[kbli5]],Table1[[#All],[kbli5]:[digital_hijau]],3,)</f>
        <v>#N/A</v>
      </c>
      <c r="E530" s="53" t="e">
        <f>VLOOKUP(Table13[[#This Row],[kbli5]],kata_kunci!$B:$H,4,FALSE)</f>
        <v>#N/A</v>
      </c>
      <c r="F530" s="53" t="e">
        <f>VLOOKUP(Table13[[#This Row],[kbli5]],Table1[[#All],[kbli5]:[digital_hijau]],5,)</f>
        <v>#N/A</v>
      </c>
      <c r="G530" s="53" t="s">
        <v>2090</v>
      </c>
      <c r="H530" s="54" t="e">
        <f>VLOOKUP(Table13[[#This Row],[kbli5]],kata_kunci!$B:$H,3,FALSE)</f>
        <v>#N/A</v>
      </c>
      <c r="I530" s="84" t="e">
        <f>VLOOKUP(Table13[[#This Row],[kbli5]],kata_kunci!$B:$H,5,FALSE)</f>
        <v>#N/A</v>
      </c>
      <c r="J530" s="84" t="e">
        <f>VLOOKUP(Table13[[#This Row],[kbli5]],kata_kunci!$B:$H,6,FALSE)</f>
        <v>#N/A</v>
      </c>
      <c r="K530" s="84" t="e">
        <f>VLOOKUP(Table13[[#This Row],[kbli5]],kata_kunci!$B:$H,7,FALSE)</f>
        <v>#N/A</v>
      </c>
    </row>
    <row r="531" spans="1:11" ht="45.75" thickBot="1" x14ac:dyDescent="0.3">
      <c r="A531" s="53" t="s">
        <v>450</v>
      </c>
      <c r="B531" s="40">
        <v>27403</v>
      </c>
      <c r="C531" s="41" t="s">
        <v>808</v>
      </c>
      <c r="D531" s="30" t="e">
        <f>VLOOKUP(Table13[[#This Row],[kbli5]],Table1[[#All],[kbli5]:[digital_hijau]],3,)</f>
        <v>#N/A</v>
      </c>
      <c r="E531" s="53" t="e">
        <f>VLOOKUP(Table13[[#This Row],[kbli5]],kata_kunci!$B:$H,4,FALSE)</f>
        <v>#N/A</v>
      </c>
      <c r="F531" s="53" t="e">
        <f>VLOOKUP(Table13[[#This Row],[kbli5]],Table1[[#All],[kbli5]:[digital_hijau]],5,)</f>
        <v>#N/A</v>
      </c>
      <c r="G531" s="53" t="s">
        <v>2090</v>
      </c>
      <c r="H531" s="54" t="e">
        <f>VLOOKUP(Table13[[#This Row],[kbli5]],kata_kunci!$B:$H,3,FALSE)</f>
        <v>#N/A</v>
      </c>
      <c r="I531" s="84" t="e">
        <f>VLOOKUP(Table13[[#This Row],[kbli5]],kata_kunci!$B:$H,5,FALSE)</f>
        <v>#N/A</v>
      </c>
      <c r="J531" s="84" t="e">
        <f>VLOOKUP(Table13[[#This Row],[kbli5]],kata_kunci!$B:$H,6,FALSE)</f>
        <v>#N/A</v>
      </c>
      <c r="K531" s="84" t="e">
        <f>VLOOKUP(Table13[[#This Row],[kbli5]],kata_kunci!$B:$H,7,FALSE)</f>
        <v>#N/A</v>
      </c>
    </row>
    <row r="532" spans="1:11" ht="15.75" thickBot="1" x14ac:dyDescent="0.3">
      <c r="A532" s="53" t="s">
        <v>450</v>
      </c>
      <c r="B532" s="40">
        <v>27404</v>
      </c>
      <c r="C532" s="41" t="s">
        <v>809</v>
      </c>
      <c r="D532" s="30" t="e">
        <f>VLOOKUP(Table13[[#This Row],[kbli5]],Table1[[#All],[kbli5]:[digital_hijau]],3,)</f>
        <v>#N/A</v>
      </c>
      <c r="E532" s="53" t="e">
        <f>VLOOKUP(Table13[[#This Row],[kbli5]],kata_kunci!$B:$H,4,FALSE)</f>
        <v>#N/A</v>
      </c>
      <c r="F532" s="53" t="e">
        <f>VLOOKUP(Table13[[#This Row],[kbli5]],Table1[[#All],[kbli5]:[digital_hijau]],5,)</f>
        <v>#N/A</v>
      </c>
      <c r="G532" s="53" t="s">
        <v>2090</v>
      </c>
      <c r="H532" s="54" t="e">
        <f>VLOOKUP(Table13[[#This Row],[kbli5]],kata_kunci!$B:$H,3,FALSE)</f>
        <v>#N/A</v>
      </c>
      <c r="I532" s="84" t="e">
        <f>VLOOKUP(Table13[[#This Row],[kbli5]],kata_kunci!$B:$H,5,FALSE)</f>
        <v>#N/A</v>
      </c>
      <c r="J532" s="84" t="e">
        <f>VLOOKUP(Table13[[#This Row],[kbli5]],kata_kunci!$B:$H,6,FALSE)</f>
        <v>#N/A</v>
      </c>
      <c r="K532" s="84" t="e">
        <f>VLOOKUP(Table13[[#This Row],[kbli5]],kata_kunci!$B:$H,7,FALSE)</f>
        <v>#N/A</v>
      </c>
    </row>
    <row r="533" spans="1:11" ht="30.75" thickBot="1" x14ac:dyDescent="0.3">
      <c r="A533" s="53" t="s">
        <v>450</v>
      </c>
      <c r="B533" s="40">
        <v>27409</v>
      </c>
      <c r="C533" s="41" t="s">
        <v>810</v>
      </c>
      <c r="D533" s="30" t="e">
        <f>VLOOKUP(Table13[[#This Row],[kbli5]],Table1[[#All],[kbli5]:[digital_hijau]],3,)</f>
        <v>#N/A</v>
      </c>
      <c r="E533" s="53" t="e">
        <f>VLOOKUP(Table13[[#This Row],[kbli5]],kata_kunci!$B:$H,4,FALSE)</f>
        <v>#N/A</v>
      </c>
      <c r="F533" s="53" t="e">
        <f>VLOOKUP(Table13[[#This Row],[kbli5]],Table1[[#All],[kbli5]:[digital_hijau]],5,)</f>
        <v>#N/A</v>
      </c>
      <c r="G533" s="53" t="s">
        <v>2090</v>
      </c>
      <c r="H533" s="54" t="e">
        <f>VLOOKUP(Table13[[#This Row],[kbli5]],kata_kunci!$B:$H,3,FALSE)</f>
        <v>#N/A</v>
      </c>
      <c r="I533" s="84" t="e">
        <f>VLOOKUP(Table13[[#This Row],[kbli5]],kata_kunci!$B:$H,5,FALSE)</f>
        <v>#N/A</v>
      </c>
      <c r="J533" s="84" t="e">
        <f>VLOOKUP(Table13[[#This Row],[kbli5]],kata_kunci!$B:$H,6,FALSE)</f>
        <v>#N/A</v>
      </c>
      <c r="K533" s="84" t="e">
        <f>VLOOKUP(Table13[[#This Row],[kbli5]],kata_kunci!$B:$H,7,FALSE)</f>
        <v>#N/A</v>
      </c>
    </row>
    <row r="534" spans="1:11" ht="30.75" thickBot="1" x14ac:dyDescent="0.3">
      <c r="A534" s="53" t="s">
        <v>450</v>
      </c>
      <c r="B534" s="40">
        <v>27510</v>
      </c>
      <c r="C534" s="41" t="s">
        <v>811</v>
      </c>
      <c r="D534" s="30" t="e">
        <f>VLOOKUP(Table13[[#This Row],[kbli5]],Table1[[#All],[kbli5]:[digital_hijau]],3,)</f>
        <v>#N/A</v>
      </c>
      <c r="E534" s="53" t="e">
        <f>VLOOKUP(Table13[[#This Row],[kbli5]],kata_kunci!$B:$H,4,FALSE)</f>
        <v>#N/A</v>
      </c>
      <c r="F534" s="53" t="e">
        <f>VLOOKUP(Table13[[#This Row],[kbli5]],Table1[[#All],[kbli5]:[digital_hijau]],5,)</f>
        <v>#N/A</v>
      </c>
      <c r="G534" s="35" t="s">
        <v>2060</v>
      </c>
      <c r="H534" s="54" t="e">
        <f>VLOOKUP(Table13[[#This Row],[kbli5]],kata_kunci!$B:$H,3,FALSE)</f>
        <v>#N/A</v>
      </c>
      <c r="I534" s="84" t="e">
        <f>VLOOKUP(Table13[[#This Row],[kbli5]],kata_kunci!$B:$H,5,FALSE)</f>
        <v>#N/A</v>
      </c>
      <c r="J534" s="84" t="e">
        <f>VLOOKUP(Table13[[#This Row],[kbli5]],kata_kunci!$B:$H,6,FALSE)</f>
        <v>#N/A</v>
      </c>
      <c r="K534" s="84" t="e">
        <f>VLOOKUP(Table13[[#This Row],[kbli5]],kata_kunci!$B:$H,7,FALSE)</f>
        <v>#N/A</v>
      </c>
    </row>
    <row r="535" spans="1:11" ht="45.75" thickBot="1" x14ac:dyDescent="0.3">
      <c r="A535" s="53" t="s">
        <v>450</v>
      </c>
      <c r="B535" s="40">
        <v>27520</v>
      </c>
      <c r="C535" s="41" t="s">
        <v>812</v>
      </c>
      <c r="D535" s="30" t="e">
        <f>VLOOKUP(Table13[[#This Row],[kbli5]],Table1[[#All],[kbli5]:[digital_hijau]],3,)</f>
        <v>#N/A</v>
      </c>
      <c r="E535" s="53" t="e">
        <f>VLOOKUP(Table13[[#This Row],[kbli5]],kata_kunci!$B:$H,4,FALSE)</f>
        <v>#N/A</v>
      </c>
      <c r="F535" s="53" t="e">
        <f>VLOOKUP(Table13[[#This Row],[kbli5]],Table1[[#All],[kbli5]:[digital_hijau]],5,)</f>
        <v>#N/A</v>
      </c>
      <c r="G535" s="53" t="s">
        <v>2090</v>
      </c>
      <c r="H535" s="54" t="e">
        <f>VLOOKUP(Table13[[#This Row],[kbli5]],kata_kunci!$B:$H,3,FALSE)</f>
        <v>#N/A</v>
      </c>
      <c r="I535" s="84" t="e">
        <f>VLOOKUP(Table13[[#This Row],[kbli5]],kata_kunci!$B:$H,5,FALSE)</f>
        <v>#N/A</v>
      </c>
      <c r="J535" s="84" t="e">
        <f>VLOOKUP(Table13[[#This Row],[kbli5]],kata_kunci!$B:$H,6,FALSE)</f>
        <v>#N/A</v>
      </c>
      <c r="K535" s="84" t="e">
        <f>VLOOKUP(Table13[[#This Row],[kbli5]],kata_kunci!$B:$H,7,FALSE)</f>
        <v>#N/A</v>
      </c>
    </row>
    <row r="536" spans="1:11" ht="45.75" thickBot="1" x14ac:dyDescent="0.3">
      <c r="A536" s="53" t="s">
        <v>450</v>
      </c>
      <c r="B536" s="40">
        <v>27530</v>
      </c>
      <c r="C536" s="41" t="s">
        <v>813</v>
      </c>
      <c r="D536" s="30" t="e">
        <f>VLOOKUP(Table13[[#This Row],[kbli5]],Table1[[#All],[kbli5]:[digital_hijau]],3,)</f>
        <v>#N/A</v>
      </c>
      <c r="E536" s="53" t="e">
        <f>VLOOKUP(Table13[[#This Row],[kbli5]],kata_kunci!$B:$H,4,FALSE)</f>
        <v>#N/A</v>
      </c>
      <c r="F536" s="53" t="e">
        <f>VLOOKUP(Table13[[#This Row],[kbli5]],Table1[[#All],[kbli5]:[digital_hijau]],5,)</f>
        <v>#N/A</v>
      </c>
      <c r="G536" s="53" t="s">
        <v>2090</v>
      </c>
      <c r="H536" s="54" t="e">
        <f>VLOOKUP(Table13[[#This Row],[kbli5]],kata_kunci!$B:$H,3,FALSE)</f>
        <v>#N/A</v>
      </c>
      <c r="I536" s="84" t="e">
        <f>VLOOKUP(Table13[[#This Row],[kbli5]],kata_kunci!$B:$H,5,FALSE)</f>
        <v>#N/A</v>
      </c>
      <c r="J536" s="84" t="e">
        <f>VLOOKUP(Table13[[#This Row],[kbli5]],kata_kunci!$B:$H,6,FALSE)</f>
        <v>#N/A</v>
      </c>
      <c r="K536" s="84" t="e">
        <f>VLOOKUP(Table13[[#This Row],[kbli5]],kata_kunci!$B:$H,7,FALSE)</f>
        <v>#N/A</v>
      </c>
    </row>
    <row r="537" spans="1:11" ht="30.75" thickBot="1" x14ac:dyDescent="0.3">
      <c r="A537" s="53" t="s">
        <v>450</v>
      </c>
      <c r="B537" s="40">
        <v>27900</v>
      </c>
      <c r="C537" s="41" t="s">
        <v>814</v>
      </c>
      <c r="D537" s="30" t="e">
        <f>VLOOKUP(Table13[[#This Row],[kbli5]],Table1[[#All],[kbli5]:[digital_hijau]],3,)</f>
        <v>#N/A</v>
      </c>
      <c r="E537" s="53" t="e">
        <f>VLOOKUP(Table13[[#This Row],[kbli5]],kata_kunci!$B:$H,4,FALSE)</f>
        <v>#N/A</v>
      </c>
      <c r="F537" s="53" t="e">
        <f>VLOOKUP(Table13[[#This Row],[kbli5]],Table1[[#All],[kbli5]:[digital_hijau]],5,)</f>
        <v>#N/A</v>
      </c>
      <c r="G537" s="53" t="s">
        <v>2090</v>
      </c>
      <c r="H537" s="54" t="e">
        <f>VLOOKUP(Table13[[#This Row],[kbli5]],kata_kunci!$B:$H,3,FALSE)</f>
        <v>#N/A</v>
      </c>
      <c r="I537" s="84" t="e">
        <f>VLOOKUP(Table13[[#This Row],[kbli5]],kata_kunci!$B:$H,5,FALSE)</f>
        <v>#N/A</v>
      </c>
      <c r="J537" s="84" t="e">
        <f>VLOOKUP(Table13[[#This Row],[kbli5]],kata_kunci!$B:$H,6,FALSE)</f>
        <v>#N/A</v>
      </c>
      <c r="K537" s="84" t="e">
        <f>VLOOKUP(Table13[[#This Row],[kbli5]],kata_kunci!$B:$H,7,FALSE)</f>
        <v>#N/A</v>
      </c>
    </row>
    <row r="538" spans="1:11" ht="30.75" thickBot="1" x14ac:dyDescent="0.3">
      <c r="A538" s="53" t="s">
        <v>450</v>
      </c>
      <c r="B538" s="40">
        <v>28111</v>
      </c>
      <c r="C538" s="41" t="s">
        <v>815</v>
      </c>
      <c r="D538" s="30" t="e">
        <f>VLOOKUP(Table13[[#This Row],[kbli5]],Table1[[#All],[kbli5]:[digital_hijau]],3,)</f>
        <v>#N/A</v>
      </c>
      <c r="E538" s="53" t="e">
        <f>VLOOKUP(Table13[[#This Row],[kbli5]],kata_kunci!$B:$H,4,FALSE)</f>
        <v>#N/A</v>
      </c>
      <c r="F538" s="53" t="e">
        <f>VLOOKUP(Table13[[#This Row],[kbli5]],Table1[[#All],[kbli5]:[digital_hijau]],5,)</f>
        <v>#N/A</v>
      </c>
      <c r="G538" s="53" t="s">
        <v>2090</v>
      </c>
      <c r="H538" s="54" t="e">
        <f>VLOOKUP(Table13[[#This Row],[kbli5]],kata_kunci!$B:$H,3,FALSE)</f>
        <v>#N/A</v>
      </c>
      <c r="I538" s="84" t="e">
        <f>VLOOKUP(Table13[[#This Row],[kbli5]],kata_kunci!$B:$H,5,FALSE)</f>
        <v>#N/A</v>
      </c>
      <c r="J538" s="84" t="e">
        <f>VLOOKUP(Table13[[#This Row],[kbli5]],kata_kunci!$B:$H,6,FALSE)</f>
        <v>#N/A</v>
      </c>
      <c r="K538" s="84" t="e">
        <f>VLOOKUP(Table13[[#This Row],[kbli5]],kata_kunci!$B:$H,7,FALSE)</f>
        <v>#N/A</v>
      </c>
    </row>
    <row r="539" spans="1:11" ht="30.75" thickBot="1" x14ac:dyDescent="0.3">
      <c r="A539" s="53" t="s">
        <v>450</v>
      </c>
      <c r="B539" s="40">
        <v>28112</v>
      </c>
      <c r="C539" s="41" t="s">
        <v>816</v>
      </c>
      <c r="D539" s="30" t="e">
        <f>VLOOKUP(Table13[[#This Row],[kbli5]],Table1[[#All],[kbli5]:[digital_hijau]],3,)</f>
        <v>#N/A</v>
      </c>
      <c r="E539" s="53" t="e">
        <f>VLOOKUP(Table13[[#This Row],[kbli5]],kata_kunci!$B:$H,4,FALSE)</f>
        <v>#N/A</v>
      </c>
      <c r="F539" s="53" t="e">
        <f>VLOOKUP(Table13[[#This Row],[kbli5]],Table1[[#All],[kbli5]:[digital_hijau]],5,)</f>
        <v>#N/A</v>
      </c>
      <c r="G539" s="53" t="s">
        <v>2090</v>
      </c>
      <c r="H539" s="54" t="e">
        <f>VLOOKUP(Table13[[#This Row],[kbli5]],kata_kunci!$B:$H,3,FALSE)</f>
        <v>#N/A</v>
      </c>
      <c r="I539" s="84" t="e">
        <f>VLOOKUP(Table13[[#This Row],[kbli5]],kata_kunci!$B:$H,5,FALSE)</f>
        <v>#N/A</v>
      </c>
      <c r="J539" s="84" t="e">
        <f>VLOOKUP(Table13[[#This Row],[kbli5]],kata_kunci!$B:$H,6,FALSE)</f>
        <v>#N/A</v>
      </c>
      <c r="K539" s="84" t="e">
        <f>VLOOKUP(Table13[[#This Row],[kbli5]],kata_kunci!$B:$H,7,FALSE)</f>
        <v>#N/A</v>
      </c>
    </row>
    <row r="540" spans="1:11" ht="45.75" thickBot="1" x14ac:dyDescent="0.3">
      <c r="A540" s="53" t="s">
        <v>450</v>
      </c>
      <c r="B540" s="40">
        <v>28113</v>
      </c>
      <c r="C540" s="41" t="s">
        <v>817</v>
      </c>
      <c r="D540" s="30" t="e">
        <f>VLOOKUP(Table13[[#This Row],[kbli5]],Table1[[#All],[kbli5]:[digital_hijau]],3,)</f>
        <v>#N/A</v>
      </c>
      <c r="E540" s="53" t="e">
        <f>VLOOKUP(Table13[[#This Row],[kbli5]],kata_kunci!$B:$H,4,FALSE)</f>
        <v>#N/A</v>
      </c>
      <c r="F540" s="53" t="e">
        <f>VLOOKUP(Table13[[#This Row],[kbli5]],Table1[[#All],[kbli5]:[digital_hijau]],5,)</f>
        <v>#N/A</v>
      </c>
      <c r="G540" s="53" t="s">
        <v>2090</v>
      </c>
      <c r="H540" s="54" t="e">
        <f>VLOOKUP(Table13[[#This Row],[kbli5]],kata_kunci!$B:$H,3,FALSE)</f>
        <v>#N/A</v>
      </c>
      <c r="I540" s="84" t="e">
        <f>VLOOKUP(Table13[[#This Row],[kbli5]],kata_kunci!$B:$H,5,FALSE)</f>
        <v>#N/A</v>
      </c>
      <c r="J540" s="84" t="e">
        <f>VLOOKUP(Table13[[#This Row],[kbli5]],kata_kunci!$B:$H,6,FALSE)</f>
        <v>#N/A</v>
      </c>
      <c r="K540" s="84" t="e">
        <f>VLOOKUP(Table13[[#This Row],[kbli5]],kata_kunci!$B:$H,7,FALSE)</f>
        <v>#N/A</v>
      </c>
    </row>
    <row r="541" spans="1:11" ht="30.75" thickBot="1" x14ac:dyDescent="0.3">
      <c r="A541" s="53" t="s">
        <v>450</v>
      </c>
      <c r="B541" s="40">
        <v>28120</v>
      </c>
      <c r="C541" s="41" t="s">
        <v>818</v>
      </c>
      <c r="D541" s="30" t="e">
        <f>VLOOKUP(Table13[[#This Row],[kbli5]],Table1[[#All],[kbli5]:[digital_hijau]],3,)</f>
        <v>#N/A</v>
      </c>
      <c r="E541" s="53" t="e">
        <f>VLOOKUP(Table13[[#This Row],[kbli5]],kata_kunci!$B:$H,4,FALSE)</f>
        <v>#N/A</v>
      </c>
      <c r="F541" s="53" t="e">
        <f>VLOOKUP(Table13[[#This Row],[kbli5]],Table1[[#All],[kbli5]:[digital_hijau]],5,)</f>
        <v>#N/A</v>
      </c>
      <c r="G541" s="53" t="s">
        <v>2090</v>
      </c>
      <c r="H541" s="54" t="e">
        <f>VLOOKUP(Table13[[#This Row],[kbli5]],kata_kunci!$B:$H,3,FALSE)</f>
        <v>#N/A</v>
      </c>
      <c r="I541" s="84" t="e">
        <f>VLOOKUP(Table13[[#This Row],[kbli5]],kata_kunci!$B:$H,5,FALSE)</f>
        <v>#N/A</v>
      </c>
      <c r="J541" s="84" t="e">
        <f>VLOOKUP(Table13[[#This Row],[kbli5]],kata_kunci!$B:$H,6,FALSE)</f>
        <v>#N/A</v>
      </c>
      <c r="K541" s="84" t="e">
        <f>VLOOKUP(Table13[[#This Row],[kbli5]],kata_kunci!$B:$H,7,FALSE)</f>
        <v>#N/A</v>
      </c>
    </row>
    <row r="542" spans="1:11" ht="45.75" thickBot="1" x14ac:dyDescent="0.3">
      <c r="A542" s="53" t="s">
        <v>450</v>
      </c>
      <c r="B542" s="40">
        <v>28130</v>
      </c>
      <c r="C542" s="41" t="s">
        <v>819</v>
      </c>
      <c r="D542" s="30" t="e">
        <f>VLOOKUP(Table13[[#This Row],[kbli5]],Table1[[#All],[kbli5]:[digital_hijau]],3,)</f>
        <v>#N/A</v>
      </c>
      <c r="E542" s="53" t="e">
        <f>VLOOKUP(Table13[[#This Row],[kbli5]],kata_kunci!$B:$H,4,FALSE)</f>
        <v>#N/A</v>
      </c>
      <c r="F542" s="53" t="e">
        <f>VLOOKUP(Table13[[#This Row],[kbli5]],Table1[[#All],[kbli5]:[digital_hijau]],5,)</f>
        <v>#N/A</v>
      </c>
      <c r="G542" s="35" t="s">
        <v>2060</v>
      </c>
      <c r="H542" s="54" t="e">
        <f>VLOOKUP(Table13[[#This Row],[kbli5]],kata_kunci!$B:$H,3,FALSE)</f>
        <v>#N/A</v>
      </c>
      <c r="I542" s="84" t="e">
        <f>VLOOKUP(Table13[[#This Row],[kbli5]],kata_kunci!$B:$H,5,FALSE)</f>
        <v>#N/A</v>
      </c>
      <c r="J542" s="84" t="e">
        <f>VLOOKUP(Table13[[#This Row],[kbli5]],kata_kunci!$B:$H,6,FALSE)</f>
        <v>#N/A</v>
      </c>
      <c r="K542" s="84" t="e">
        <f>VLOOKUP(Table13[[#This Row],[kbli5]],kata_kunci!$B:$H,7,FALSE)</f>
        <v>#N/A</v>
      </c>
    </row>
    <row r="543" spans="1:11" ht="45.75" thickBot="1" x14ac:dyDescent="0.3">
      <c r="A543" s="53" t="s">
        <v>450</v>
      </c>
      <c r="B543" s="40">
        <v>28140</v>
      </c>
      <c r="C543" s="41" t="s">
        <v>820</v>
      </c>
      <c r="D543" s="30" t="e">
        <f>VLOOKUP(Table13[[#This Row],[kbli5]],Table1[[#All],[kbli5]:[digital_hijau]],3,)</f>
        <v>#N/A</v>
      </c>
      <c r="E543" s="53" t="e">
        <f>VLOOKUP(Table13[[#This Row],[kbli5]],kata_kunci!$B:$H,4,FALSE)</f>
        <v>#N/A</v>
      </c>
      <c r="F543" s="53" t="e">
        <f>VLOOKUP(Table13[[#This Row],[kbli5]],Table1[[#All],[kbli5]:[digital_hijau]],5,)</f>
        <v>#N/A</v>
      </c>
      <c r="G543" s="53" t="s">
        <v>2090</v>
      </c>
      <c r="H543" s="54" t="e">
        <f>VLOOKUP(Table13[[#This Row],[kbli5]],kata_kunci!$B:$H,3,FALSE)</f>
        <v>#N/A</v>
      </c>
      <c r="I543" s="84" t="e">
        <f>VLOOKUP(Table13[[#This Row],[kbli5]],kata_kunci!$B:$H,5,FALSE)</f>
        <v>#N/A</v>
      </c>
      <c r="J543" s="84" t="e">
        <f>VLOOKUP(Table13[[#This Row],[kbli5]],kata_kunci!$B:$H,6,FALSE)</f>
        <v>#N/A</v>
      </c>
      <c r="K543" s="84" t="e">
        <f>VLOOKUP(Table13[[#This Row],[kbli5]],kata_kunci!$B:$H,7,FALSE)</f>
        <v>#N/A</v>
      </c>
    </row>
    <row r="544" spans="1:11" ht="45.75" thickBot="1" x14ac:dyDescent="0.3">
      <c r="A544" s="53" t="s">
        <v>450</v>
      </c>
      <c r="B544" s="40">
        <v>28151</v>
      </c>
      <c r="C544" s="41" t="s">
        <v>821</v>
      </c>
      <c r="D544" s="30" t="e">
        <f>VLOOKUP(Table13[[#This Row],[kbli5]],Table1[[#All],[kbli5]:[digital_hijau]],3,)</f>
        <v>#N/A</v>
      </c>
      <c r="E544" s="53" t="e">
        <f>VLOOKUP(Table13[[#This Row],[kbli5]],kata_kunci!$B:$H,4,FALSE)</f>
        <v>#N/A</v>
      </c>
      <c r="F544" s="53" t="e">
        <f>VLOOKUP(Table13[[#This Row],[kbli5]],Table1[[#All],[kbli5]:[digital_hijau]],5,)</f>
        <v>#N/A</v>
      </c>
      <c r="G544" s="53" t="s">
        <v>2090</v>
      </c>
      <c r="H544" s="54" t="e">
        <f>VLOOKUP(Table13[[#This Row],[kbli5]],kata_kunci!$B:$H,3,FALSE)</f>
        <v>#N/A</v>
      </c>
      <c r="I544" s="84" t="e">
        <f>VLOOKUP(Table13[[#This Row],[kbli5]],kata_kunci!$B:$H,5,FALSE)</f>
        <v>#N/A</v>
      </c>
      <c r="J544" s="84" t="e">
        <f>VLOOKUP(Table13[[#This Row],[kbli5]],kata_kunci!$B:$H,6,FALSE)</f>
        <v>#N/A</v>
      </c>
      <c r="K544" s="84" t="e">
        <f>VLOOKUP(Table13[[#This Row],[kbli5]],kata_kunci!$B:$H,7,FALSE)</f>
        <v>#N/A</v>
      </c>
    </row>
    <row r="545" spans="1:11" ht="45.75" thickBot="1" x14ac:dyDescent="0.3">
      <c r="A545" s="53" t="s">
        <v>450</v>
      </c>
      <c r="B545" s="40">
        <v>28152</v>
      </c>
      <c r="C545" s="41" t="s">
        <v>821</v>
      </c>
      <c r="D545" s="30" t="e">
        <f>VLOOKUP(Table13[[#This Row],[kbli5]],Table1[[#All],[kbli5]:[digital_hijau]],3,)</f>
        <v>#N/A</v>
      </c>
      <c r="E545" s="53" t="e">
        <f>VLOOKUP(Table13[[#This Row],[kbli5]],kata_kunci!$B:$H,4,FALSE)</f>
        <v>#N/A</v>
      </c>
      <c r="F545" s="53" t="e">
        <f>VLOOKUP(Table13[[#This Row],[kbli5]],Table1[[#All],[kbli5]:[digital_hijau]],5,)</f>
        <v>#N/A</v>
      </c>
      <c r="G545" s="53" t="s">
        <v>2090</v>
      </c>
      <c r="H545" s="54" t="e">
        <f>VLOOKUP(Table13[[#This Row],[kbli5]],kata_kunci!$B:$H,3,FALSE)</f>
        <v>#N/A</v>
      </c>
      <c r="I545" s="84" t="e">
        <f>VLOOKUP(Table13[[#This Row],[kbli5]],kata_kunci!$B:$H,5,FALSE)</f>
        <v>#N/A</v>
      </c>
      <c r="J545" s="84" t="e">
        <f>VLOOKUP(Table13[[#This Row],[kbli5]],kata_kunci!$B:$H,6,FALSE)</f>
        <v>#N/A</v>
      </c>
      <c r="K545" s="84" t="e">
        <f>VLOOKUP(Table13[[#This Row],[kbli5]],kata_kunci!$B:$H,7,FALSE)</f>
        <v>#N/A</v>
      </c>
    </row>
    <row r="546" spans="1:11" ht="45.75" thickBot="1" x14ac:dyDescent="0.3">
      <c r="A546" s="53" t="s">
        <v>450</v>
      </c>
      <c r="B546" s="40">
        <v>28160</v>
      </c>
      <c r="C546" s="41" t="s">
        <v>822</v>
      </c>
      <c r="D546" s="30" t="e">
        <f>VLOOKUP(Table13[[#This Row],[kbli5]],Table1[[#All],[kbli5]:[digital_hijau]],3,)</f>
        <v>#N/A</v>
      </c>
      <c r="E546" s="53" t="e">
        <f>VLOOKUP(Table13[[#This Row],[kbli5]],kata_kunci!$B:$H,4,FALSE)</f>
        <v>#N/A</v>
      </c>
      <c r="F546" s="53" t="e">
        <f>VLOOKUP(Table13[[#This Row],[kbli5]],Table1[[#All],[kbli5]:[digital_hijau]],5,)</f>
        <v>#N/A</v>
      </c>
      <c r="G546" s="53" t="s">
        <v>2090</v>
      </c>
      <c r="H546" s="54" t="e">
        <f>VLOOKUP(Table13[[#This Row],[kbli5]],kata_kunci!$B:$H,3,FALSE)</f>
        <v>#N/A</v>
      </c>
      <c r="I546" s="84" t="e">
        <f>VLOOKUP(Table13[[#This Row],[kbli5]],kata_kunci!$B:$H,5,FALSE)</f>
        <v>#N/A</v>
      </c>
      <c r="J546" s="84" t="e">
        <f>VLOOKUP(Table13[[#This Row],[kbli5]],kata_kunci!$B:$H,6,FALSE)</f>
        <v>#N/A</v>
      </c>
      <c r="K546" s="84" t="e">
        <f>VLOOKUP(Table13[[#This Row],[kbli5]],kata_kunci!$B:$H,7,FALSE)</f>
        <v>#N/A</v>
      </c>
    </row>
    <row r="547" spans="1:11" ht="30.75" thickBot="1" x14ac:dyDescent="0.3">
      <c r="A547" s="53" t="s">
        <v>450</v>
      </c>
      <c r="B547" s="40">
        <v>28171</v>
      </c>
      <c r="C547" s="41" t="s">
        <v>823</v>
      </c>
      <c r="D547" s="30" t="e">
        <f>VLOOKUP(Table13[[#This Row],[kbli5]],Table1[[#All],[kbli5]:[digital_hijau]],3,)</f>
        <v>#N/A</v>
      </c>
      <c r="E547" s="53" t="e">
        <f>VLOOKUP(Table13[[#This Row],[kbli5]],kata_kunci!$B:$H,4,FALSE)</f>
        <v>#N/A</v>
      </c>
      <c r="F547" s="53" t="e">
        <f>VLOOKUP(Table13[[#This Row],[kbli5]],Table1[[#All],[kbli5]:[digital_hijau]],5,)</f>
        <v>#N/A</v>
      </c>
      <c r="G547" s="53" t="s">
        <v>2090</v>
      </c>
      <c r="H547" s="54" t="e">
        <f>VLOOKUP(Table13[[#This Row],[kbli5]],kata_kunci!$B:$H,3,FALSE)</f>
        <v>#N/A</v>
      </c>
      <c r="I547" s="84" t="e">
        <f>VLOOKUP(Table13[[#This Row],[kbli5]],kata_kunci!$B:$H,5,FALSE)</f>
        <v>#N/A</v>
      </c>
      <c r="J547" s="84" t="e">
        <f>VLOOKUP(Table13[[#This Row],[kbli5]],kata_kunci!$B:$H,6,FALSE)</f>
        <v>#N/A</v>
      </c>
      <c r="K547" s="84" t="e">
        <f>VLOOKUP(Table13[[#This Row],[kbli5]],kata_kunci!$B:$H,7,FALSE)</f>
        <v>#N/A</v>
      </c>
    </row>
    <row r="548" spans="1:11" ht="30.75" thickBot="1" x14ac:dyDescent="0.3">
      <c r="A548" s="53" t="s">
        <v>450</v>
      </c>
      <c r="B548" s="40">
        <v>28172</v>
      </c>
      <c r="C548" s="41" t="s">
        <v>824</v>
      </c>
      <c r="D548" s="30" t="e">
        <f>VLOOKUP(Table13[[#This Row],[kbli5]],Table1[[#All],[kbli5]:[digital_hijau]],3,)</f>
        <v>#N/A</v>
      </c>
      <c r="E548" s="53" t="e">
        <f>VLOOKUP(Table13[[#This Row],[kbli5]],kata_kunci!$B:$H,4,FALSE)</f>
        <v>#N/A</v>
      </c>
      <c r="F548" s="53" t="e">
        <f>VLOOKUP(Table13[[#This Row],[kbli5]],Table1[[#All],[kbli5]:[digital_hijau]],5,)</f>
        <v>#N/A</v>
      </c>
      <c r="G548" s="53" t="s">
        <v>2090</v>
      </c>
      <c r="H548" s="54" t="e">
        <f>VLOOKUP(Table13[[#This Row],[kbli5]],kata_kunci!$B:$H,3,FALSE)</f>
        <v>#N/A</v>
      </c>
      <c r="I548" s="84" t="e">
        <f>VLOOKUP(Table13[[#This Row],[kbli5]],kata_kunci!$B:$H,5,FALSE)</f>
        <v>#N/A</v>
      </c>
      <c r="J548" s="84" t="e">
        <f>VLOOKUP(Table13[[#This Row],[kbli5]],kata_kunci!$B:$H,6,FALSE)</f>
        <v>#N/A</v>
      </c>
      <c r="K548" s="84" t="e">
        <f>VLOOKUP(Table13[[#This Row],[kbli5]],kata_kunci!$B:$H,7,FALSE)</f>
        <v>#N/A</v>
      </c>
    </row>
    <row r="549" spans="1:11" ht="45.75" thickBot="1" x14ac:dyDescent="0.3">
      <c r="A549" s="53" t="s">
        <v>450</v>
      </c>
      <c r="B549" s="40">
        <v>28173</v>
      </c>
      <c r="C549" s="41" t="s">
        <v>825</v>
      </c>
      <c r="D549" s="30" t="e">
        <f>VLOOKUP(Table13[[#This Row],[kbli5]],Table1[[#All],[kbli5]:[digital_hijau]],3,)</f>
        <v>#N/A</v>
      </c>
      <c r="E549" s="53" t="e">
        <f>VLOOKUP(Table13[[#This Row],[kbli5]],kata_kunci!$B:$H,4,FALSE)</f>
        <v>#N/A</v>
      </c>
      <c r="F549" s="53" t="e">
        <f>VLOOKUP(Table13[[#This Row],[kbli5]],Table1[[#All],[kbli5]:[digital_hijau]],5,)</f>
        <v>#N/A</v>
      </c>
      <c r="G549" s="53" t="s">
        <v>2090</v>
      </c>
      <c r="H549" s="54" t="e">
        <f>VLOOKUP(Table13[[#This Row],[kbli5]],kata_kunci!$B:$H,3,FALSE)</f>
        <v>#N/A</v>
      </c>
      <c r="I549" s="84" t="e">
        <f>VLOOKUP(Table13[[#This Row],[kbli5]],kata_kunci!$B:$H,5,FALSE)</f>
        <v>#N/A</v>
      </c>
      <c r="J549" s="84" t="e">
        <f>VLOOKUP(Table13[[#This Row],[kbli5]],kata_kunci!$B:$H,6,FALSE)</f>
        <v>#N/A</v>
      </c>
      <c r="K549" s="84" t="e">
        <f>VLOOKUP(Table13[[#This Row],[kbli5]],kata_kunci!$B:$H,7,FALSE)</f>
        <v>#N/A</v>
      </c>
    </row>
    <row r="550" spans="1:11" ht="30.75" thickBot="1" x14ac:dyDescent="0.3">
      <c r="A550" s="53" t="s">
        <v>450</v>
      </c>
      <c r="B550" s="40">
        <v>28179</v>
      </c>
      <c r="C550" s="41" t="s">
        <v>826</v>
      </c>
      <c r="D550" s="30" t="e">
        <f>VLOOKUP(Table13[[#This Row],[kbli5]],Table1[[#All],[kbli5]:[digital_hijau]],3,)</f>
        <v>#N/A</v>
      </c>
      <c r="E550" s="53" t="e">
        <f>VLOOKUP(Table13[[#This Row],[kbli5]],kata_kunci!$B:$H,4,FALSE)</f>
        <v>#N/A</v>
      </c>
      <c r="F550" s="53" t="e">
        <f>VLOOKUP(Table13[[#This Row],[kbli5]],Table1[[#All],[kbli5]:[digital_hijau]],5,)</f>
        <v>#N/A</v>
      </c>
      <c r="G550" s="53" t="s">
        <v>2090</v>
      </c>
      <c r="H550" s="54" t="e">
        <f>VLOOKUP(Table13[[#This Row],[kbli5]],kata_kunci!$B:$H,3,FALSE)</f>
        <v>#N/A</v>
      </c>
      <c r="I550" s="84" t="e">
        <f>VLOOKUP(Table13[[#This Row],[kbli5]],kata_kunci!$B:$H,5,FALSE)</f>
        <v>#N/A</v>
      </c>
      <c r="J550" s="84" t="e">
        <f>VLOOKUP(Table13[[#This Row],[kbli5]],kata_kunci!$B:$H,6,FALSE)</f>
        <v>#N/A</v>
      </c>
      <c r="K550" s="84" t="e">
        <f>VLOOKUP(Table13[[#This Row],[kbli5]],kata_kunci!$B:$H,7,FALSE)</f>
        <v>#N/A</v>
      </c>
    </row>
    <row r="551" spans="1:11" ht="45.75" thickBot="1" x14ac:dyDescent="0.3">
      <c r="A551" s="53" t="s">
        <v>450</v>
      </c>
      <c r="B551" s="40">
        <v>28180</v>
      </c>
      <c r="C551" s="41" t="s">
        <v>827</v>
      </c>
      <c r="D551" s="30" t="e">
        <f>VLOOKUP(Table13[[#This Row],[kbli5]],Table1[[#All],[kbli5]:[digital_hijau]],3,)</f>
        <v>#N/A</v>
      </c>
      <c r="E551" s="53" t="e">
        <f>VLOOKUP(Table13[[#This Row],[kbli5]],kata_kunci!$B:$H,4,FALSE)</f>
        <v>#N/A</v>
      </c>
      <c r="F551" s="53" t="e">
        <f>VLOOKUP(Table13[[#This Row],[kbli5]],Table1[[#All],[kbli5]:[digital_hijau]],5,)</f>
        <v>#N/A</v>
      </c>
      <c r="G551" s="53" t="s">
        <v>2090</v>
      </c>
      <c r="H551" s="54" t="e">
        <f>VLOOKUP(Table13[[#This Row],[kbli5]],kata_kunci!$B:$H,3,FALSE)</f>
        <v>#N/A</v>
      </c>
      <c r="I551" s="84" t="e">
        <f>VLOOKUP(Table13[[#This Row],[kbli5]],kata_kunci!$B:$H,5,FALSE)</f>
        <v>#N/A</v>
      </c>
      <c r="J551" s="84" t="e">
        <f>VLOOKUP(Table13[[#This Row],[kbli5]],kata_kunci!$B:$H,6,FALSE)</f>
        <v>#N/A</v>
      </c>
      <c r="K551" s="84" t="e">
        <f>VLOOKUP(Table13[[#This Row],[kbli5]],kata_kunci!$B:$H,7,FALSE)</f>
        <v>#N/A</v>
      </c>
    </row>
    <row r="552" spans="1:11" ht="45.75" thickBot="1" x14ac:dyDescent="0.3">
      <c r="A552" s="53" t="s">
        <v>450</v>
      </c>
      <c r="B552" s="40">
        <v>28191</v>
      </c>
      <c r="C552" s="41" t="s">
        <v>828</v>
      </c>
      <c r="D552" s="30" t="e">
        <f>VLOOKUP(Table13[[#This Row],[kbli5]],Table1[[#All],[kbli5]:[digital_hijau]],3,)</f>
        <v>#N/A</v>
      </c>
      <c r="E552" s="53" t="e">
        <f>VLOOKUP(Table13[[#This Row],[kbli5]],kata_kunci!$B:$H,4,FALSE)</f>
        <v>#N/A</v>
      </c>
      <c r="F552" s="53" t="e">
        <f>VLOOKUP(Table13[[#This Row],[kbli5]],Table1[[#All],[kbli5]:[digital_hijau]],5,)</f>
        <v>#N/A</v>
      </c>
      <c r="G552" s="53" t="s">
        <v>2090</v>
      </c>
      <c r="H552" s="54" t="e">
        <f>VLOOKUP(Table13[[#This Row],[kbli5]],kata_kunci!$B:$H,3,FALSE)</f>
        <v>#N/A</v>
      </c>
      <c r="I552" s="84" t="e">
        <f>VLOOKUP(Table13[[#This Row],[kbli5]],kata_kunci!$B:$H,5,FALSE)</f>
        <v>#N/A</v>
      </c>
      <c r="J552" s="84" t="e">
        <f>VLOOKUP(Table13[[#This Row],[kbli5]],kata_kunci!$B:$H,6,FALSE)</f>
        <v>#N/A</v>
      </c>
      <c r="K552" s="84" t="e">
        <f>VLOOKUP(Table13[[#This Row],[kbli5]],kata_kunci!$B:$H,7,FALSE)</f>
        <v>#N/A</v>
      </c>
    </row>
    <row r="553" spans="1:11" ht="30.75" thickBot="1" x14ac:dyDescent="0.3">
      <c r="A553" s="53" t="s">
        <v>450</v>
      </c>
      <c r="B553" s="40">
        <v>28192</v>
      </c>
      <c r="C553" s="41" t="s">
        <v>829</v>
      </c>
      <c r="D553" s="30" t="e">
        <f>VLOOKUP(Table13[[#This Row],[kbli5]],Table1[[#All],[kbli5]:[digital_hijau]],3,)</f>
        <v>#N/A</v>
      </c>
      <c r="E553" s="53" t="e">
        <f>VLOOKUP(Table13[[#This Row],[kbli5]],kata_kunci!$B:$H,4,FALSE)</f>
        <v>#N/A</v>
      </c>
      <c r="F553" s="53" t="e">
        <f>VLOOKUP(Table13[[#This Row],[kbli5]],Table1[[#All],[kbli5]:[digital_hijau]],5,)</f>
        <v>#N/A</v>
      </c>
      <c r="G553" s="53" t="s">
        <v>2090</v>
      </c>
      <c r="H553" s="54" t="e">
        <f>VLOOKUP(Table13[[#This Row],[kbli5]],kata_kunci!$B:$H,3,FALSE)</f>
        <v>#N/A</v>
      </c>
      <c r="I553" s="84" t="e">
        <f>VLOOKUP(Table13[[#This Row],[kbli5]],kata_kunci!$B:$H,5,FALSE)</f>
        <v>#N/A</v>
      </c>
      <c r="J553" s="84" t="e">
        <f>VLOOKUP(Table13[[#This Row],[kbli5]],kata_kunci!$B:$H,6,FALSE)</f>
        <v>#N/A</v>
      </c>
      <c r="K553" s="84" t="e">
        <f>VLOOKUP(Table13[[#This Row],[kbli5]],kata_kunci!$B:$H,7,FALSE)</f>
        <v>#N/A</v>
      </c>
    </row>
    <row r="554" spans="1:11" ht="15.75" thickBot="1" x14ac:dyDescent="0.3">
      <c r="A554" s="53" t="s">
        <v>450</v>
      </c>
      <c r="B554" s="40">
        <v>28193</v>
      </c>
      <c r="C554" s="41" t="s">
        <v>830</v>
      </c>
      <c r="D554" s="30" t="e">
        <f>VLOOKUP(Table13[[#This Row],[kbli5]],Table1[[#All],[kbli5]:[digital_hijau]],3,)</f>
        <v>#N/A</v>
      </c>
      <c r="E554" s="53" t="e">
        <f>VLOOKUP(Table13[[#This Row],[kbli5]],kata_kunci!$B:$H,4,FALSE)</f>
        <v>#N/A</v>
      </c>
      <c r="F554" s="53" t="e">
        <f>VLOOKUP(Table13[[#This Row],[kbli5]],Table1[[#All],[kbli5]:[digital_hijau]],5,)</f>
        <v>#N/A</v>
      </c>
      <c r="G554" s="53" t="s">
        <v>2090</v>
      </c>
      <c r="H554" s="54" t="e">
        <f>VLOOKUP(Table13[[#This Row],[kbli5]],kata_kunci!$B:$H,3,FALSE)</f>
        <v>#N/A</v>
      </c>
      <c r="I554" s="84" t="e">
        <f>VLOOKUP(Table13[[#This Row],[kbli5]],kata_kunci!$B:$H,5,FALSE)</f>
        <v>#N/A</v>
      </c>
      <c r="J554" s="84" t="e">
        <f>VLOOKUP(Table13[[#This Row],[kbli5]],kata_kunci!$B:$H,6,FALSE)</f>
        <v>#N/A</v>
      </c>
      <c r="K554" s="84" t="e">
        <f>VLOOKUP(Table13[[#This Row],[kbli5]],kata_kunci!$B:$H,7,FALSE)</f>
        <v>#N/A</v>
      </c>
    </row>
    <row r="555" spans="1:11" ht="45.75" thickBot="1" x14ac:dyDescent="0.3">
      <c r="A555" s="53" t="s">
        <v>450</v>
      </c>
      <c r="B555" s="40">
        <v>28199</v>
      </c>
      <c r="C555" s="41" t="s">
        <v>831</v>
      </c>
      <c r="D555" s="30" t="e">
        <f>VLOOKUP(Table13[[#This Row],[kbli5]],Table1[[#All],[kbli5]:[digital_hijau]],3,)</f>
        <v>#N/A</v>
      </c>
      <c r="E555" s="53" t="e">
        <f>VLOOKUP(Table13[[#This Row],[kbli5]],kata_kunci!$B:$H,4,FALSE)</f>
        <v>#N/A</v>
      </c>
      <c r="F555" s="53" t="e">
        <f>VLOOKUP(Table13[[#This Row],[kbli5]],Table1[[#All],[kbli5]:[digital_hijau]],5,)</f>
        <v>#N/A</v>
      </c>
      <c r="G555" s="35" t="s">
        <v>2060</v>
      </c>
      <c r="H555" s="54" t="e">
        <f>VLOOKUP(Table13[[#This Row],[kbli5]],kata_kunci!$B:$H,3,FALSE)</f>
        <v>#N/A</v>
      </c>
      <c r="I555" s="84" t="e">
        <f>VLOOKUP(Table13[[#This Row],[kbli5]],kata_kunci!$B:$H,5,FALSE)</f>
        <v>#N/A</v>
      </c>
      <c r="J555" s="84" t="e">
        <f>VLOOKUP(Table13[[#This Row],[kbli5]],kata_kunci!$B:$H,6,FALSE)</f>
        <v>#N/A</v>
      </c>
      <c r="K555" s="84" t="e">
        <f>VLOOKUP(Table13[[#This Row],[kbli5]],kata_kunci!$B:$H,7,FALSE)</f>
        <v>#N/A</v>
      </c>
    </row>
    <row r="556" spans="1:11" ht="45.75" thickBot="1" x14ac:dyDescent="0.3">
      <c r="A556" s="53" t="s">
        <v>450</v>
      </c>
      <c r="B556" s="40">
        <v>28210</v>
      </c>
      <c r="C556" s="41" t="s">
        <v>832</v>
      </c>
      <c r="D556" s="30" t="e">
        <f>VLOOKUP(Table13[[#This Row],[kbli5]],Table1[[#All],[kbli5]:[digital_hijau]],3,)</f>
        <v>#N/A</v>
      </c>
      <c r="E556" s="53" t="e">
        <f>VLOOKUP(Table13[[#This Row],[kbli5]],kata_kunci!$B:$H,4,FALSE)</f>
        <v>#N/A</v>
      </c>
      <c r="F556" s="53" t="e">
        <f>VLOOKUP(Table13[[#This Row],[kbli5]],Table1[[#All],[kbli5]:[digital_hijau]],5,)</f>
        <v>#N/A</v>
      </c>
      <c r="G556" s="53" t="s">
        <v>2090</v>
      </c>
      <c r="H556" s="54" t="e">
        <f>VLOOKUP(Table13[[#This Row],[kbli5]],kata_kunci!$B:$H,3,FALSE)</f>
        <v>#N/A</v>
      </c>
      <c r="I556" s="84" t="e">
        <f>VLOOKUP(Table13[[#This Row],[kbli5]],kata_kunci!$B:$H,5,FALSE)</f>
        <v>#N/A</v>
      </c>
      <c r="J556" s="84" t="e">
        <f>VLOOKUP(Table13[[#This Row],[kbli5]],kata_kunci!$B:$H,6,FALSE)</f>
        <v>#N/A</v>
      </c>
      <c r="K556" s="84" t="e">
        <f>VLOOKUP(Table13[[#This Row],[kbli5]],kata_kunci!$B:$H,7,FALSE)</f>
        <v>#N/A</v>
      </c>
    </row>
    <row r="557" spans="1:11" ht="45.75" thickBot="1" x14ac:dyDescent="0.3">
      <c r="A557" s="53" t="s">
        <v>450</v>
      </c>
      <c r="B557" s="40">
        <v>28220</v>
      </c>
      <c r="C557" s="41" t="s">
        <v>833</v>
      </c>
      <c r="D557" s="30" t="e">
        <f>VLOOKUP(Table13[[#This Row],[kbli5]],Table1[[#All],[kbli5]:[digital_hijau]],3,)</f>
        <v>#N/A</v>
      </c>
      <c r="E557" s="53" t="e">
        <f>VLOOKUP(Table13[[#This Row],[kbli5]],kata_kunci!$B:$H,4,FALSE)</f>
        <v>#N/A</v>
      </c>
      <c r="F557" s="53" t="e">
        <f>VLOOKUP(Table13[[#This Row],[kbli5]],Table1[[#All],[kbli5]:[digital_hijau]],5,)</f>
        <v>#N/A</v>
      </c>
      <c r="G557" s="53" t="s">
        <v>2090</v>
      </c>
      <c r="H557" s="54" t="e">
        <f>VLOOKUP(Table13[[#This Row],[kbli5]],kata_kunci!$B:$H,3,FALSE)</f>
        <v>#N/A</v>
      </c>
      <c r="I557" s="84" t="e">
        <f>VLOOKUP(Table13[[#This Row],[kbli5]],kata_kunci!$B:$H,5,FALSE)</f>
        <v>#N/A</v>
      </c>
      <c r="J557" s="84" t="e">
        <f>VLOOKUP(Table13[[#This Row],[kbli5]],kata_kunci!$B:$H,6,FALSE)</f>
        <v>#N/A</v>
      </c>
      <c r="K557" s="84" t="e">
        <f>VLOOKUP(Table13[[#This Row],[kbli5]],kata_kunci!$B:$H,7,FALSE)</f>
        <v>#N/A</v>
      </c>
    </row>
    <row r="558" spans="1:11" ht="15.75" thickBot="1" x14ac:dyDescent="0.3">
      <c r="A558" s="53" t="s">
        <v>450</v>
      </c>
      <c r="B558" s="40">
        <v>28230</v>
      </c>
      <c r="C558" s="41" t="s">
        <v>834</v>
      </c>
      <c r="D558" s="30" t="e">
        <f>VLOOKUP(Table13[[#This Row],[kbli5]],Table1[[#All],[kbli5]:[digital_hijau]],3,)</f>
        <v>#N/A</v>
      </c>
      <c r="E558" s="53" t="e">
        <f>VLOOKUP(Table13[[#This Row],[kbli5]],kata_kunci!$B:$H,4,FALSE)</f>
        <v>#N/A</v>
      </c>
      <c r="F558" s="53" t="e">
        <f>VLOOKUP(Table13[[#This Row],[kbli5]],Table1[[#All],[kbli5]:[digital_hijau]],5,)</f>
        <v>#N/A</v>
      </c>
      <c r="G558" s="53" t="s">
        <v>2090</v>
      </c>
      <c r="H558" s="54" t="e">
        <f>VLOOKUP(Table13[[#This Row],[kbli5]],kata_kunci!$B:$H,3,FALSE)</f>
        <v>#N/A</v>
      </c>
      <c r="I558" s="84" t="e">
        <f>VLOOKUP(Table13[[#This Row],[kbli5]],kata_kunci!$B:$H,5,FALSE)</f>
        <v>#N/A</v>
      </c>
      <c r="J558" s="84" t="e">
        <f>VLOOKUP(Table13[[#This Row],[kbli5]],kata_kunci!$B:$H,6,FALSE)</f>
        <v>#N/A</v>
      </c>
      <c r="K558" s="84" t="e">
        <f>VLOOKUP(Table13[[#This Row],[kbli5]],kata_kunci!$B:$H,7,FALSE)</f>
        <v>#N/A</v>
      </c>
    </row>
    <row r="559" spans="1:11" ht="60.75" thickBot="1" x14ac:dyDescent="0.3">
      <c r="A559" s="53" t="s">
        <v>450</v>
      </c>
      <c r="B559" s="40">
        <v>28240</v>
      </c>
      <c r="C559" s="41" t="s">
        <v>835</v>
      </c>
      <c r="D559" s="30" t="e">
        <f>VLOOKUP(Table13[[#This Row],[kbli5]],Table1[[#All],[kbli5]:[digital_hijau]],3,)</f>
        <v>#N/A</v>
      </c>
      <c r="E559" s="53" t="e">
        <f>VLOOKUP(Table13[[#This Row],[kbli5]],kata_kunci!$B:$H,4,FALSE)</f>
        <v>#N/A</v>
      </c>
      <c r="F559" s="53" t="e">
        <f>VLOOKUP(Table13[[#This Row],[kbli5]],Table1[[#All],[kbli5]:[digital_hijau]],5,)</f>
        <v>#N/A</v>
      </c>
      <c r="G559" s="53" t="s">
        <v>2090</v>
      </c>
      <c r="H559" s="54" t="e">
        <f>VLOOKUP(Table13[[#This Row],[kbli5]],kata_kunci!$B:$H,3,FALSE)</f>
        <v>#N/A</v>
      </c>
      <c r="I559" s="84" t="e">
        <f>VLOOKUP(Table13[[#This Row],[kbli5]],kata_kunci!$B:$H,5,FALSE)</f>
        <v>#N/A</v>
      </c>
      <c r="J559" s="84" t="e">
        <f>VLOOKUP(Table13[[#This Row],[kbli5]],kata_kunci!$B:$H,6,FALSE)</f>
        <v>#N/A</v>
      </c>
      <c r="K559" s="84" t="e">
        <f>VLOOKUP(Table13[[#This Row],[kbli5]],kata_kunci!$B:$H,7,FALSE)</f>
        <v>#N/A</v>
      </c>
    </row>
    <row r="560" spans="1:11" ht="45.75" thickBot="1" x14ac:dyDescent="0.3">
      <c r="A560" s="53" t="s">
        <v>450</v>
      </c>
      <c r="B560" s="40">
        <v>28250</v>
      </c>
      <c r="C560" s="41" t="s">
        <v>836</v>
      </c>
      <c r="D560" s="30" t="e">
        <f>VLOOKUP(Table13[[#This Row],[kbli5]],Table1[[#All],[kbli5]:[digital_hijau]],3,)</f>
        <v>#N/A</v>
      </c>
      <c r="E560" s="53" t="e">
        <f>VLOOKUP(Table13[[#This Row],[kbli5]],kata_kunci!$B:$H,4,FALSE)</f>
        <v>#N/A</v>
      </c>
      <c r="F560" s="53" t="e">
        <f>VLOOKUP(Table13[[#This Row],[kbli5]],Table1[[#All],[kbli5]:[digital_hijau]],5,)</f>
        <v>#N/A</v>
      </c>
      <c r="G560" s="53" t="s">
        <v>2090</v>
      </c>
      <c r="H560" s="54" t="e">
        <f>VLOOKUP(Table13[[#This Row],[kbli5]],kata_kunci!$B:$H,3,FALSE)</f>
        <v>#N/A</v>
      </c>
      <c r="I560" s="84" t="e">
        <f>VLOOKUP(Table13[[#This Row],[kbli5]],kata_kunci!$B:$H,5,FALSE)</f>
        <v>#N/A</v>
      </c>
      <c r="J560" s="84" t="e">
        <f>VLOOKUP(Table13[[#This Row],[kbli5]],kata_kunci!$B:$H,6,FALSE)</f>
        <v>#N/A</v>
      </c>
      <c r="K560" s="84" t="e">
        <f>VLOOKUP(Table13[[#This Row],[kbli5]],kata_kunci!$B:$H,7,FALSE)</f>
        <v>#N/A</v>
      </c>
    </row>
    <row r="561" spans="1:11" ht="45.75" thickBot="1" x14ac:dyDescent="0.3">
      <c r="A561" s="53" t="s">
        <v>450</v>
      </c>
      <c r="B561" s="40">
        <v>28261</v>
      </c>
      <c r="C561" s="41" t="s">
        <v>837</v>
      </c>
      <c r="D561" s="30" t="e">
        <f>VLOOKUP(Table13[[#This Row],[kbli5]],Table1[[#All],[kbli5]:[digital_hijau]],3,)</f>
        <v>#N/A</v>
      </c>
      <c r="E561" s="53" t="e">
        <f>VLOOKUP(Table13[[#This Row],[kbli5]],kata_kunci!$B:$H,4,FALSE)</f>
        <v>#N/A</v>
      </c>
      <c r="F561" s="53" t="e">
        <f>VLOOKUP(Table13[[#This Row],[kbli5]],Table1[[#All],[kbli5]:[digital_hijau]],5,)</f>
        <v>#N/A</v>
      </c>
      <c r="G561" s="53" t="s">
        <v>2090</v>
      </c>
      <c r="H561" s="54" t="e">
        <f>VLOOKUP(Table13[[#This Row],[kbli5]],kata_kunci!$B:$H,3,FALSE)</f>
        <v>#N/A</v>
      </c>
      <c r="I561" s="84" t="e">
        <f>VLOOKUP(Table13[[#This Row],[kbli5]],kata_kunci!$B:$H,5,FALSE)</f>
        <v>#N/A</v>
      </c>
      <c r="J561" s="84" t="e">
        <f>VLOOKUP(Table13[[#This Row],[kbli5]],kata_kunci!$B:$H,6,FALSE)</f>
        <v>#N/A</v>
      </c>
      <c r="K561" s="84" t="e">
        <f>VLOOKUP(Table13[[#This Row],[kbli5]],kata_kunci!$B:$H,7,FALSE)</f>
        <v>#N/A</v>
      </c>
    </row>
    <row r="562" spans="1:11" ht="15.75" thickBot="1" x14ac:dyDescent="0.3">
      <c r="A562" s="53" t="s">
        <v>450</v>
      </c>
      <c r="B562" s="40">
        <v>28262</v>
      </c>
      <c r="C562" s="41" t="s">
        <v>838</v>
      </c>
      <c r="D562" s="30" t="e">
        <f>VLOOKUP(Table13[[#This Row],[kbli5]],Table1[[#All],[kbli5]:[digital_hijau]],3,)</f>
        <v>#N/A</v>
      </c>
      <c r="E562" s="53" t="e">
        <f>VLOOKUP(Table13[[#This Row],[kbli5]],kata_kunci!$B:$H,4,FALSE)</f>
        <v>#N/A</v>
      </c>
      <c r="F562" s="53" t="e">
        <f>VLOOKUP(Table13[[#This Row],[kbli5]],Table1[[#All],[kbli5]:[digital_hijau]],5,)</f>
        <v>#N/A</v>
      </c>
      <c r="G562" s="53" t="s">
        <v>2090</v>
      </c>
      <c r="H562" s="54" t="e">
        <f>VLOOKUP(Table13[[#This Row],[kbli5]],kata_kunci!$B:$H,3,FALSE)</f>
        <v>#N/A</v>
      </c>
      <c r="I562" s="84" t="e">
        <f>VLOOKUP(Table13[[#This Row],[kbli5]],kata_kunci!$B:$H,5,FALSE)</f>
        <v>#N/A</v>
      </c>
      <c r="J562" s="84" t="e">
        <f>VLOOKUP(Table13[[#This Row],[kbli5]],kata_kunci!$B:$H,6,FALSE)</f>
        <v>#N/A</v>
      </c>
      <c r="K562" s="84" t="e">
        <f>VLOOKUP(Table13[[#This Row],[kbli5]],kata_kunci!$B:$H,7,FALSE)</f>
        <v>#N/A</v>
      </c>
    </row>
    <row r="563" spans="1:11" ht="45.75" thickBot="1" x14ac:dyDescent="0.3">
      <c r="A563" s="53" t="s">
        <v>450</v>
      </c>
      <c r="B563" s="40">
        <v>28263</v>
      </c>
      <c r="C563" s="41" t="s">
        <v>839</v>
      </c>
      <c r="D563" s="30" t="e">
        <f>VLOOKUP(Table13[[#This Row],[kbli5]],Table1[[#All],[kbli5]:[digital_hijau]],3,)</f>
        <v>#N/A</v>
      </c>
      <c r="E563" s="53" t="e">
        <f>VLOOKUP(Table13[[#This Row],[kbli5]],kata_kunci!$B:$H,4,FALSE)</f>
        <v>#N/A</v>
      </c>
      <c r="F563" s="53" t="e">
        <f>VLOOKUP(Table13[[#This Row],[kbli5]],Table1[[#All],[kbli5]:[digital_hijau]],5,)</f>
        <v>#N/A</v>
      </c>
      <c r="G563" s="53" t="s">
        <v>2090</v>
      </c>
      <c r="H563" s="54" t="e">
        <f>VLOOKUP(Table13[[#This Row],[kbli5]],kata_kunci!$B:$H,3,FALSE)</f>
        <v>#N/A</v>
      </c>
      <c r="I563" s="84" t="e">
        <f>VLOOKUP(Table13[[#This Row],[kbli5]],kata_kunci!$B:$H,5,FALSE)</f>
        <v>#N/A</v>
      </c>
      <c r="J563" s="84" t="e">
        <f>VLOOKUP(Table13[[#This Row],[kbli5]],kata_kunci!$B:$H,6,FALSE)</f>
        <v>#N/A</v>
      </c>
      <c r="K563" s="84" t="e">
        <f>VLOOKUP(Table13[[#This Row],[kbli5]],kata_kunci!$B:$H,7,FALSE)</f>
        <v>#N/A</v>
      </c>
    </row>
    <row r="564" spans="1:11" ht="30.75" thickBot="1" x14ac:dyDescent="0.3">
      <c r="A564" s="53" t="s">
        <v>450</v>
      </c>
      <c r="B564" s="40">
        <v>28291</v>
      </c>
      <c r="C564" s="41" t="s">
        <v>840</v>
      </c>
      <c r="D564" s="30" t="e">
        <f>VLOOKUP(Table13[[#This Row],[kbli5]],Table1[[#All],[kbli5]:[digital_hijau]],3,)</f>
        <v>#N/A</v>
      </c>
      <c r="E564" s="53" t="e">
        <f>VLOOKUP(Table13[[#This Row],[kbli5]],kata_kunci!$B:$H,4,FALSE)</f>
        <v>#N/A</v>
      </c>
      <c r="F564" s="53" t="e">
        <f>VLOOKUP(Table13[[#This Row],[kbli5]],Table1[[#All],[kbli5]:[digital_hijau]],5,)</f>
        <v>#N/A</v>
      </c>
      <c r="G564" s="53" t="s">
        <v>2090</v>
      </c>
      <c r="H564" s="54" t="e">
        <f>VLOOKUP(Table13[[#This Row],[kbli5]],kata_kunci!$B:$H,3,FALSE)</f>
        <v>#N/A</v>
      </c>
      <c r="I564" s="84" t="e">
        <f>VLOOKUP(Table13[[#This Row],[kbli5]],kata_kunci!$B:$H,5,FALSE)</f>
        <v>#N/A</v>
      </c>
      <c r="J564" s="84" t="e">
        <f>VLOOKUP(Table13[[#This Row],[kbli5]],kata_kunci!$B:$H,6,FALSE)</f>
        <v>#N/A</v>
      </c>
      <c r="K564" s="84" t="e">
        <f>VLOOKUP(Table13[[#This Row],[kbli5]],kata_kunci!$B:$H,7,FALSE)</f>
        <v>#N/A</v>
      </c>
    </row>
    <row r="565" spans="1:11" ht="30.75" thickBot="1" x14ac:dyDescent="0.3">
      <c r="A565" s="53" t="s">
        <v>450</v>
      </c>
      <c r="B565" s="40">
        <v>28292</v>
      </c>
      <c r="C565" s="41" t="s">
        <v>841</v>
      </c>
      <c r="D565" s="30" t="e">
        <f>VLOOKUP(Table13[[#This Row],[kbli5]],Table1[[#All],[kbli5]:[digital_hijau]],3,)</f>
        <v>#N/A</v>
      </c>
      <c r="E565" s="53" t="e">
        <f>VLOOKUP(Table13[[#This Row],[kbli5]],kata_kunci!$B:$H,4,FALSE)</f>
        <v>#N/A</v>
      </c>
      <c r="F565" s="53" t="e">
        <f>VLOOKUP(Table13[[#This Row],[kbli5]],Table1[[#All],[kbli5]:[digital_hijau]],5,)</f>
        <v>#N/A</v>
      </c>
      <c r="G565" s="53" t="s">
        <v>2090</v>
      </c>
      <c r="H565" s="54" t="e">
        <f>VLOOKUP(Table13[[#This Row],[kbli5]],kata_kunci!$B:$H,3,FALSE)</f>
        <v>#N/A</v>
      </c>
      <c r="I565" s="84" t="e">
        <f>VLOOKUP(Table13[[#This Row],[kbli5]],kata_kunci!$B:$H,5,FALSE)</f>
        <v>#N/A</v>
      </c>
      <c r="J565" s="84" t="e">
        <f>VLOOKUP(Table13[[#This Row],[kbli5]],kata_kunci!$B:$H,6,FALSE)</f>
        <v>#N/A</v>
      </c>
      <c r="K565" s="84" t="e">
        <f>VLOOKUP(Table13[[#This Row],[kbli5]],kata_kunci!$B:$H,7,FALSE)</f>
        <v>#N/A</v>
      </c>
    </row>
    <row r="566" spans="1:11" ht="45.75" thickBot="1" x14ac:dyDescent="0.3">
      <c r="A566" s="53" t="s">
        <v>450</v>
      </c>
      <c r="B566" s="40">
        <v>28299</v>
      </c>
      <c r="C566" s="41" t="s">
        <v>842</v>
      </c>
      <c r="D566" s="30" t="e">
        <f>VLOOKUP(Table13[[#This Row],[kbli5]],Table1[[#All],[kbli5]:[digital_hijau]],3,)</f>
        <v>#N/A</v>
      </c>
      <c r="E566" s="53" t="e">
        <f>VLOOKUP(Table13[[#This Row],[kbli5]],kata_kunci!$B:$H,4,FALSE)</f>
        <v>#N/A</v>
      </c>
      <c r="F566" s="53" t="e">
        <f>VLOOKUP(Table13[[#This Row],[kbli5]],Table1[[#All],[kbli5]:[digital_hijau]],5,)</f>
        <v>#N/A</v>
      </c>
      <c r="G566" s="53" t="s">
        <v>2090</v>
      </c>
      <c r="H566" s="54" t="e">
        <f>VLOOKUP(Table13[[#This Row],[kbli5]],kata_kunci!$B:$H,3,FALSE)</f>
        <v>#N/A</v>
      </c>
      <c r="I566" s="84" t="e">
        <f>VLOOKUP(Table13[[#This Row],[kbli5]],kata_kunci!$B:$H,5,FALSE)</f>
        <v>#N/A</v>
      </c>
      <c r="J566" s="84" t="e">
        <f>VLOOKUP(Table13[[#This Row],[kbli5]],kata_kunci!$B:$H,6,FALSE)</f>
        <v>#N/A</v>
      </c>
      <c r="K566" s="84" t="e">
        <f>VLOOKUP(Table13[[#This Row],[kbli5]],kata_kunci!$B:$H,7,FALSE)</f>
        <v>#N/A</v>
      </c>
    </row>
    <row r="567" spans="1:11" ht="45.75" thickBot="1" x14ac:dyDescent="0.3">
      <c r="A567" s="53" t="s">
        <v>450</v>
      </c>
      <c r="B567" s="40">
        <v>29100</v>
      </c>
      <c r="C567" s="41" t="s">
        <v>843</v>
      </c>
      <c r="D567" s="30" t="e">
        <f>VLOOKUP(Table13[[#This Row],[kbli5]],Table1[[#All],[kbli5]:[digital_hijau]],3,)</f>
        <v>#N/A</v>
      </c>
      <c r="E567" s="53" t="e">
        <f>VLOOKUP(Table13[[#This Row],[kbli5]],kata_kunci!$B:$H,4,FALSE)</f>
        <v>#N/A</v>
      </c>
      <c r="F567" s="53" t="e">
        <f>VLOOKUP(Table13[[#This Row],[kbli5]],Table1[[#All],[kbli5]:[digital_hijau]],5,)</f>
        <v>#N/A</v>
      </c>
      <c r="G567" s="35" t="s">
        <v>2060</v>
      </c>
      <c r="H567" s="54" t="e">
        <f>VLOOKUP(Table13[[#This Row],[kbli5]],kata_kunci!$B:$H,3,FALSE)</f>
        <v>#N/A</v>
      </c>
      <c r="I567" s="84" t="e">
        <f>VLOOKUP(Table13[[#This Row],[kbli5]],kata_kunci!$B:$H,5,FALSE)</f>
        <v>#N/A</v>
      </c>
      <c r="J567" s="84" t="e">
        <f>VLOOKUP(Table13[[#This Row],[kbli5]],kata_kunci!$B:$H,6,FALSE)</f>
        <v>#N/A</v>
      </c>
      <c r="K567" s="84" t="e">
        <f>VLOOKUP(Table13[[#This Row],[kbli5]],kata_kunci!$B:$H,7,FALSE)</f>
        <v>#N/A</v>
      </c>
    </row>
    <row r="568" spans="1:11" ht="45.75" thickBot="1" x14ac:dyDescent="0.3">
      <c r="A568" s="53" t="s">
        <v>450</v>
      </c>
      <c r="B568" s="40">
        <v>29200</v>
      </c>
      <c r="C568" s="41" t="s">
        <v>844</v>
      </c>
      <c r="D568" s="30" t="e">
        <f>VLOOKUP(Table13[[#This Row],[kbli5]],Table1[[#All],[kbli5]:[digital_hijau]],3,)</f>
        <v>#N/A</v>
      </c>
      <c r="E568" s="53" t="e">
        <f>VLOOKUP(Table13[[#This Row],[kbli5]],kata_kunci!$B:$H,4,FALSE)</f>
        <v>#N/A</v>
      </c>
      <c r="F568" s="53" t="e">
        <f>VLOOKUP(Table13[[#This Row],[kbli5]],Table1[[#All],[kbli5]:[digital_hijau]],5,)</f>
        <v>#N/A</v>
      </c>
      <c r="G568" s="53" t="s">
        <v>2090</v>
      </c>
      <c r="H568" s="54" t="e">
        <f>VLOOKUP(Table13[[#This Row],[kbli5]],kata_kunci!$B:$H,3,FALSE)</f>
        <v>#N/A</v>
      </c>
      <c r="I568" s="84" t="e">
        <f>VLOOKUP(Table13[[#This Row],[kbli5]],kata_kunci!$B:$H,5,FALSE)</f>
        <v>#N/A</v>
      </c>
      <c r="J568" s="84" t="e">
        <f>VLOOKUP(Table13[[#This Row],[kbli5]],kata_kunci!$B:$H,6,FALSE)</f>
        <v>#N/A</v>
      </c>
      <c r="K568" s="84" t="e">
        <f>VLOOKUP(Table13[[#This Row],[kbli5]],kata_kunci!$B:$H,7,FALSE)</f>
        <v>#N/A</v>
      </c>
    </row>
    <row r="569" spans="1:11" ht="60.75" thickBot="1" x14ac:dyDescent="0.3">
      <c r="A569" s="53" t="s">
        <v>450</v>
      </c>
      <c r="B569" s="40">
        <v>29300</v>
      </c>
      <c r="C569" s="41" t="s">
        <v>845</v>
      </c>
      <c r="D569" s="30" t="e">
        <f>VLOOKUP(Table13[[#This Row],[kbli5]],Table1[[#All],[kbli5]:[digital_hijau]],3,)</f>
        <v>#N/A</v>
      </c>
      <c r="E569" s="53" t="e">
        <f>VLOOKUP(Table13[[#This Row],[kbli5]],kata_kunci!$B:$H,4,FALSE)</f>
        <v>#N/A</v>
      </c>
      <c r="F569" s="53" t="e">
        <f>VLOOKUP(Table13[[#This Row],[kbli5]],Table1[[#All],[kbli5]:[digital_hijau]],5,)</f>
        <v>#N/A</v>
      </c>
      <c r="G569" s="53" t="s">
        <v>2090</v>
      </c>
      <c r="H569" s="54" t="e">
        <f>VLOOKUP(Table13[[#This Row],[kbli5]],kata_kunci!$B:$H,3,FALSE)</f>
        <v>#N/A</v>
      </c>
      <c r="I569" s="84" t="e">
        <f>VLOOKUP(Table13[[#This Row],[kbli5]],kata_kunci!$B:$H,5,FALSE)</f>
        <v>#N/A</v>
      </c>
      <c r="J569" s="84" t="e">
        <f>VLOOKUP(Table13[[#This Row],[kbli5]],kata_kunci!$B:$H,6,FALSE)</f>
        <v>#N/A</v>
      </c>
      <c r="K569" s="84" t="e">
        <f>VLOOKUP(Table13[[#This Row],[kbli5]],kata_kunci!$B:$H,7,FALSE)</f>
        <v>#N/A</v>
      </c>
    </row>
    <row r="570" spans="1:11" ht="30.75" thickBot="1" x14ac:dyDescent="0.3">
      <c r="A570" s="53" t="s">
        <v>450</v>
      </c>
      <c r="B570" s="40">
        <v>30111</v>
      </c>
      <c r="C570" s="41" t="s">
        <v>846</v>
      </c>
      <c r="D570" s="30" t="e">
        <f>VLOOKUP(Table13[[#This Row],[kbli5]],Table1[[#All],[kbli5]:[digital_hijau]],3,)</f>
        <v>#N/A</v>
      </c>
      <c r="E570" s="53" t="e">
        <f>VLOOKUP(Table13[[#This Row],[kbli5]],kata_kunci!$B:$H,4,FALSE)</f>
        <v>#N/A</v>
      </c>
      <c r="F570" s="53" t="e">
        <f>VLOOKUP(Table13[[#This Row],[kbli5]],Table1[[#All],[kbli5]:[digital_hijau]],5,)</f>
        <v>#N/A</v>
      </c>
      <c r="G570" s="53" t="s">
        <v>2090</v>
      </c>
      <c r="H570" s="54" t="e">
        <f>VLOOKUP(Table13[[#This Row],[kbli5]],kata_kunci!$B:$H,3,FALSE)</f>
        <v>#N/A</v>
      </c>
      <c r="I570" s="84" t="e">
        <f>VLOOKUP(Table13[[#This Row],[kbli5]],kata_kunci!$B:$H,5,FALSE)</f>
        <v>#N/A</v>
      </c>
      <c r="J570" s="84" t="e">
        <f>VLOOKUP(Table13[[#This Row],[kbli5]],kata_kunci!$B:$H,6,FALSE)</f>
        <v>#N/A</v>
      </c>
      <c r="K570" s="84" t="e">
        <f>VLOOKUP(Table13[[#This Row],[kbli5]],kata_kunci!$B:$H,7,FALSE)</f>
        <v>#N/A</v>
      </c>
    </row>
    <row r="571" spans="1:11" ht="45.75" thickBot="1" x14ac:dyDescent="0.3">
      <c r="A571" s="53" t="s">
        <v>450</v>
      </c>
      <c r="B571" s="40">
        <v>30112</v>
      </c>
      <c r="C571" s="41" t="s">
        <v>847</v>
      </c>
      <c r="D571" s="30" t="e">
        <f>VLOOKUP(Table13[[#This Row],[kbli5]],Table1[[#All],[kbli5]:[digital_hijau]],3,)</f>
        <v>#N/A</v>
      </c>
      <c r="E571" s="53" t="e">
        <f>VLOOKUP(Table13[[#This Row],[kbli5]],kata_kunci!$B:$H,4,FALSE)</f>
        <v>#N/A</v>
      </c>
      <c r="F571" s="53" t="e">
        <f>VLOOKUP(Table13[[#This Row],[kbli5]],Table1[[#All],[kbli5]:[digital_hijau]],5,)</f>
        <v>#N/A</v>
      </c>
      <c r="G571" s="53" t="s">
        <v>2090</v>
      </c>
      <c r="H571" s="54" t="e">
        <f>VLOOKUP(Table13[[#This Row],[kbli5]],kata_kunci!$B:$H,3,FALSE)</f>
        <v>#N/A</v>
      </c>
      <c r="I571" s="84" t="e">
        <f>VLOOKUP(Table13[[#This Row],[kbli5]],kata_kunci!$B:$H,5,FALSE)</f>
        <v>#N/A</v>
      </c>
      <c r="J571" s="84" t="e">
        <f>VLOOKUP(Table13[[#This Row],[kbli5]],kata_kunci!$B:$H,6,FALSE)</f>
        <v>#N/A</v>
      </c>
      <c r="K571" s="84" t="e">
        <f>VLOOKUP(Table13[[#This Row],[kbli5]],kata_kunci!$B:$H,7,FALSE)</f>
        <v>#N/A</v>
      </c>
    </row>
    <row r="572" spans="1:11" ht="45.75" thickBot="1" x14ac:dyDescent="0.3">
      <c r="A572" s="53" t="s">
        <v>450</v>
      </c>
      <c r="B572" s="40">
        <v>30113</v>
      </c>
      <c r="C572" s="41" t="s">
        <v>848</v>
      </c>
      <c r="D572" s="30" t="e">
        <f>VLOOKUP(Table13[[#This Row],[kbli5]],Table1[[#All],[kbli5]:[digital_hijau]],3,)</f>
        <v>#N/A</v>
      </c>
      <c r="E572" s="53" t="e">
        <f>VLOOKUP(Table13[[#This Row],[kbli5]],kata_kunci!$B:$H,4,FALSE)</f>
        <v>#N/A</v>
      </c>
      <c r="F572" s="53" t="e">
        <f>VLOOKUP(Table13[[#This Row],[kbli5]],Table1[[#All],[kbli5]:[digital_hijau]],5,)</f>
        <v>#N/A</v>
      </c>
      <c r="G572" s="53" t="s">
        <v>2090</v>
      </c>
      <c r="H572" s="54" t="e">
        <f>VLOOKUP(Table13[[#This Row],[kbli5]],kata_kunci!$B:$H,3,FALSE)</f>
        <v>#N/A</v>
      </c>
      <c r="I572" s="84" t="e">
        <f>VLOOKUP(Table13[[#This Row],[kbli5]],kata_kunci!$B:$H,5,FALSE)</f>
        <v>#N/A</v>
      </c>
      <c r="J572" s="84" t="e">
        <f>VLOOKUP(Table13[[#This Row],[kbli5]],kata_kunci!$B:$H,6,FALSE)</f>
        <v>#N/A</v>
      </c>
      <c r="K572" s="84" t="e">
        <f>VLOOKUP(Table13[[#This Row],[kbli5]],kata_kunci!$B:$H,7,FALSE)</f>
        <v>#N/A</v>
      </c>
    </row>
    <row r="573" spans="1:11" ht="45.75" thickBot="1" x14ac:dyDescent="0.3">
      <c r="A573" s="53" t="s">
        <v>450</v>
      </c>
      <c r="B573" s="40">
        <v>30120</v>
      </c>
      <c r="C573" s="41" t="s">
        <v>849</v>
      </c>
      <c r="D573" s="30" t="e">
        <f>VLOOKUP(Table13[[#This Row],[kbli5]],Table1[[#All],[kbli5]:[digital_hijau]],3,)</f>
        <v>#N/A</v>
      </c>
      <c r="E573" s="53" t="e">
        <f>VLOOKUP(Table13[[#This Row],[kbli5]],kata_kunci!$B:$H,4,FALSE)</f>
        <v>#N/A</v>
      </c>
      <c r="F573" s="53" t="e">
        <f>VLOOKUP(Table13[[#This Row],[kbli5]],Table1[[#All],[kbli5]:[digital_hijau]],5,)</f>
        <v>#N/A</v>
      </c>
      <c r="G573" s="53" t="s">
        <v>2090</v>
      </c>
      <c r="H573" s="54" t="e">
        <f>VLOOKUP(Table13[[#This Row],[kbli5]],kata_kunci!$B:$H,3,FALSE)</f>
        <v>#N/A</v>
      </c>
      <c r="I573" s="84" t="e">
        <f>VLOOKUP(Table13[[#This Row],[kbli5]],kata_kunci!$B:$H,5,FALSE)</f>
        <v>#N/A</v>
      </c>
      <c r="J573" s="84" t="e">
        <f>VLOOKUP(Table13[[#This Row],[kbli5]],kata_kunci!$B:$H,6,FALSE)</f>
        <v>#N/A</v>
      </c>
      <c r="K573" s="84" t="e">
        <f>VLOOKUP(Table13[[#This Row],[kbli5]],kata_kunci!$B:$H,7,FALSE)</f>
        <v>#N/A</v>
      </c>
    </row>
    <row r="574" spans="1:11" ht="30.75" thickBot="1" x14ac:dyDescent="0.3">
      <c r="A574" s="53" t="s">
        <v>450</v>
      </c>
      <c r="B574" s="40">
        <v>30200</v>
      </c>
      <c r="C574" s="41" t="s">
        <v>850</v>
      </c>
      <c r="D574" s="30" t="e">
        <f>VLOOKUP(Table13[[#This Row],[kbli5]],Table1[[#All],[kbli5]:[digital_hijau]],3,)</f>
        <v>#N/A</v>
      </c>
      <c r="E574" s="53" t="e">
        <f>VLOOKUP(Table13[[#This Row],[kbli5]],kata_kunci!$B:$H,4,FALSE)</f>
        <v>#N/A</v>
      </c>
      <c r="F574" s="53" t="e">
        <f>VLOOKUP(Table13[[#This Row],[kbli5]],Table1[[#All],[kbli5]:[digital_hijau]],5,)</f>
        <v>#N/A</v>
      </c>
      <c r="G574" s="53" t="s">
        <v>2090</v>
      </c>
      <c r="H574" s="54" t="e">
        <f>VLOOKUP(Table13[[#This Row],[kbli5]],kata_kunci!$B:$H,3,FALSE)</f>
        <v>#N/A</v>
      </c>
      <c r="I574" s="84" t="e">
        <f>VLOOKUP(Table13[[#This Row],[kbli5]],kata_kunci!$B:$H,5,FALSE)</f>
        <v>#N/A</v>
      </c>
      <c r="J574" s="84" t="e">
        <f>VLOOKUP(Table13[[#This Row],[kbli5]],kata_kunci!$B:$H,6,FALSE)</f>
        <v>#N/A</v>
      </c>
      <c r="K574" s="84" t="e">
        <f>VLOOKUP(Table13[[#This Row],[kbli5]],kata_kunci!$B:$H,7,FALSE)</f>
        <v>#N/A</v>
      </c>
    </row>
    <row r="575" spans="1:11" ht="45.75" thickBot="1" x14ac:dyDescent="0.3">
      <c r="A575" s="53" t="s">
        <v>450</v>
      </c>
      <c r="B575" s="40">
        <v>30301</v>
      </c>
      <c r="C575" s="41" t="s">
        <v>851</v>
      </c>
      <c r="D575" s="30" t="e">
        <f>VLOOKUP(Table13[[#This Row],[kbli5]],Table1[[#All],[kbli5]:[digital_hijau]],3,)</f>
        <v>#N/A</v>
      </c>
      <c r="E575" s="53" t="e">
        <f>VLOOKUP(Table13[[#This Row],[kbli5]],kata_kunci!$B:$H,4,FALSE)</f>
        <v>#N/A</v>
      </c>
      <c r="F575" s="53" t="e">
        <f>VLOOKUP(Table13[[#This Row],[kbli5]],Table1[[#All],[kbli5]:[digital_hijau]],5,)</f>
        <v>#N/A</v>
      </c>
      <c r="G575" s="53" t="s">
        <v>2090</v>
      </c>
      <c r="H575" s="54" t="e">
        <f>VLOOKUP(Table13[[#This Row],[kbli5]],kata_kunci!$B:$H,3,FALSE)</f>
        <v>#N/A</v>
      </c>
      <c r="I575" s="84" t="e">
        <f>VLOOKUP(Table13[[#This Row],[kbli5]],kata_kunci!$B:$H,5,FALSE)</f>
        <v>#N/A</v>
      </c>
      <c r="J575" s="84" t="e">
        <f>VLOOKUP(Table13[[#This Row],[kbli5]],kata_kunci!$B:$H,6,FALSE)</f>
        <v>#N/A</v>
      </c>
      <c r="K575" s="84" t="e">
        <f>VLOOKUP(Table13[[#This Row],[kbli5]],kata_kunci!$B:$H,7,FALSE)</f>
        <v>#N/A</v>
      </c>
    </row>
    <row r="576" spans="1:11" ht="45.75" thickBot="1" x14ac:dyDescent="0.3">
      <c r="A576" s="53" t="s">
        <v>450</v>
      </c>
      <c r="B576" s="40">
        <v>30302</v>
      </c>
      <c r="C576" s="41" t="s">
        <v>852</v>
      </c>
      <c r="D576" s="30" t="e">
        <f>VLOOKUP(Table13[[#This Row],[kbli5]],Table1[[#All],[kbli5]:[digital_hijau]],3,)</f>
        <v>#N/A</v>
      </c>
      <c r="E576" s="53" t="e">
        <f>VLOOKUP(Table13[[#This Row],[kbli5]],kata_kunci!$B:$H,4,FALSE)</f>
        <v>#N/A</v>
      </c>
      <c r="F576" s="53" t="e">
        <f>VLOOKUP(Table13[[#This Row],[kbli5]],Table1[[#All],[kbli5]:[digital_hijau]],5,)</f>
        <v>#N/A</v>
      </c>
      <c r="G576" s="53" t="s">
        <v>2090</v>
      </c>
      <c r="H576" s="54" t="e">
        <f>VLOOKUP(Table13[[#This Row],[kbli5]],kata_kunci!$B:$H,3,FALSE)</f>
        <v>#N/A</v>
      </c>
      <c r="I576" s="84" t="e">
        <f>VLOOKUP(Table13[[#This Row],[kbli5]],kata_kunci!$B:$H,5,FALSE)</f>
        <v>#N/A</v>
      </c>
      <c r="J576" s="84" t="e">
        <f>VLOOKUP(Table13[[#This Row],[kbli5]],kata_kunci!$B:$H,6,FALSE)</f>
        <v>#N/A</v>
      </c>
      <c r="K576" s="84" t="e">
        <f>VLOOKUP(Table13[[#This Row],[kbli5]],kata_kunci!$B:$H,7,FALSE)</f>
        <v>#N/A</v>
      </c>
    </row>
    <row r="577" spans="1:11" ht="45.75" thickBot="1" x14ac:dyDescent="0.3">
      <c r="A577" s="53" t="s">
        <v>450</v>
      </c>
      <c r="B577" s="40">
        <v>30303</v>
      </c>
      <c r="C577" s="41" t="s">
        <v>853</v>
      </c>
      <c r="D577" s="30" t="e">
        <f>VLOOKUP(Table13[[#This Row],[kbli5]],Table1[[#All],[kbli5]:[digital_hijau]],3,)</f>
        <v>#N/A</v>
      </c>
      <c r="E577" s="53" t="e">
        <f>VLOOKUP(Table13[[#This Row],[kbli5]],kata_kunci!$B:$H,4,FALSE)</f>
        <v>#N/A</v>
      </c>
      <c r="F577" s="53" t="e">
        <f>VLOOKUP(Table13[[#This Row],[kbli5]],Table1[[#All],[kbli5]:[digital_hijau]],5,)</f>
        <v>#N/A</v>
      </c>
      <c r="G577" s="53" t="s">
        <v>2090</v>
      </c>
      <c r="H577" s="54" t="e">
        <f>VLOOKUP(Table13[[#This Row],[kbli5]],kata_kunci!$B:$H,3,FALSE)</f>
        <v>#N/A</v>
      </c>
      <c r="I577" s="84" t="e">
        <f>VLOOKUP(Table13[[#This Row],[kbli5]],kata_kunci!$B:$H,5,FALSE)</f>
        <v>#N/A</v>
      </c>
      <c r="J577" s="84" t="e">
        <f>VLOOKUP(Table13[[#This Row],[kbli5]],kata_kunci!$B:$H,6,FALSE)</f>
        <v>#N/A</v>
      </c>
      <c r="K577" s="84" t="e">
        <f>VLOOKUP(Table13[[#This Row],[kbli5]],kata_kunci!$B:$H,7,FALSE)</f>
        <v>#N/A</v>
      </c>
    </row>
    <row r="578" spans="1:11" ht="30.75" thickBot="1" x14ac:dyDescent="0.3">
      <c r="A578" s="53" t="s">
        <v>450</v>
      </c>
      <c r="B578" s="40">
        <v>30400</v>
      </c>
      <c r="C578" s="41" t="s">
        <v>854</v>
      </c>
      <c r="D578" s="30" t="e">
        <f>VLOOKUP(Table13[[#This Row],[kbli5]],Table1[[#All],[kbli5]:[digital_hijau]],3,)</f>
        <v>#N/A</v>
      </c>
      <c r="E578" s="53" t="e">
        <f>VLOOKUP(Table13[[#This Row],[kbli5]],kata_kunci!$B:$H,4,FALSE)</f>
        <v>#N/A</v>
      </c>
      <c r="F578" s="53" t="e">
        <f>VLOOKUP(Table13[[#This Row],[kbli5]],Table1[[#All],[kbli5]:[digital_hijau]],5,)</f>
        <v>#N/A</v>
      </c>
      <c r="G578" s="53" t="s">
        <v>2090</v>
      </c>
      <c r="H578" s="54" t="e">
        <f>VLOOKUP(Table13[[#This Row],[kbli5]],kata_kunci!$B:$H,3,FALSE)</f>
        <v>#N/A</v>
      </c>
      <c r="I578" s="84" t="e">
        <f>VLOOKUP(Table13[[#This Row],[kbli5]],kata_kunci!$B:$H,5,FALSE)</f>
        <v>#N/A</v>
      </c>
      <c r="J578" s="84" t="e">
        <f>VLOOKUP(Table13[[#This Row],[kbli5]],kata_kunci!$B:$H,6,FALSE)</f>
        <v>#N/A</v>
      </c>
      <c r="K578" s="84" t="e">
        <f>VLOOKUP(Table13[[#This Row],[kbli5]],kata_kunci!$B:$H,7,FALSE)</f>
        <v>#N/A</v>
      </c>
    </row>
    <row r="579" spans="1:11" ht="30.75" thickBot="1" x14ac:dyDescent="0.3">
      <c r="A579" s="53" t="s">
        <v>450</v>
      </c>
      <c r="B579" s="40">
        <v>30911</v>
      </c>
      <c r="C579" s="41" t="s">
        <v>855</v>
      </c>
      <c r="D579" s="30" t="e">
        <f>VLOOKUP(Table13[[#This Row],[kbli5]],Table1[[#All],[kbli5]:[digital_hijau]],3,)</f>
        <v>#N/A</v>
      </c>
      <c r="E579" s="53" t="e">
        <f>VLOOKUP(Table13[[#This Row],[kbli5]],kata_kunci!$B:$H,4,FALSE)</f>
        <v>#N/A</v>
      </c>
      <c r="F579" s="53" t="e">
        <f>VLOOKUP(Table13[[#This Row],[kbli5]],Table1[[#All],[kbli5]:[digital_hijau]],5,)</f>
        <v>#N/A</v>
      </c>
      <c r="G579" s="53" t="s">
        <v>2090</v>
      </c>
      <c r="H579" s="54" t="e">
        <f>VLOOKUP(Table13[[#This Row],[kbli5]],kata_kunci!$B:$H,3,FALSE)</f>
        <v>#N/A</v>
      </c>
      <c r="I579" s="84" t="e">
        <f>VLOOKUP(Table13[[#This Row],[kbli5]],kata_kunci!$B:$H,5,FALSE)</f>
        <v>#N/A</v>
      </c>
      <c r="J579" s="84" t="e">
        <f>VLOOKUP(Table13[[#This Row],[kbli5]],kata_kunci!$B:$H,6,FALSE)</f>
        <v>#N/A</v>
      </c>
      <c r="K579" s="84" t="e">
        <f>VLOOKUP(Table13[[#This Row],[kbli5]],kata_kunci!$B:$H,7,FALSE)</f>
        <v>#N/A</v>
      </c>
    </row>
    <row r="580" spans="1:11" ht="45.75" thickBot="1" x14ac:dyDescent="0.3">
      <c r="A580" s="53" t="s">
        <v>450</v>
      </c>
      <c r="B580" s="40">
        <v>30912</v>
      </c>
      <c r="C580" s="41" t="s">
        <v>856</v>
      </c>
      <c r="D580" s="30" t="e">
        <f>VLOOKUP(Table13[[#This Row],[kbli5]],Table1[[#All],[kbli5]:[digital_hijau]],3,)</f>
        <v>#N/A</v>
      </c>
      <c r="E580" s="53" t="e">
        <f>VLOOKUP(Table13[[#This Row],[kbli5]],kata_kunci!$B:$H,4,FALSE)</f>
        <v>#N/A</v>
      </c>
      <c r="F580" s="53" t="e">
        <f>VLOOKUP(Table13[[#This Row],[kbli5]],Table1[[#All],[kbli5]:[digital_hijau]],5,)</f>
        <v>#N/A</v>
      </c>
      <c r="G580" s="35" t="s">
        <v>2060</v>
      </c>
      <c r="H580" s="54" t="e">
        <f>VLOOKUP(Table13[[#This Row],[kbli5]],kata_kunci!$B:$H,3,FALSE)</f>
        <v>#N/A</v>
      </c>
      <c r="I580" s="84" t="e">
        <f>VLOOKUP(Table13[[#This Row],[kbli5]],kata_kunci!$B:$H,5,FALSE)</f>
        <v>#N/A</v>
      </c>
      <c r="J580" s="84" t="e">
        <f>VLOOKUP(Table13[[#This Row],[kbli5]],kata_kunci!$B:$H,6,FALSE)</f>
        <v>#N/A</v>
      </c>
      <c r="K580" s="84" t="e">
        <f>VLOOKUP(Table13[[#This Row],[kbli5]],kata_kunci!$B:$H,7,FALSE)</f>
        <v>#N/A</v>
      </c>
    </row>
    <row r="581" spans="1:11" ht="45.75" thickBot="1" x14ac:dyDescent="0.3">
      <c r="A581" s="53" t="s">
        <v>450</v>
      </c>
      <c r="B581" s="40">
        <v>30921</v>
      </c>
      <c r="C581" s="41" t="s">
        <v>857</v>
      </c>
      <c r="D581" s="30" t="e">
        <f>VLOOKUP(Table13[[#This Row],[kbli5]],Table1[[#All],[kbli5]:[digital_hijau]],3,)</f>
        <v>#N/A</v>
      </c>
      <c r="E581" s="53" t="e">
        <f>VLOOKUP(Table13[[#This Row],[kbli5]],kata_kunci!$B:$H,4,FALSE)</f>
        <v>#N/A</v>
      </c>
      <c r="F581" s="53" t="e">
        <f>VLOOKUP(Table13[[#This Row],[kbli5]],Table1[[#All],[kbli5]:[digital_hijau]],5,)</f>
        <v>#N/A</v>
      </c>
      <c r="G581" s="53" t="s">
        <v>2090</v>
      </c>
      <c r="H581" s="54" t="e">
        <f>VLOOKUP(Table13[[#This Row],[kbli5]],kata_kunci!$B:$H,3,FALSE)</f>
        <v>#N/A</v>
      </c>
      <c r="I581" s="84" t="e">
        <f>VLOOKUP(Table13[[#This Row],[kbli5]],kata_kunci!$B:$H,5,FALSE)</f>
        <v>#N/A</v>
      </c>
      <c r="J581" s="84" t="e">
        <f>VLOOKUP(Table13[[#This Row],[kbli5]],kata_kunci!$B:$H,6,FALSE)</f>
        <v>#N/A</v>
      </c>
      <c r="K581" s="84" t="e">
        <f>VLOOKUP(Table13[[#This Row],[kbli5]],kata_kunci!$B:$H,7,FALSE)</f>
        <v>#N/A</v>
      </c>
    </row>
    <row r="582" spans="1:11" ht="45.75" thickBot="1" x14ac:dyDescent="0.3">
      <c r="A582" s="53" t="s">
        <v>450</v>
      </c>
      <c r="B582" s="40">
        <v>30922</v>
      </c>
      <c r="C582" s="41" t="s">
        <v>858</v>
      </c>
      <c r="D582" s="30" t="e">
        <f>VLOOKUP(Table13[[#This Row],[kbli5]],Table1[[#All],[kbli5]:[digital_hijau]],3,)</f>
        <v>#N/A</v>
      </c>
      <c r="E582" s="53" t="e">
        <f>VLOOKUP(Table13[[#This Row],[kbli5]],kata_kunci!$B:$H,4,FALSE)</f>
        <v>#N/A</v>
      </c>
      <c r="F582" s="53" t="e">
        <f>VLOOKUP(Table13[[#This Row],[kbli5]],Table1[[#All],[kbli5]:[digital_hijau]],5,)</f>
        <v>#N/A</v>
      </c>
      <c r="G582" s="53" t="s">
        <v>2090</v>
      </c>
      <c r="H582" s="54" t="e">
        <f>VLOOKUP(Table13[[#This Row],[kbli5]],kata_kunci!$B:$H,3,FALSE)</f>
        <v>#N/A</v>
      </c>
      <c r="I582" s="84" t="e">
        <f>VLOOKUP(Table13[[#This Row],[kbli5]],kata_kunci!$B:$H,5,FALSE)</f>
        <v>#N/A</v>
      </c>
      <c r="J582" s="84" t="e">
        <f>VLOOKUP(Table13[[#This Row],[kbli5]],kata_kunci!$B:$H,6,FALSE)</f>
        <v>#N/A</v>
      </c>
      <c r="K582" s="84" t="e">
        <f>VLOOKUP(Table13[[#This Row],[kbli5]],kata_kunci!$B:$H,7,FALSE)</f>
        <v>#N/A</v>
      </c>
    </row>
    <row r="583" spans="1:11" ht="30.75" thickBot="1" x14ac:dyDescent="0.3">
      <c r="A583" s="53" t="s">
        <v>450</v>
      </c>
      <c r="B583" s="40">
        <v>30990</v>
      </c>
      <c r="C583" s="41" t="s">
        <v>859</v>
      </c>
      <c r="D583" s="30" t="e">
        <f>VLOOKUP(Table13[[#This Row],[kbli5]],Table1[[#All],[kbli5]:[digital_hijau]],3,)</f>
        <v>#N/A</v>
      </c>
      <c r="E583" s="53" t="e">
        <f>VLOOKUP(Table13[[#This Row],[kbli5]],kata_kunci!$B:$H,4,FALSE)</f>
        <v>#N/A</v>
      </c>
      <c r="F583" s="53" t="e">
        <f>VLOOKUP(Table13[[#This Row],[kbli5]],Table1[[#All],[kbli5]:[digital_hijau]],5,)</f>
        <v>#N/A</v>
      </c>
      <c r="G583" s="53" t="s">
        <v>2090</v>
      </c>
      <c r="H583" s="54" t="e">
        <f>VLOOKUP(Table13[[#This Row],[kbli5]],kata_kunci!$B:$H,3,FALSE)</f>
        <v>#N/A</v>
      </c>
      <c r="I583" s="84" t="e">
        <f>VLOOKUP(Table13[[#This Row],[kbli5]],kata_kunci!$B:$H,5,FALSE)</f>
        <v>#N/A</v>
      </c>
      <c r="J583" s="84" t="e">
        <f>VLOOKUP(Table13[[#This Row],[kbli5]],kata_kunci!$B:$H,6,FALSE)</f>
        <v>#N/A</v>
      </c>
      <c r="K583" s="84" t="e">
        <f>VLOOKUP(Table13[[#This Row],[kbli5]],kata_kunci!$B:$H,7,FALSE)</f>
        <v>#N/A</v>
      </c>
    </row>
    <row r="584" spans="1:11" ht="30.75" thickBot="1" x14ac:dyDescent="0.3">
      <c r="A584" s="53" t="s">
        <v>450</v>
      </c>
      <c r="B584" s="40">
        <v>31011</v>
      </c>
      <c r="C584" s="41" t="s">
        <v>860</v>
      </c>
      <c r="D584" s="30" t="e">
        <f>VLOOKUP(Table13[[#This Row],[kbli5]],Table1[[#All],[kbli5]:[digital_hijau]],3,)</f>
        <v>#N/A</v>
      </c>
      <c r="E584" s="53" t="e">
        <f>VLOOKUP(Table13[[#This Row],[kbli5]],kata_kunci!$B:$H,4,FALSE)</f>
        <v>#N/A</v>
      </c>
      <c r="F584" s="53" t="e">
        <f>VLOOKUP(Table13[[#This Row],[kbli5]],Table1[[#All],[kbli5]:[digital_hijau]],5,)</f>
        <v>#N/A</v>
      </c>
      <c r="G584" s="53" t="s">
        <v>2090</v>
      </c>
      <c r="H584" s="54" t="e">
        <f>VLOOKUP(Table13[[#This Row],[kbli5]],kata_kunci!$B:$H,3,FALSE)</f>
        <v>#N/A</v>
      </c>
      <c r="I584" s="84" t="e">
        <f>VLOOKUP(Table13[[#This Row],[kbli5]],kata_kunci!$B:$H,5,FALSE)</f>
        <v>#N/A</v>
      </c>
      <c r="J584" s="84" t="e">
        <f>VLOOKUP(Table13[[#This Row],[kbli5]],kata_kunci!$B:$H,6,FALSE)</f>
        <v>#N/A</v>
      </c>
      <c r="K584" s="84" t="e">
        <f>VLOOKUP(Table13[[#This Row],[kbli5]],kata_kunci!$B:$H,7,FALSE)</f>
        <v>#N/A</v>
      </c>
    </row>
    <row r="585" spans="1:11" ht="30.75" thickBot="1" x14ac:dyDescent="0.3">
      <c r="A585" s="53" t="s">
        <v>450</v>
      </c>
      <c r="B585" s="40">
        <v>31012</v>
      </c>
      <c r="C585" s="41" t="s">
        <v>861</v>
      </c>
      <c r="D585" s="30" t="e">
        <f>VLOOKUP(Table13[[#This Row],[kbli5]],Table1[[#All],[kbli5]:[digital_hijau]],3,)</f>
        <v>#N/A</v>
      </c>
      <c r="E585" s="53" t="e">
        <f>VLOOKUP(Table13[[#This Row],[kbli5]],kata_kunci!$B:$H,4,FALSE)</f>
        <v>#N/A</v>
      </c>
      <c r="F585" s="53" t="e">
        <f>VLOOKUP(Table13[[#This Row],[kbli5]],Table1[[#All],[kbli5]:[digital_hijau]],5,)</f>
        <v>#N/A</v>
      </c>
      <c r="G585" s="53" t="s">
        <v>2090</v>
      </c>
      <c r="H585" s="54" t="e">
        <f>VLOOKUP(Table13[[#This Row],[kbli5]],kata_kunci!$B:$H,3,FALSE)</f>
        <v>#N/A</v>
      </c>
      <c r="I585" s="84" t="e">
        <f>VLOOKUP(Table13[[#This Row],[kbli5]],kata_kunci!$B:$H,5,FALSE)</f>
        <v>#N/A</v>
      </c>
      <c r="J585" s="84" t="e">
        <f>VLOOKUP(Table13[[#This Row],[kbli5]],kata_kunci!$B:$H,6,FALSE)</f>
        <v>#N/A</v>
      </c>
      <c r="K585" s="84" t="e">
        <f>VLOOKUP(Table13[[#This Row],[kbli5]],kata_kunci!$B:$H,7,FALSE)</f>
        <v>#N/A</v>
      </c>
    </row>
    <row r="586" spans="1:11" ht="30.75" thickBot="1" x14ac:dyDescent="0.3">
      <c r="A586" s="53" t="s">
        <v>450</v>
      </c>
      <c r="B586" s="40">
        <v>31021</v>
      </c>
      <c r="C586" s="41" t="s">
        <v>862</v>
      </c>
      <c r="D586" s="30" t="e">
        <f>VLOOKUP(Table13[[#This Row],[kbli5]],Table1[[#All],[kbli5]:[digital_hijau]],3,)</f>
        <v>#N/A</v>
      </c>
      <c r="E586" s="53" t="e">
        <f>VLOOKUP(Table13[[#This Row],[kbli5]],kata_kunci!$B:$H,4,FALSE)</f>
        <v>#N/A</v>
      </c>
      <c r="F586" s="53" t="e">
        <f>VLOOKUP(Table13[[#This Row],[kbli5]],Table1[[#All],[kbli5]:[digital_hijau]],5,)</f>
        <v>#N/A</v>
      </c>
      <c r="G586" s="53" t="s">
        <v>2090</v>
      </c>
      <c r="H586" s="54" t="e">
        <f>VLOOKUP(Table13[[#This Row],[kbli5]],kata_kunci!$B:$H,3,FALSE)</f>
        <v>#N/A</v>
      </c>
      <c r="I586" s="84" t="e">
        <f>VLOOKUP(Table13[[#This Row],[kbli5]],kata_kunci!$B:$H,5,FALSE)</f>
        <v>#N/A</v>
      </c>
      <c r="J586" s="84" t="e">
        <f>VLOOKUP(Table13[[#This Row],[kbli5]],kata_kunci!$B:$H,6,FALSE)</f>
        <v>#N/A</v>
      </c>
      <c r="K586" s="84" t="e">
        <f>VLOOKUP(Table13[[#This Row],[kbli5]],kata_kunci!$B:$H,7,FALSE)</f>
        <v>#N/A</v>
      </c>
    </row>
    <row r="587" spans="1:11" ht="30.75" thickBot="1" x14ac:dyDescent="0.3">
      <c r="A587" s="53" t="s">
        <v>450</v>
      </c>
      <c r="B587" s="40">
        <v>31022</v>
      </c>
      <c r="C587" s="41" t="s">
        <v>863</v>
      </c>
      <c r="D587" s="30" t="e">
        <f>VLOOKUP(Table13[[#This Row],[kbli5]],Table1[[#All],[kbli5]:[digital_hijau]],3,)</f>
        <v>#N/A</v>
      </c>
      <c r="E587" s="53" t="e">
        <f>VLOOKUP(Table13[[#This Row],[kbli5]],kata_kunci!$B:$H,4,FALSE)</f>
        <v>#N/A</v>
      </c>
      <c r="F587" s="53" t="e">
        <f>VLOOKUP(Table13[[#This Row],[kbli5]],Table1[[#All],[kbli5]:[digital_hijau]],5,)</f>
        <v>#N/A</v>
      </c>
      <c r="G587" s="53" t="s">
        <v>2090</v>
      </c>
      <c r="H587" s="54" t="e">
        <f>VLOOKUP(Table13[[#This Row],[kbli5]],kata_kunci!$B:$H,3,FALSE)</f>
        <v>#N/A</v>
      </c>
      <c r="I587" s="84" t="e">
        <f>VLOOKUP(Table13[[#This Row],[kbli5]],kata_kunci!$B:$H,5,FALSE)</f>
        <v>#N/A</v>
      </c>
      <c r="J587" s="84" t="e">
        <f>VLOOKUP(Table13[[#This Row],[kbli5]],kata_kunci!$B:$H,6,FALSE)</f>
        <v>#N/A</v>
      </c>
      <c r="K587" s="84" t="e">
        <f>VLOOKUP(Table13[[#This Row],[kbli5]],kata_kunci!$B:$H,7,FALSE)</f>
        <v>#N/A</v>
      </c>
    </row>
    <row r="588" spans="1:11" ht="30.75" thickBot="1" x14ac:dyDescent="0.3">
      <c r="A588" s="53" t="s">
        <v>450</v>
      </c>
      <c r="B588" s="40">
        <v>31029</v>
      </c>
      <c r="C588" s="41" t="s">
        <v>864</v>
      </c>
      <c r="D588" s="30" t="e">
        <f>VLOOKUP(Table13[[#This Row],[kbli5]],Table1[[#All],[kbli5]:[digital_hijau]],3,)</f>
        <v>#N/A</v>
      </c>
      <c r="E588" s="53" t="e">
        <f>VLOOKUP(Table13[[#This Row],[kbli5]],kata_kunci!$B:$H,4,FALSE)</f>
        <v>#N/A</v>
      </c>
      <c r="F588" s="53" t="e">
        <f>VLOOKUP(Table13[[#This Row],[kbli5]],Table1[[#All],[kbli5]:[digital_hijau]],5,)</f>
        <v>#N/A</v>
      </c>
      <c r="G588" s="53" t="s">
        <v>2090</v>
      </c>
      <c r="H588" s="54" t="e">
        <f>VLOOKUP(Table13[[#This Row],[kbli5]],kata_kunci!$B:$H,3,FALSE)</f>
        <v>#N/A</v>
      </c>
      <c r="I588" s="84" t="e">
        <f>VLOOKUP(Table13[[#This Row],[kbli5]],kata_kunci!$B:$H,5,FALSE)</f>
        <v>#N/A</v>
      </c>
      <c r="J588" s="84" t="e">
        <f>VLOOKUP(Table13[[#This Row],[kbli5]],kata_kunci!$B:$H,6,FALSE)</f>
        <v>#N/A</v>
      </c>
      <c r="K588" s="84" t="e">
        <f>VLOOKUP(Table13[[#This Row],[kbli5]],kata_kunci!$B:$H,7,FALSE)</f>
        <v>#N/A</v>
      </c>
    </row>
    <row r="589" spans="1:11" ht="15.75" thickBot="1" x14ac:dyDescent="0.3">
      <c r="A589" s="53" t="s">
        <v>450</v>
      </c>
      <c r="B589" s="40">
        <v>32111</v>
      </c>
      <c r="C589" s="41" t="s">
        <v>865</v>
      </c>
      <c r="D589" s="30" t="e">
        <f>VLOOKUP(Table13[[#This Row],[kbli5]],Table1[[#All],[kbli5]:[digital_hijau]],3,)</f>
        <v>#N/A</v>
      </c>
      <c r="E589" s="53" t="e">
        <f>VLOOKUP(Table13[[#This Row],[kbli5]],kata_kunci!$B:$H,4,FALSE)</f>
        <v>#N/A</v>
      </c>
      <c r="F589" s="53" t="e">
        <f>VLOOKUP(Table13[[#This Row],[kbli5]],Table1[[#All],[kbli5]:[digital_hijau]],5,)</f>
        <v>#N/A</v>
      </c>
      <c r="G589" s="53" t="s">
        <v>2090</v>
      </c>
      <c r="H589" s="54" t="e">
        <f>VLOOKUP(Table13[[#This Row],[kbli5]],kata_kunci!$B:$H,3,FALSE)</f>
        <v>#N/A</v>
      </c>
      <c r="I589" s="84" t="e">
        <f>VLOOKUP(Table13[[#This Row],[kbli5]],kata_kunci!$B:$H,5,FALSE)</f>
        <v>#N/A</v>
      </c>
      <c r="J589" s="84" t="e">
        <f>VLOOKUP(Table13[[#This Row],[kbli5]],kata_kunci!$B:$H,6,FALSE)</f>
        <v>#N/A</v>
      </c>
      <c r="K589" s="84" t="e">
        <f>VLOOKUP(Table13[[#This Row],[kbli5]],kata_kunci!$B:$H,7,FALSE)</f>
        <v>#N/A</v>
      </c>
    </row>
    <row r="590" spans="1:11" ht="30.75" thickBot="1" x14ac:dyDescent="0.3">
      <c r="A590" s="53" t="s">
        <v>450</v>
      </c>
      <c r="B590" s="40">
        <v>32112</v>
      </c>
      <c r="C590" s="41" t="s">
        <v>866</v>
      </c>
      <c r="D590" s="30" t="e">
        <f>VLOOKUP(Table13[[#This Row],[kbli5]],Table1[[#All],[kbli5]:[digital_hijau]],3,)</f>
        <v>#N/A</v>
      </c>
      <c r="E590" s="53" t="e">
        <f>VLOOKUP(Table13[[#This Row],[kbli5]],kata_kunci!$B:$H,4,FALSE)</f>
        <v>#N/A</v>
      </c>
      <c r="F590" s="53" t="e">
        <f>VLOOKUP(Table13[[#This Row],[kbli5]],Table1[[#All],[kbli5]:[digital_hijau]],5,)</f>
        <v>#N/A</v>
      </c>
      <c r="G590" s="53" t="s">
        <v>2090</v>
      </c>
      <c r="H590" s="54" t="e">
        <f>VLOOKUP(Table13[[#This Row],[kbli5]],kata_kunci!$B:$H,3,FALSE)</f>
        <v>#N/A</v>
      </c>
      <c r="I590" s="84" t="e">
        <f>VLOOKUP(Table13[[#This Row],[kbli5]],kata_kunci!$B:$H,5,FALSE)</f>
        <v>#N/A</v>
      </c>
      <c r="J590" s="84" t="e">
        <f>VLOOKUP(Table13[[#This Row],[kbli5]],kata_kunci!$B:$H,6,FALSE)</f>
        <v>#N/A</v>
      </c>
      <c r="K590" s="84" t="e">
        <f>VLOOKUP(Table13[[#This Row],[kbli5]],kata_kunci!$B:$H,7,FALSE)</f>
        <v>#N/A</v>
      </c>
    </row>
    <row r="591" spans="1:11" ht="45.75" thickBot="1" x14ac:dyDescent="0.3">
      <c r="A591" s="53" t="s">
        <v>450</v>
      </c>
      <c r="B591" s="40">
        <v>32113</v>
      </c>
      <c r="C591" s="41" t="s">
        <v>867</v>
      </c>
      <c r="D591" s="30" t="e">
        <f>VLOOKUP(Table13[[#This Row],[kbli5]],Table1[[#All],[kbli5]:[digital_hijau]],3,)</f>
        <v>#N/A</v>
      </c>
      <c r="E591" s="53" t="e">
        <f>VLOOKUP(Table13[[#This Row],[kbli5]],kata_kunci!$B:$H,4,FALSE)</f>
        <v>#N/A</v>
      </c>
      <c r="F591" s="53" t="e">
        <f>VLOOKUP(Table13[[#This Row],[kbli5]],Table1[[#All],[kbli5]:[digital_hijau]],5,)</f>
        <v>#N/A</v>
      </c>
      <c r="G591" s="53" t="s">
        <v>2090</v>
      </c>
      <c r="H591" s="54" t="e">
        <f>VLOOKUP(Table13[[#This Row],[kbli5]],kata_kunci!$B:$H,3,FALSE)</f>
        <v>#N/A</v>
      </c>
      <c r="I591" s="84" t="e">
        <f>VLOOKUP(Table13[[#This Row],[kbli5]],kata_kunci!$B:$H,5,FALSE)</f>
        <v>#N/A</v>
      </c>
      <c r="J591" s="84" t="e">
        <f>VLOOKUP(Table13[[#This Row],[kbli5]],kata_kunci!$B:$H,6,FALSE)</f>
        <v>#N/A</v>
      </c>
      <c r="K591" s="84" t="e">
        <f>VLOOKUP(Table13[[#This Row],[kbli5]],kata_kunci!$B:$H,7,FALSE)</f>
        <v>#N/A</v>
      </c>
    </row>
    <row r="592" spans="1:11" ht="30.75" thickBot="1" x14ac:dyDescent="0.3">
      <c r="A592" s="53" t="s">
        <v>450</v>
      </c>
      <c r="B592" s="40">
        <v>32114</v>
      </c>
      <c r="C592" s="41" t="s">
        <v>868</v>
      </c>
      <c r="D592" s="30" t="e">
        <f>VLOOKUP(Table13[[#This Row],[kbli5]],Table1[[#All],[kbli5]:[digital_hijau]],3,)</f>
        <v>#N/A</v>
      </c>
      <c r="E592" s="53" t="e">
        <f>VLOOKUP(Table13[[#This Row],[kbli5]],kata_kunci!$B:$H,4,FALSE)</f>
        <v>#N/A</v>
      </c>
      <c r="F592" s="53" t="e">
        <f>VLOOKUP(Table13[[#This Row],[kbli5]],Table1[[#All],[kbli5]:[digital_hijau]],5,)</f>
        <v>#N/A</v>
      </c>
      <c r="G592" s="53" t="s">
        <v>2090</v>
      </c>
      <c r="H592" s="54" t="e">
        <f>VLOOKUP(Table13[[#This Row],[kbli5]],kata_kunci!$B:$H,3,FALSE)</f>
        <v>#N/A</v>
      </c>
      <c r="I592" s="84" t="e">
        <f>VLOOKUP(Table13[[#This Row],[kbli5]],kata_kunci!$B:$H,5,FALSE)</f>
        <v>#N/A</v>
      </c>
      <c r="J592" s="84" t="e">
        <f>VLOOKUP(Table13[[#This Row],[kbli5]],kata_kunci!$B:$H,6,FALSE)</f>
        <v>#N/A</v>
      </c>
      <c r="K592" s="84" t="e">
        <f>VLOOKUP(Table13[[#This Row],[kbli5]],kata_kunci!$B:$H,7,FALSE)</f>
        <v>#N/A</v>
      </c>
    </row>
    <row r="593" spans="1:11" ht="45.75" thickBot="1" x14ac:dyDescent="0.3">
      <c r="A593" s="53" t="s">
        <v>450</v>
      </c>
      <c r="B593" s="40">
        <v>32119</v>
      </c>
      <c r="C593" s="41" t="s">
        <v>869</v>
      </c>
      <c r="D593" s="30" t="e">
        <f>VLOOKUP(Table13[[#This Row],[kbli5]],Table1[[#All],[kbli5]:[digital_hijau]],3,)</f>
        <v>#N/A</v>
      </c>
      <c r="E593" s="53" t="e">
        <f>VLOOKUP(Table13[[#This Row],[kbli5]],kata_kunci!$B:$H,4,FALSE)</f>
        <v>#N/A</v>
      </c>
      <c r="F593" s="53" t="e">
        <f>VLOOKUP(Table13[[#This Row],[kbli5]],Table1[[#All],[kbli5]:[digital_hijau]],5,)</f>
        <v>#N/A</v>
      </c>
      <c r="G593" s="53" t="s">
        <v>2090</v>
      </c>
      <c r="H593" s="54" t="e">
        <f>VLOOKUP(Table13[[#This Row],[kbli5]],kata_kunci!$B:$H,3,FALSE)</f>
        <v>#N/A</v>
      </c>
      <c r="I593" s="84" t="e">
        <f>VLOOKUP(Table13[[#This Row],[kbli5]],kata_kunci!$B:$H,5,FALSE)</f>
        <v>#N/A</v>
      </c>
      <c r="J593" s="84" t="e">
        <f>VLOOKUP(Table13[[#This Row],[kbli5]],kata_kunci!$B:$H,6,FALSE)</f>
        <v>#N/A</v>
      </c>
      <c r="K593" s="84" t="e">
        <f>VLOOKUP(Table13[[#This Row],[kbli5]],kata_kunci!$B:$H,7,FALSE)</f>
        <v>#N/A</v>
      </c>
    </row>
    <row r="594" spans="1:11" ht="45.75" thickBot="1" x14ac:dyDescent="0.3">
      <c r="A594" s="53" t="s">
        <v>450</v>
      </c>
      <c r="B594" s="40">
        <v>32120</v>
      </c>
      <c r="C594" s="41" t="s">
        <v>870</v>
      </c>
      <c r="D594" s="30" t="e">
        <f>VLOOKUP(Table13[[#This Row],[kbli5]],Table1[[#All],[kbli5]:[digital_hijau]],3,)</f>
        <v>#N/A</v>
      </c>
      <c r="E594" s="53" t="e">
        <f>VLOOKUP(Table13[[#This Row],[kbli5]],kata_kunci!$B:$H,4,FALSE)</f>
        <v>#N/A</v>
      </c>
      <c r="F594" s="53" t="e">
        <f>VLOOKUP(Table13[[#This Row],[kbli5]],Table1[[#All],[kbli5]:[digital_hijau]],5,)</f>
        <v>#N/A</v>
      </c>
      <c r="G594" s="53" t="s">
        <v>2090</v>
      </c>
      <c r="H594" s="54" t="e">
        <f>VLOOKUP(Table13[[#This Row],[kbli5]],kata_kunci!$B:$H,3,FALSE)</f>
        <v>#N/A</v>
      </c>
      <c r="I594" s="84" t="e">
        <f>VLOOKUP(Table13[[#This Row],[kbli5]],kata_kunci!$B:$H,5,FALSE)</f>
        <v>#N/A</v>
      </c>
      <c r="J594" s="84" t="e">
        <f>VLOOKUP(Table13[[#This Row],[kbli5]],kata_kunci!$B:$H,6,FALSE)</f>
        <v>#N/A</v>
      </c>
      <c r="K594" s="84" t="e">
        <f>VLOOKUP(Table13[[#This Row],[kbli5]],kata_kunci!$B:$H,7,FALSE)</f>
        <v>#N/A</v>
      </c>
    </row>
    <row r="595" spans="1:11" ht="30.75" thickBot="1" x14ac:dyDescent="0.3">
      <c r="A595" s="53" t="s">
        <v>450</v>
      </c>
      <c r="B595" s="40">
        <v>32201</v>
      </c>
      <c r="C595" s="41" t="s">
        <v>871</v>
      </c>
      <c r="D595" s="30" t="e">
        <f>VLOOKUP(Table13[[#This Row],[kbli5]],Table1[[#All],[kbli5]:[digital_hijau]],3,)</f>
        <v>#N/A</v>
      </c>
      <c r="E595" s="53" t="e">
        <f>VLOOKUP(Table13[[#This Row],[kbli5]],kata_kunci!$B:$H,4,FALSE)</f>
        <v>#N/A</v>
      </c>
      <c r="F595" s="53" t="e">
        <f>VLOOKUP(Table13[[#This Row],[kbli5]],Table1[[#All],[kbli5]:[digital_hijau]],5,)</f>
        <v>#N/A</v>
      </c>
      <c r="G595" s="53" t="s">
        <v>2090</v>
      </c>
      <c r="H595" s="54" t="e">
        <f>VLOOKUP(Table13[[#This Row],[kbli5]],kata_kunci!$B:$H,3,FALSE)</f>
        <v>#N/A</v>
      </c>
      <c r="I595" s="84" t="e">
        <f>VLOOKUP(Table13[[#This Row],[kbli5]],kata_kunci!$B:$H,5,FALSE)</f>
        <v>#N/A</v>
      </c>
      <c r="J595" s="84" t="e">
        <f>VLOOKUP(Table13[[#This Row],[kbli5]],kata_kunci!$B:$H,6,FALSE)</f>
        <v>#N/A</v>
      </c>
      <c r="K595" s="84" t="e">
        <f>VLOOKUP(Table13[[#This Row],[kbli5]],kata_kunci!$B:$H,7,FALSE)</f>
        <v>#N/A</v>
      </c>
    </row>
    <row r="596" spans="1:11" ht="30.75" thickBot="1" x14ac:dyDescent="0.3">
      <c r="A596" s="53" t="s">
        <v>450</v>
      </c>
      <c r="B596" s="40">
        <v>32202</v>
      </c>
      <c r="C596" s="41" t="s">
        <v>872</v>
      </c>
      <c r="D596" s="30" t="e">
        <f>VLOOKUP(Table13[[#This Row],[kbli5]],Table1[[#All],[kbli5]:[digital_hijau]],3,)</f>
        <v>#N/A</v>
      </c>
      <c r="E596" s="53" t="e">
        <f>VLOOKUP(Table13[[#This Row],[kbli5]],kata_kunci!$B:$H,4,FALSE)</f>
        <v>#N/A</v>
      </c>
      <c r="F596" s="53" t="e">
        <f>VLOOKUP(Table13[[#This Row],[kbli5]],Table1[[#All],[kbli5]:[digital_hijau]],5,)</f>
        <v>#N/A</v>
      </c>
      <c r="G596" s="53" t="s">
        <v>2090</v>
      </c>
      <c r="H596" s="54" t="e">
        <f>VLOOKUP(Table13[[#This Row],[kbli5]],kata_kunci!$B:$H,3,FALSE)</f>
        <v>#N/A</v>
      </c>
      <c r="I596" s="84" t="e">
        <f>VLOOKUP(Table13[[#This Row],[kbli5]],kata_kunci!$B:$H,5,FALSE)</f>
        <v>#N/A</v>
      </c>
      <c r="J596" s="84" t="e">
        <f>VLOOKUP(Table13[[#This Row],[kbli5]],kata_kunci!$B:$H,6,FALSE)</f>
        <v>#N/A</v>
      </c>
      <c r="K596" s="84" t="e">
        <f>VLOOKUP(Table13[[#This Row],[kbli5]],kata_kunci!$B:$H,7,FALSE)</f>
        <v>#N/A</v>
      </c>
    </row>
    <row r="597" spans="1:11" ht="30.75" thickBot="1" x14ac:dyDescent="0.3">
      <c r="A597" s="53" t="s">
        <v>450</v>
      </c>
      <c r="B597" s="40">
        <v>32300</v>
      </c>
      <c r="C597" s="41" t="s">
        <v>873</v>
      </c>
      <c r="D597" s="30" t="e">
        <f>VLOOKUP(Table13[[#This Row],[kbli5]],Table1[[#All],[kbli5]:[digital_hijau]],3,)</f>
        <v>#N/A</v>
      </c>
      <c r="E597" s="53" t="e">
        <f>VLOOKUP(Table13[[#This Row],[kbli5]],kata_kunci!$B:$H,4,FALSE)</f>
        <v>#N/A</v>
      </c>
      <c r="F597" s="53" t="e">
        <f>VLOOKUP(Table13[[#This Row],[kbli5]],Table1[[#All],[kbli5]:[digital_hijau]],5,)</f>
        <v>#N/A</v>
      </c>
      <c r="G597" s="53" t="s">
        <v>2090</v>
      </c>
      <c r="H597" s="54" t="e">
        <f>VLOOKUP(Table13[[#This Row],[kbli5]],kata_kunci!$B:$H,3,FALSE)</f>
        <v>#N/A</v>
      </c>
      <c r="I597" s="84" t="e">
        <f>VLOOKUP(Table13[[#This Row],[kbli5]],kata_kunci!$B:$H,5,FALSE)</f>
        <v>#N/A</v>
      </c>
      <c r="J597" s="84" t="e">
        <f>VLOOKUP(Table13[[#This Row],[kbli5]],kata_kunci!$B:$H,6,FALSE)</f>
        <v>#N/A</v>
      </c>
      <c r="K597" s="84" t="e">
        <f>VLOOKUP(Table13[[#This Row],[kbli5]],kata_kunci!$B:$H,7,FALSE)</f>
        <v>#N/A</v>
      </c>
    </row>
    <row r="598" spans="1:11" ht="15.75" thickBot="1" x14ac:dyDescent="0.3">
      <c r="A598" s="53" t="s">
        <v>450</v>
      </c>
      <c r="B598" s="40">
        <v>32401</v>
      </c>
      <c r="C598" s="41" t="s">
        <v>874</v>
      </c>
      <c r="D598" s="30" t="e">
        <f>VLOOKUP(Table13[[#This Row],[kbli5]],Table1[[#All],[kbli5]:[digital_hijau]],3,)</f>
        <v>#N/A</v>
      </c>
      <c r="E598" s="53" t="e">
        <f>VLOOKUP(Table13[[#This Row],[kbli5]],kata_kunci!$B:$H,4,FALSE)</f>
        <v>#N/A</v>
      </c>
      <c r="F598" s="53" t="e">
        <f>VLOOKUP(Table13[[#This Row],[kbli5]],Table1[[#All],[kbli5]:[digital_hijau]],5,)</f>
        <v>#N/A</v>
      </c>
      <c r="G598" s="53" t="s">
        <v>2090</v>
      </c>
      <c r="H598" s="54" t="e">
        <f>VLOOKUP(Table13[[#This Row],[kbli5]],kata_kunci!$B:$H,3,FALSE)</f>
        <v>#N/A</v>
      </c>
      <c r="I598" s="84" t="e">
        <f>VLOOKUP(Table13[[#This Row],[kbli5]],kata_kunci!$B:$H,5,FALSE)</f>
        <v>#N/A</v>
      </c>
      <c r="J598" s="84" t="e">
        <f>VLOOKUP(Table13[[#This Row],[kbli5]],kata_kunci!$B:$H,6,FALSE)</f>
        <v>#N/A</v>
      </c>
      <c r="K598" s="84" t="e">
        <f>VLOOKUP(Table13[[#This Row],[kbli5]],kata_kunci!$B:$H,7,FALSE)</f>
        <v>#N/A</v>
      </c>
    </row>
    <row r="599" spans="1:11" ht="30.75" thickBot="1" x14ac:dyDescent="0.3">
      <c r="A599" s="53" t="s">
        <v>450</v>
      </c>
      <c r="B599" s="40">
        <v>32402</v>
      </c>
      <c r="C599" s="41" t="s">
        <v>875</v>
      </c>
      <c r="D599" s="30" t="e">
        <f>VLOOKUP(Table13[[#This Row],[kbli5]],Table1[[#All],[kbli5]:[digital_hijau]],3,)</f>
        <v>#N/A</v>
      </c>
      <c r="E599" s="53" t="e">
        <f>VLOOKUP(Table13[[#This Row],[kbli5]],kata_kunci!$B:$H,4,FALSE)</f>
        <v>#N/A</v>
      </c>
      <c r="F599" s="53" t="e">
        <f>VLOOKUP(Table13[[#This Row],[kbli5]],Table1[[#All],[kbli5]:[digital_hijau]],5,)</f>
        <v>#N/A</v>
      </c>
      <c r="G599" s="53" t="s">
        <v>2090</v>
      </c>
      <c r="H599" s="54" t="e">
        <f>VLOOKUP(Table13[[#This Row],[kbli5]],kata_kunci!$B:$H,3,FALSE)</f>
        <v>#N/A</v>
      </c>
      <c r="I599" s="84" t="e">
        <f>VLOOKUP(Table13[[#This Row],[kbli5]],kata_kunci!$B:$H,5,FALSE)</f>
        <v>#N/A</v>
      </c>
      <c r="J599" s="84" t="e">
        <f>VLOOKUP(Table13[[#This Row],[kbli5]],kata_kunci!$B:$H,6,FALSE)</f>
        <v>#N/A</v>
      </c>
      <c r="K599" s="84" t="e">
        <f>VLOOKUP(Table13[[#This Row],[kbli5]],kata_kunci!$B:$H,7,FALSE)</f>
        <v>#N/A</v>
      </c>
    </row>
    <row r="600" spans="1:11" ht="45.75" thickBot="1" x14ac:dyDescent="0.3">
      <c r="A600" s="53" t="s">
        <v>450</v>
      </c>
      <c r="B600" s="40">
        <v>32501</v>
      </c>
      <c r="C600" s="41" t="s">
        <v>876</v>
      </c>
      <c r="D600" s="30" t="e">
        <f>VLOOKUP(Table13[[#This Row],[kbli5]],Table1[[#All],[kbli5]:[digital_hijau]],3,)</f>
        <v>#N/A</v>
      </c>
      <c r="E600" s="53" t="e">
        <f>VLOOKUP(Table13[[#This Row],[kbli5]],kata_kunci!$B:$H,4,FALSE)</f>
        <v>#N/A</v>
      </c>
      <c r="F600" s="53" t="e">
        <f>VLOOKUP(Table13[[#This Row],[kbli5]],Table1[[#All],[kbli5]:[digital_hijau]],5,)</f>
        <v>#N/A</v>
      </c>
      <c r="G600" s="53" t="s">
        <v>2090</v>
      </c>
      <c r="H600" s="54" t="e">
        <f>VLOOKUP(Table13[[#This Row],[kbli5]],kata_kunci!$B:$H,3,FALSE)</f>
        <v>#N/A</v>
      </c>
      <c r="I600" s="84" t="e">
        <f>VLOOKUP(Table13[[#This Row],[kbli5]],kata_kunci!$B:$H,5,FALSE)</f>
        <v>#N/A</v>
      </c>
      <c r="J600" s="84" t="e">
        <f>VLOOKUP(Table13[[#This Row],[kbli5]],kata_kunci!$B:$H,6,FALSE)</f>
        <v>#N/A</v>
      </c>
      <c r="K600" s="84" t="e">
        <f>VLOOKUP(Table13[[#This Row],[kbli5]],kata_kunci!$B:$H,7,FALSE)</f>
        <v>#N/A</v>
      </c>
    </row>
    <row r="601" spans="1:11" ht="45.75" thickBot="1" x14ac:dyDescent="0.3">
      <c r="A601" s="53" t="s">
        <v>450</v>
      </c>
      <c r="B601" s="40">
        <v>32502</v>
      </c>
      <c r="C601" s="41" t="s">
        <v>877</v>
      </c>
      <c r="D601" s="30" t="e">
        <f>VLOOKUP(Table13[[#This Row],[kbli5]],Table1[[#All],[kbli5]:[digital_hijau]],3,)</f>
        <v>#N/A</v>
      </c>
      <c r="E601" s="53" t="e">
        <f>VLOOKUP(Table13[[#This Row],[kbli5]],kata_kunci!$B:$H,4,FALSE)</f>
        <v>#N/A</v>
      </c>
      <c r="F601" s="53" t="e">
        <f>VLOOKUP(Table13[[#This Row],[kbli5]],Table1[[#All],[kbli5]:[digital_hijau]],5,)</f>
        <v>#N/A</v>
      </c>
      <c r="G601" s="53" t="s">
        <v>2090</v>
      </c>
      <c r="H601" s="54" t="e">
        <f>VLOOKUP(Table13[[#This Row],[kbli5]],kata_kunci!$B:$H,3,FALSE)</f>
        <v>#N/A</v>
      </c>
      <c r="I601" s="84" t="e">
        <f>VLOOKUP(Table13[[#This Row],[kbli5]],kata_kunci!$B:$H,5,FALSE)</f>
        <v>#N/A</v>
      </c>
      <c r="J601" s="84" t="e">
        <f>VLOOKUP(Table13[[#This Row],[kbli5]],kata_kunci!$B:$H,6,FALSE)</f>
        <v>#N/A</v>
      </c>
      <c r="K601" s="84" t="e">
        <f>VLOOKUP(Table13[[#This Row],[kbli5]],kata_kunci!$B:$H,7,FALSE)</f>
        <v>#N/A</v>
      </c>
    </row>
    <row r="602" spans="1:11" ht="15.75" thickBot="1" x14ac:dyDescent="0.3">
      <c r="A602" s="53" t="s">
        <v>450</v>
      </c>
      <c r="B602" s="40">
        <v>32503</v>
      </c>
      <c r="C602" s="41" t="s">
        <v>878</v>
      </c>
      <c r="D602" s="30" t="e">
        <f>VLOOKUP(Table13[[#This Row],[kbli5]],Table1[[#All],[kbli5]:[digital_hijau]],3,)</f>
        <v>#N/A</v>
      </c>
      <c r="E602" s="53" t="e">
        <f>VLOOKUP(Table13[[#This Row],[kbli5]],kata_kunci!$B:$H,4,FALSE)</f>
        <v>#N/A</v>
      </c>
      <c r="F602" s="53" t="e">
        <f>VLOOKUP(Table13[[#This Row],[kbli5]],Table1[[#All],[kbli5]:[digital_hijau]],5,)</f>
        <v>#N/A</v>
      </c>
      <c r="G602" s="53" t="s">
        <v>2090</v>
      </c>
      <c r="H602" s="54" t="e">
        <f>VLOOKUP(Table13[[#This Row],[kbli5]],kata_kunci!$B:$H,3,FALSE)</f>
        <v>#N/A</v>
      </c>
      <c r="I602" s="84" t="e">
        <f>VLOOKUP(Table13[[#This Row],[kbli5]],kata_kunci!$B:$H,5,FALSE)</f>
        <v>#N/A</v>
      </c>
      <c r="J602" s="84" t="e">
        <f>VLOOKUP(Table13[[#This Row],[kbli5]],kata_kunci!$B:$H,6,FALSE)</f>
        <v>#N/A</v>
      </c>
      <c r="K602" s="84" t="e">
        <f>VLOOKUP(Table13[[#This Row],[kbli5]],kata_kunci!$B:$H,7,FALSE)</f>
        <v>#N/A</v>
      </c>
    </row>
    <row r="603" spans="1:11" ht="45.75" thickBot="1" x14ac:dyDescent="0.3">
      <c r="A603" s="53" t="s">
        <v>450</v>
      </c>
      <c r="B603" s="40">
        <v>32509</v>
      </c>
      <c r="C603" s="41" t="s">
        <v>877</v>
      </c>
      <c r="D603" s="30" t="e">
        <f>VLOOKUP(Table13[[#This Row],[kbli5]],Table1[[#All],[kbli5]:[digital_hijau]],3,)</f>
        <v>#N/A</v>
      </c>
      <c r="E603" s="53" t="e">
        <f>VLOOKUP(Table13[[#This Row],[kbli5]],kata_kunci!$B:$H,4,FALSE)</f>
        <v>#N/A</v>
      </c>
      <c r="F603" s="53" t="e">
        <f>VLOOKUP(Table13[[#This Row],[kbli5]],Table1[[#All],[kbli5]:[digital_hijau]],5,)</f>
        <v>#N/A</v>
      </c>
      <c r="G603" s="53" t="e">
        <f>VLOOKUP(Table13[[#This Row],[kbli5]],Table1[[#All],[kbli5]:[digital_hijau]],6,)</f>
        <v>#N/A</v>
      </c>
      <c r="H603" s="54" t="e">
        <f>VLOOKUP(Table13[[#This Row],[kbli5]],kata_kunci!$B:$H,3,FALSE)</f>
        <v>#N/A</v>
      </c>
      <c r="I603" s="84" t="e">
        <f>VLOOKUP(Table13[[#This Row],[kbli5]],kata_kunci!$B:$H,5,FALSE)</f>
        <v>#N/A</v>
      </c>
      <c r="J603" s="84" t="e">
        <f>VLOOKUP(Table13[[#This Row],[kbli5]],kata_kunci!$B:$H,6,FALSE)</f>
        <v>#N/A</v>
      </c>
      <c r="K603" s="84" t="e">
        <f>VLOOKUP(Table13[[#This Row],[kbli5]],kata_kunci!$B:$H,7,FALSE)</f>
        <v>#N/A</v>
      </c>
    </row>
    <row r="604" spans="1:11" ht="45.75" thickBot="1" x14ac:dyDescent="0.3">
      <c r="A604" s="53" t="s">
        <v>450</v>
      </c>
      <c r="B604" s="40">
        <v>32901</v>
      </c>
      <c r="C604" s="41" t="s">
        <v>879</v>
      </c>
      <c r="D604" s="30" t="e">
        <f>VLOOKUP(Table13[[#This Row],[kbli5]],Table1[[#All],[kbli5]:[digital_hijau]],3,)</f>
        <v>#N/A</v>
      </c>
      <c r="E604" s="53" t="e">
        <f>VLOOKUP(Table13[[#This Row],[kbli5]],kata_kunci!$B:$H,4,FALSE)</f>
        <v>#N/A</v>
      </c>
      <c r="F604" s="53" t="e">
        <f>VLOOKUP(Table13[[#This Row],[kbli5]],Table1[[#All],[kbli5]:[digital_hijau]],5,)</f>
        <v>#N/A</v>
      </c>
      <c r="G604" s="53" t="e">
        <f>VLOOKUP(Table13[[#This Row],[kbli5]],Table1[[#All],[kbli5]:[digital_hijau]],6,)</f>
        <v>#N/A</v>
      </c>
      <c r="H604" s="54" t="e">
        <f>VLOOKUP(Table13[[#This Row],[kbli5]],kata_kunci!$B:$H,3,FALSE)</f>
        <v>#N/A</v>
      </c>
      <c r="I604" s="84" t="e">
        <f>VLOOKUP(Table13[[#This Row],[kbli5]],kata_kunci!$B:$H,5,FALSE)</f>
        <v>#N/A</v>
      </c>
      <c r="J604" s="84" t="e">
        <f>VLOOKUP(Table13[[#This Row],[kbli5]],kata_kunci!$B:$H,6,FALSE)</f>
        <v>#N/A</v>
      </c>
      <c r="K604" s="84" t="e">
        <f>VLOOKUP(Table13[[#This Row],[kbli5]],kata_kunci!$B:$H,7,FALSE)</f>
        <v>#N/A</v>
      </c>
    </row>
    <row r="605" spans="1:11" ht="30.75" thickBot="1" x14ac:dyDescent="0.3">
      <c r="A605" s="53" t="s">
        <v>450</v>
      </c>
      <c r="B605" s="40">
        <v>32902</v>
      </c>
      <c r="C605" s="41" t="s">
        <v>880</v>
      </c>
      <c r="D605" s="30" t="e">
        <f>VLOOKUP(Table13[[#This Row],[kbli5]],Table1[[#All],[kbli5]:[digital_hijau]],3,)</f>
        <v>#N/A</v>
      </c>
      <c r="E605" s="53" t="e">
        <f>VLOOKUP(Table13[[#This Row],[kbli5]],kata_kunci!$B:$H,4,FALSE)</f>
        <v>#N/A</v>
      </c>
      <c r="F605" s="53" t="e">
        <f>VLOOKUP(Table13[[#This Row],[kbli5]],Table1[[#All],[kbli5]:[digital_hijau]],5,)</f>
        <v>#N/A</v>
      </c>
      <c r="G605" s="53" t="e">
        <f>VLOOKUP(Table13[[#This Row],[kbli5]],Table1[[#All],[kbli5]:[digital_hijau]],6,)</f>
        <v>#N/A</v>
      </c>
      <c r="H605" s="54" t="e">
        <f>VLOOKUP(Table13[[#This Row],[kbli5]],kata_kunci!$B:$H,3,FALSE)</f>
        <v>#N/A</v>
      </c>
      <c r="I605" s="84" t="e">
        <f>VLOOKUP(Table13[[#This Row],[kbli5]],kata_kunci!$B:$H,5,FALSE)</f>
        <v>#N/A</v>
      </c>
      <c r="J605" s="84" t="e">
        <f>VLOOKUP(Table13[[#This Row],[kbli5]],kata_kunci!$B:$H,6,FALSE)</f>
        <v>#N/A</v>
      </c>
      <c r="K605" s="84" t="e">
        <f>VLOOKUP(Table13[[#This Row],[kbli5]],kata_kunci!$B:$H,7,FALSE)</f>
        <v>#N/A</v>
      </c>
    </row>
    <row r="606" spans="1:11" ht="15.75" thickBot="1" x14ac:dyDescent="0.3">
      <c r="A606" s="53" t="s">
        <v>450</v>
      </c>
      <c r="B606" s="40">
        <v>32903</v>
      </c>
      <c r="C606" s="41" t="s">
        <v>881</v>
      </c>
      <c r="D606" s="30" t="e">
        <f>VLOOKUP(Table13[[#This Row],[kbli5]],Table1[[#All],[kbli5]:[digital_hijau]],3,)</f>
        <v>#N/A</v>
      </c>
      <c r="E606" s="53" t="e">
        <f>VLOOKUP(Table13[[#This Row],[kbli5]],kata_kunci!$B:$H,4,FALSE)</f>
        <v>#N/A</v>
      </c>
      <c r="F606" s="53" t="e">
        <f>VLOOKUP(Table13[[#This Row],[kbli5]],Table1[[#All],[kbli5]:[digital_hijau]],5,)</f>
        <v>#N/A</v>
      </c>
      <c r="G606" s="53" t="e">
        <f>VLOOKUP(Table13[[#This Row],[kbli5]],Table1[[#All],[kbli5]:[digital_hijau]],6,)</f>
        <v>#N/A</v>
      </c>
      <c r="H606" s="54" t="e">
        <f>VLOOKUP(Table13[[#This Row],[kbli5]],kata_kunci!$B:$H,3,FALSE)</f>
        <v>#N/A</v>
      </c>
      <c r="I606" s="84" t="e">
        <f>VLOOKUP(Table13[[#This Row],[kbli5]],kata_kunci!$B:$H,5,FALSE)</f>
        <v>#N/A</v>
      </c>
      <c r="J606" s="84" t="e">
        <f>VLOOKUP(Table13[[#This Row],[kbli5]],kata_kunci!$B:$H,6,FALSE)</f>
        <v>#N/A</v>
      </c>
      <c r="K606" s="84" t="e">
        <f>VLOOKUP(Table13[[#This Row],[kbli5]],kata_kunci!$B:$H,7,FALSE)</f>
        <v>#N/A</v>
      </c>
    </row>
    <row r="607" spans="1:11" ht="45.75" thickBot="1" x14ac:dyDescent="0.3">
      <c r="A607" s="53" t="s">
        <v>450</v>
      </c>
      <c r="B607" s="40">
        <v>32904</v>
      </c>
      <c r="C607" s="41" t="s">
        <v>882</v>
      </c>
      <c r="D607" s="30" t="e">
        <f>VLOOKUP(Table13[[#This Row],[kbli5]],Table1[[#All],[kbli5]:[digital_hijau]],3,)</f>
        <v>#N/A</v>
      </c>
      <c r="E607" s="53" t="e">
        <f>VLOOKUP(Table13[[#This Row],[kbli5]],kata_kunci!$B:$H,4,FALSE)</f>
        <v>#N/A</v>
      </c>
      <c r="F607" s="53" t="e">
        <f>VLOOKUP(Table13[[#This Row],[kbli5]],Table1[[#All],[kbli5]:[digital_hijau]],5,)</f>
        <v>#N/A</v>
      </c>
      <c r="G607" s="53" t="e">
        <f>VLOOKUP(Table13[[#This Row],[kbli5]],Table1[[#All],[kbli5]:[digital_hijau]],6,)</f>
        <v>#N/A</v>
      </c>
      <c r="H607" s="54" t="e">
        <f>VLOOKUP(Table13[[#This Row],[kbli5]],kata_kunci!$B:$H,3,FALSE)</f>
        <v>#N/A</v>
      </c>
      <c r="I607" s="84" t="e">
        <f>VLOOKUP(Table13[[#This Row],[kbli5]],kata_kunci!$B:$H,5,FALSE)</f>
        <v>#N/A</v>
      </c>
      <c r="J607" s="84" t="e">
        <f>VLOOKUP(Table13[[#This Row],[kbli5]],kata_kunci!$B:$H,6,FALSE)</f>
        <v>#N/A</v>
      </c>
      <c r="K607" s="84" t="e">
        <f>VLOOKUP(Table13[[#This Row],[kbli5]],kata_kunci!$B:$H,7,FALSE)</f>
        <v>#N/A</v>
      </c>
    </row>
    <row r="608" spans="1:11" ht="30.75" thickBot="1" x14ac:dyDescent="0.3">
      <c r="A608" s="53" t="s">
        <v>450</v>
      </c>
      <c r="B608" s="40">
        <v>32905</v>
      </c>
      <c r="C608" s="41" t="s">
        <v>883</v>
      </c>
      <c r="D608" s="30" t="e">
        <f>VLOOKUP(Table13[[#This Row],[kbli5]],Table1[[#All],[kbli5]:[digital_hijau]],3,)</f>
        <v>#N/A</v>
      </c>
      <c r="E608" s="53" t="e">
        <f>VLOOKUP(Table13[[#This Row],[kbli5]],kata_kunci!$B:$H,4,FALSE)</f>
        <v>#N/A</v>
      </c>
      <c r="F608" s="53" t="e">
        <f>VLOOKUP(Table13[[#This Row],[kbli5]],Table1[[#All],[kbli5]:[digital_hijau]],5,)</f>
        <v>#N/A</v>
      </c>
      <c r="G608" s="53" t="e">
        <f>VLOOKUP(Table13[[#This Row],[kbli5]],Table1[[#All],[kbli5]:[digital_hijau]],6,)</f>
        <v>#N/A</v>
      </c>
      <c r="H608" s="54" t="e">
        <f>VLOOKUP(Table13[[#This Row],[kbli5]],kata_kunci!$B:$H,3,FALSE)</f>
        <v>#N/A</v>
      </c>
      <c r="I608" s="84" t="e">
        <f>VLOOKUP(Table13[[#This Row],[kbli5]],kata_kunci!$B:$H,5,FALSE)</f>
        <v>#N/A</v>
      </c>
      <c r="J608" s="84" t="e">
        <f>VLOOKUP(Table13[[#This Row],[kbli5]],kata_kunci!$B:$H,6,FALSE)</f>
        <v>#N/A</v>
      </c>
      <c r="K608" s="84" t="e">
        <f>VLOOKUP(Table13[[#This Row],[kbli5]],kata_kunci!$B:$H,7,FALSE)</f>
        <v>#N/A</v>
      </c>
    </row>
    <row r="609" spans="1:11" ht="45.75" thickBot="1" x14ac:dyDescent="0.3">
      <c r="A609" s="53" t="s">
        <v>450</v>
      </c>
      <c r="B609" s="40">
        <v>32906</v>
      </c>
      <c r="C609" s="41" t="s">
        <v>884</v>
      </c>
      <c r="D609" s="30" t="e">
        <f>VLOOKUP(Table13[[#This Row],[kbli5]],Table1[[#All],[kbli5]:[digital_hijau]],3,)</f>
        <v>#N/A</v>
      </c>
      <c r="E609" s="53" t="e">
        <f>VLOOKUP(Table13[[#This Row],[kbli5]],kata_kunci!$B:$H,4,FALSE)</f>
        <v>#N/A</v>
      </c>
      <c r="F609" s="53" t="e">
        <f>VLOOKUP(Table13[[#This Row],[kbli5]],Table1[[#All],[kbli5]:[digital_hijau]],5,)</f>
        <v>#N/A</v>
      </c>
      <c r="G609" s="53" t="e">
        <f>VLOOKUP(Table13[[#This Row],[kbli5]],Table1[[#All],[kbli5]:[digital_hijau]],6,)</f>
        <v>#N/A</v>
      </c>
      <c r="H609" s="54" t="e">
        <f>VLOOKUP(Table13[[#This Row],[kbli5]],kata_kunci!$B:$H,3,FALSE)</f>
        <v>#N/A</v>
      </c>
      <c r="I609" s="84" t="e">
        <f>VLOOKUP(Table13[[#This Row],[kbli5]],kata_kunci!$B:$H,5,FALSE)</f>
        <v>#N/A</v>
      </c>
      <c r="J609" s="84" t="e">
        <f>VLOOKUP(Table13[[#This Row],[kbli5]],kata_kunci!$B:$H,6,FALSE)</f>
        <v>#N/A</v>
      </c>
      <c r="K609" s="84" t="e">
        <f>VLOOKUP(Table13[[#This Row],[kbli5]],kata_kunci!$B:$H,7,FALSE)</f>
        <v>#N/A</v>
      </c>
    </row>
    <row r="610" spans="1:11" ht="30.75" thickBot="1" x14ac:dyDescent="0.3">
      <c r="A610" s="53" t="s">
        <v>450</v>
      </c>
      <c r="B610" s="40">
        <v>32907</v>
      </c>
      <c r="C610" s="41" t="s">
        <v>885</v>
      </c>
      <c r="D610" s="30" t="e">
        <f>VLOOKUP(Table13[[#This Row],[kbli5]],Table1[[#All],[kbli5]:[digital_hijau]],3,)</f>
        <v>#N/A</v>
      </c>
      <c r="E610" s="53" t="e">
        <f>VLOOKUP(Table13[[#This Row],[kbli5]],kata_kunci!$B:$H,4,FALSE)</f>
        <v>#N/A</v>
      </c>
      <c r="F610" s="53" t="e">
        <f>VLOOKUP(Table13[[#This Row],[kbli5]],Table1[[#All],[kbli5]:[digital_hijau]],5,)</f>
        <v>#N/A</v>
      </c>
      <c r="G610" s="53" t="e">
        <f>VLOOKUP(Table13[[#This Row],[kbli5]],Table1[[#All],[kbli5]:[digital_hijau]],6,)</f>
        <v>#N/A</v>
      </c>
      <c r="H610" s="54" t="e">
        <f>VLOOKUP(Table13[[#This Row],[kbli5]],kata_kunci!$B:$H,3,FALSE)</f>
        <v>#N/A</v>
      </c>
      <c r="I610" s="84" t="e">
        <f>VLOOKUP(Table13[[#This Row],[kbli5]],kata_kunci!$B:$H,5,FALSE)</f>
        <v>#N/A</v>
      </c>
      <c r="J610" s="84" t="e">
        <f>VLOOKUP(Table13[[#This Row],[kbli5]],kata_kunci!$B:$H,6,FALSE)</f>
        <v>#N/A</v>
      </c>
      <c r="K610" s="84" t="e">
        <f>VLOOKUP(Table13[[#This Row],[kbli5]],kata_kunci!$B:$H,7,FALSE)</f>
        <v>#N/A</v>
      </c>
    </row>
    <row r="611" spans="1:11" ht="30.75" thickBot="1" x14ac:dyDescent="0.3">
      <c r="A611" s="53" t="s">
        <v>450</v>
      </c>
      <c r="B611" s="40">
        <v>32908</v>
      </c>
      <c r="C611" s="41" t="s">
        <v>886</v>
      </c>
      <c r="D611" s="30" t="e">
        <f>VLOOKUP(Table13[[#This Row],[kbli5]],Table1[[#All],[kbli5]:[digital_hijau]],3,)</f>
        <v>#N/A</v>
      </c>
      <c r="E611" s="53" t="e">
        <f>VLOOKUP(Table13[[#This Row],[kbli5]],kata_kunci!$B:$H,4,FALSE)</f>
        <v>#N/A</v>
      </c>
      <c r="F611" s="53" t="e">
        <f>VLOOKUP(Table13[[#This Row],[kbli5]],Table1[[#All],[kbli5]:[digital_hijau]],5,)</f>
        <v>#N/A</v>
      </c>
      <c r="G611" s="53" t="e">
        <f>VLOOKUP(Table13[[#This Row],[kbli5]],Table1[[#All],[kbli5]:[digital_hijau]],6,)</f>
        <v>#N/A</v>
      </c>
      <c r="H611" s="54" t="e">
        <f>VLOOKUP(Table13[[#This Row],[kbli5]],kata_kunci!$B:$H,3,FALSE)</f>
        <v>#N/A</v>
      </c>
      <c r="I611" s="84" t="e">
        <f>VLOOKUP(Table13[[#This Row],[kbli5]],kata_kunci!$B:$H,5,FALSE)</f>
        <v>#N/A</v>
      </c>
      <c r="J611" s="84" t="e">
        <f>VLOOKUP(Table13[[#This Row],[kbli5]],kata_kunci!$B:$H,6,FALSE)</f>
        <v>#N/A</v>
      </c>
      <c r="K611" s="84" t="e">
        <f>VLOOKUP(Table13[[#This Row],[kbli5]],kata_kunci!$B:$H,7,FALSE)</f>
        <v>#N/A</v>
      </c>
    </row>
    <row r="612" spans="1:11" ht="30.75" thickBot="1" x14ac:dyDescent="0.3">
      <c r="A612" s="53" t="s">
        <v>450</v>
      </c>
      <c r="B612" s="40">
        <v>32909</v>
      </c>
      <c r="C612" s="41" t="s">
        <v>887</v>
      </c>
      <c r="D612" s="30" t="e">
        <f>VLOOKUP(Table13[[#This Row],[kbli5]],Table1[[#All],[kbli5]:[digital_hijau]],3,)</f>
        <v>#N/A</v>
      </c>
      <c r="E612" s="53" t="e">
        <f>VLOOKUP(Table13[[#This Row],[kbli5]],kata_kunci!$B:$H,4,FALSE)</f>
        <v>#N/A</v>
      </c>
      <c r="F612" s="53" t="e">
        <f>VLOOKUP(Table13[[#This Row],[kbli5]],Table1[[#All],[kbli5]:[digital_hijau]],5,)</f>
        <v>#N/A</v>
      </c>
      <c r="G612" s="53" t="e">
        <f>VLOOKUP(Table13[[#This Row],[kbli5]],Table1[[#All],[kbli5]:[digital_hijau]],6,)</f>
        <v>#N/A</v>
      </c>
      <c r="H612" s="54" t="e">
        <f>VLOOKUP(Table13[[#This Row],[kbli5]],kata_kunci!$B:$H,3,FALSE)</f>
        <v>#N/A</v>
      </c>
      <c r="I612" s="84" t="e">
        <f>VLOOKUP(Table13[[#This Row],[kbli5]],kata_kunci!$B:$H,5,FALSE)</f>
        <v>#N/A</v>
      </c>
      <c r="J612" s="84" t="e">
        <f>VLOOKUP(Table13[[#This Row],[kbli5]],kata_kunci!$B:$H,6,FALSE)</f>
        <v>#N/A</v>
      </c>
      <c r="K612" s="84" t="e">
        <f>VLOOKUP(Table13[[#This Row],[kbli5]],kata_kunci!$B:$H,7,FALSE)</f>
        <v>#N/A</v>
      </c>
    </row>
    <row r="613" spans="1:11" ht="60.75" thickBot="1" x14ac:dyDescent="0.3">
      <c r="A613" s="53" t="s">
        <v>450</v>
      </c>
      <c r="B613" s="40">
        <v>33111</v>
      </c>
      <c r="C613" s="41" t="s">
        <v>888</v>
      </c>
      <c r="D613" s="30" t="e">
        <f>VLOOKUP(Table13[[#This Row],[kbli5]],Table1[[#All],[kbli5]:[digital_hijau]],3,)</f>
        <v>#N/A</v>
      </c>
      <c r="E613" s="53" t="e">
        <f>VLOOKUP(Table13[[#This Row],[kbli5]],kata_kunci!$B:$H,4,FALSE)</f>
        <v>#N/A</v>
      </c>
      <c r="F613" s="53" t="e">
        <f>VLOOKUP(Table13[[#This Row],[kbli5]],Table1[[#All],[kbli5]:[digital_hijau]],5,)</f>
        <v>#N/A</v>
      </c>
      <c r="G613" s="53" t="e">
        <f>VLOOKUP(Table13[[#This Row],[kbli5]],Table1[[#All],[kbli5]:[digital_hijau]],6,)</f>
        <v>#N/A</v>
      </c>
      <c r="H613" s="54" t="e">
        <f>VLOOKUP(Table13[[#This Row],[kbli5]],kata_kunci!$B:$H,3,FALSE)</f>
        <v>#N/A</v>
      </c>
      <c r="I613" s="84" t="e">
        <f>VLOOKUP(Table13[[#This Row],[kbli5]],kata_kunci!$B:$H,5,FALSE)</f>
        <v>#N/A</v>
      </c>
      <c r="J613" s="84" t="e">
        <f>VLOOKUP(Table13[[#This Row],[kbli5]],kata_kunci!$B:$H,6,FALSE)</f>
        <v>#N/A</v>
      </c>
      <c r="K613" s="84" t="e">
        <f>VLOOKUP(Table13[[#This Row],[kbli5]],kata_kunci!$B:$H,7,FALSE)</f>
        <v>#N/A</v>
      </c>
    </row>
    <row r="614" spans="1:11" ht="45.75" thickBot="1" x14ac:dyDescent="0.3">
      <c r="A614" s="53" t="s">
        <v>450</v>
      </c>
      <c r="B614" s="40">
        <v>33112</v>
      </c>
      <c r="C614" s="41" t="s">
        <v>889</v>
      </c>
      <c r="D614" s="30" t="e">
        <f>VLOOKUP(Table13[[#This Row],[kbli5]],Table1[[#All],[kbli5]:[digital_hijau]],3,)</f>
        <v>#N/A</v>
      </c>
      <c r="E614" s="53" t="e">
        <f>VLOOKUP(Table13[[#This Row],[kbli5]],kata_kunci!$B:$H,4,FALSE)</f>
        <v>#N/A</v>
      </c>
      <c r="F614" s="53" t="e">
        <f>VLOOKUP(Table13[[#This Row],[kbli5]],Table1[[#All],[kbli5]:[digital_hijau]],5,)</f>
        <v>#N/A</v>
      </c>
      <c r="G614" s="53" t="e">
        <f>VLOOKUP(Table13[[#This Row],[kbli5]],Table1[[#All],[kbli5]:[digital_hijau]],6,)</f>
        <v>#N/A</v>
      </c>
      <c r="H614" s="54" t="e">
        <f>VLOOKUP(Table13[[#This Row],[kbli5]],kata_kunci!$B:$H,3,FALSE)</f>
        <v>#N/A</v>
      </c>
      <c r="I614" s="84" t="e">
        <f>VLOOKUP(Table13[[#This Row],[kbli5]],kata_kunci!$B:$H,5,FALSE)</f>
        <v>#N/A</v>
      </c>
      <c r="J614" s="84" t="e">
        <f>VLOOKUP(Table13[[#This Row],[kbli5]],kata_kunci!$B:$H,6,FALSE)</f>
        <v>#N/A</v>
      </c>
      <c r="K614" s="84" t="e">
        <f>VLOOKUP(Table13[[#This Row],[kbli5]],kata_kunci!$B:$H,7,FALSE)</f>
        <v>#N/A</v>
      </c>
    </row>
    <row r="615" spans="1:11" ht="45.75" thickBot="1" x14ac:dyDescent="0.3">
      <c r="A615" s="53" t="s">
        <v>450</v>
      </c>
      <c r="B615" s="40">
        <v>33119</v>
      </c>
      <c r="C615" s="41" t="s">
        <v>890</v>
      </c>
      <c r="D615" s="30" t="e">
        <f>VLOOKUP(Table13[[#This Row],[kbli5]],Table1[[#All],[kbli5]:[digital_hijau]],3,)</f>
        <v>#N/A</v>
      </c>
      <c r="E615" s="53" t="e">
        <f>VLOOKUP(Table13[[#This Row],[kbli5]],kata_kunci!$B:$H,4,FALSE)</f>
        <v>#N/A</v>
      </c>
      <c r="F615" s="53" t="e">
        <f>VLOOKUP(Table13[[#This Row],[kbli5]],Table1[[#All],[kbli5]:[digital_hijau]],5,)</f>
        <v>#N/A</v>
      </c>
      <c r="G615" s="53" t="e">
        <f>VLOOKUP(Table13[[#This Row],[kbli5]],Table1[[#All],[kbli5]:[digital_hijau]],6,)</f>
        <v>#N/A</v>
      </c>
      <c r="H615" s="54" t="e">
        <f>VLOOKUP(Table13[[#This Row],[kbli5]],kata_kunci!$B:$H,3,FALSE)</f>
        <v>#N/A</v>
      </c>
      <c r="I615" s="84" t="e">
        <f>VLOOKUP(Table13[[#This Row],[kbli5]],kata_kunci!$B:$H,5,FALSE)</f>
        <v>#N/A</v>
      </c>
      <c r="J615" s="84" t="e">
        <f>VLOOKUP(Table13[[#This Row],[kbli5]],kata_kunci!$B:$H,6,FALSE)</f>
        <v>#N/A</v>
      </c>
      <c r="K615" s="84" t="e">
        <f>VLOOKUP(Table13[[#This Row],[kbli5]],kata_kunci!$B:$H,7,FALSE)</f>
        <v>#N/A</v>
      </c>
    </row>
    <row r="616" spans="1:11" ht="45.75" thickBot="1" x14ac:dyDescent="0.3">
      <c r="A616" s="53" t="s">
        <v>450</v>
      </c>
      <c r="B616" s="40">
        <v>33121</v>
      </c>
      <c r="C616" s="41" t="s">
        <v>891</v>
      </c>
      <c r="D616" s="30" t="e">
        <f>VLOOKUP(Table13[[#This Row],[kbli5]],Table1[[#All],[kbli5]:[digital_hijau]],3,)</f>
        <v>#N/A</v>
      </c>
      <c r="E616" s="53" t="e">
        <f>VLOOKUP(Table13[[#This Row],[kbli5]],kata_kunci!$B:$H,4,FALSE)</f>
        <v>#N/A</v>
      </c>
      <c r="F616" s="53" t="e">
        <f>VLOOKUP(Table13[[#This Row],[kbli5]],Table1[[#All],[kbli5]:[digital_hijau]],5,)</f>
        <v>#N/A</v>
      </c>
      <c r="G616" s="53" t="e">
        <f>VLOOKUP(Table13[[#This Row],[kbli5]],Table1[[#All],[kbli5]:[digital_hijau]],6,)</f>
        <v>#N/A</v>
      </c>
      <c r="H616" s="54" t="e">
        <f>VLOOKUP(Table13[[#This Row],[kbli5]],kata_kunci!$B:$H,3,FALSE)</f>
        <v>#N/A</v>
      </c>
      <c r="I616" s="84" t="e">
        <f>VLOOKUP(Table13[[#This Row],[kbli5]],kata_kunci!$B:$H,5,FALSE)</f>
        <v>#N/A</v>
      </c>
      <c r="J616" s="84" t="e">
        <f>VLOOKUP(Table13[[#This Row],[kbli5]],kata_kunci!$B:$H,6,FALSE)</f>
        <v>#N/A</v>
      </c>
      <c r="K616" s="84" t="e">
        <f>VLOOKUP(Table13[[#This Row],[kbli5]],kata_kunci!$B:$H,7,FALSE)</f>
        <v>#N/A</v>
      </c>
    </row>
    <row r="617" spans="1:11" ht="45.75" thickBot="1" x14ac:dyDescent="0.3">
      <c r="A617" s="53" t="s">
        <v>450</v>
      </c>
      <c r="B617" s="40">
        <v>33122</v>
      </c>
      <c r="C617" s="41" t="s">
        <v>892</v>
      </c>
      <c r="D617" s="30" t="e">
        <f>VLOOKUP(Table13[[#This Row],[kbli5]],Table1[[#All],[kbli5]:[digital_hijau]],3,)</f>
        <v>#N/A</v>
      </c>
      <c r="E617" s="53" t="e">
        <f>VLOOKUP(Table13[[#This Row],[kbli5]],kata_kunci!$B:$H,4,FALSE)</f>
        <v>#N/A</v>
      </c>
      <c r="F617" s="53" t="e">
        <f>VLOOKUP(Table13[[#This Row],[kbli5]],Table1[[#All],[kbli5]:[digital_hijau]],5,)</f>
        <v>#N/A</v>
      </c>
      <c r="G617" s="53" t="e">
        <f>VLOOKUP(Table13[[#This Row],[kbli5]],Table1[[#All],[kbli5]:[digital_hijau]],6,)</f>
        <v>#N/A</v>
      </c>
      <c r="H617" s="54" t="e">
        <f>VLOOKUP(Table13[[#This Row],[kbli5]],kata_kunci!$B:$H,3,FALSE)</f>
        <v>#N/A</v>
      </c>
      <c r="I617" s="84" t="e">
        <f>VLOOKUP(Table13[[#This Row],[kbli5]],kata_kunci!$B:$H,5,FALSE)</f>
        <v>#N/A</v>
      </c>
      <c r="J617" s="84" t="e">
        <f>VLOOKUP(Table13[[#This Row],[kbli5]],kata_kunci!$B:$H,6,FALSE)</f>
        <v>#N/A</v>
      </c>
      <c r="K617" s="84" t="e">
        <f>VLOOKUP(Table13[[#This Row],[kbli5]],kata_kunci!$B:$H,7,FALSE)</f>
        <v>#N/A</v>
      </c>
    </row>
    <row r="618" spans="1:11" ht="60.75" thickBot="1" x14ac:dyDescent="0.3">
      <c r="A618" s="53" t="s">
        <v>450</v>
      </c>
      <c r="B618" s="40">
        <v>33131</v>
      </c>
      <c r="C618" s="41" t="s">
        <v>893</v>
      </c>
      <c r="D618" s="30" t="e">
        <f>VLOOKUP(Table13[[#This Row],[kbli5]],Table1[[#All],[kbli5]:[digital_hijau]],3,)</f>
        <v>#N/A</v>
      </c>
      <c r="E618" s="53" t="e">
        <f>VLOOKUP(Table13[[#This Row],[kbli5]],kata_kunci!$B:$H,4,FALSE)</f>
        <v>#N/A</v>
      </c>
      <c r="F618" s="53" t="e">
        <f>VLOOKUP(Table13[[#This Row],[kbli5]],Table1[[#All],[kbli5]:[digital_hijau]],5,)</f>
        <v>#N/A</v>
      </c>
      <c r="G618" s="53" t="e">
        <f>VLOOKUP(Table13[[#This Row],[kbli5]],Table1[[#All],[kbli5]:[digital_hijau]],6,)</f>
        <v>#N/A</v>
      </c>
      <c r="H618" s="54" t="e">
        <f>VLOOKUP(Table13[[#This Row],[kbli5]],kata_kunci!$B:$H,3,FALSE)</f>
        <v>#N/A</v>
      </c>
      <c r="I618" s="84" t="e">
        <f>VLOOKUP(Table13[[#This Row],[kbli5]],kata_kunci!$B:$H,5,FALSE)</f>
        <v>#N/A</v>
      </c>
      <c r="J618" s="84" t="e">
        <f>VLOOKUP(Table13[[#This Row],[kbli5]],kata_kunci!$B:$H,6,FALSE)</f>
        <v>#N/A</v>
      </c>
      <c r="K618" s="84" t="e">
        <f>VLOOKUP(Table13[[#This Row],[kbli5]],kata_kunci!$B:$H,7,FALSE)</f>
        <v>#N/A</v>
      </c>
    </row>
    <row r="619" spans="1:11" ht="60.75" thickBot="1" x14ac:dyDescent="0.3">
      <c r="A619" s="53" t="s">
        <v>450</v>
      </c>
      <c r="B619" s="40">
        <v>33132</v>
      </c>
      <c r="C619" s="41" t="s">
        <v>894</v>
      </c>
      <c r="D619" s="30" t="e">
        <f>VLOOKUP(Table13[[#This Row],[kbli5]],Table1[[#All],[kbli5]:[digital_hijau]],3,)</f>
        <v>#N/A</v>
      </c>
      <c r="E619" s="53" t="e">
        <f>VLOOKUP(Table13[[#This Row],[kbli5]],kata_kunci!$B:$H,4,FALSE)</f>
        <v>#N/A</v>
      </c>
      <c r="F619" s="53" t="e">
        <f>VLOOKUP(Table13[[#This Row],[kbli5]],Table1[[#All],[kbli5]:[digital_hijau]],5,)</f>
        <v>#N/A</v>
      </c>
      <c r="G619" s="53" t="e">
        <f>VLOOKUP(Table13[[#This Row],[kbli5]],Table1[[#All],[kbli5]:[digital_hijau]],6,)</f>
        <v>#N/A</v>
      </c>
      <c r="H619" s="54" t="e">
        <f>VLOOKUP(Table13[[#This Row],[kbli5]],kata_kunci!$B:$H,3,FALSE)</f>
        <v>#N/A</v>
      </c>
      <c r="I619" s="84" t="e">
        <f>VLOOKUP(Table13[[#This Row],[kbli5]],kata_kunci!$B:$H,5,FALSE)</f>
        <v>#N/A</v>
      </c>
      <c r="J619" s="84" t="e">
        <f>VLOOKUP(Table13[[#This Row],[kbli5]],kata_kunci!$B:$H,6,FALSE)</f>
        <v>#N/A</v>
      </c>
      <c r="K619" s="84" t="e">
        <f>VLOOKUP(Table13[[#This Row],[kbli5]],kata_kunci!$B:$H,7,FALSE)</f>
        <v>#N/A</v>
      </c>
    </row>
    <row r="620" spans="1:11" ht="60.75" thickBot="1" x14ac:dyDescent="0.3">
      <c r="A620" s="53" t="s">
        <v>450</v>
      </c>
      <c r="B620" s="40">
        <v>33133</v>
      </c>
      <c r="C620" s="41" t="s">
        <v>895</v>
      </c>
      <c r="D620" s="30" t="e">
        <f>VLOOKUP(Table13[[#This Row],[kbli5]],Table1[[#All],[kbli5]:[digital_hijau]],3,)</f>
        <v>#N/A</v>
      </c>
      <c r="E620" s="53" t="e">
        <f>VLOOKUP(Table13[[#This Row],[kbli5]],kata_kunci!$B:$H,4,FALSE)</f>
        <v>#N/A</v>
      </c>
      <c r="F620" s="53" t="e">
        <f>VLOOKUP(Table13[[#This Row],[kbli5]],Table1[[#All],[kbli5]:[digital_hijau]],5,)</f>
        <v>#N/A</v>
      </c>
      <c r="G620" s="53" t="e">
        <f>VLOOKUP(Table13[[#This Row],[kbli5]],Table1[[#All],[kbli5]:[digital_hijau]],6,)</f>
        <v>#N/A</v>
      </c>
      <c r="H620" s="54" t="e">
        <f>VLOOKUP(Table13[[#This Row],[kbli5]],kata_kunci!$B:$H,3,FALSE)</f>
        <v>#N/A</v>
      </c>
      <c r="I620" s="84" t="e">
        <f>VLOOKUP(Table13[[#This Row],[kbli5]],kata_kunci!$B:$H,5,FALSE)</f>
        <v>#N/A</v>
      </c>
      <c r="J620" s="84" t="e">
        <f>VLOOKUP(Table13[[#This Row],[kbli5]],kata_kunci!$B:$H,6,FALSE)</f>
        <v>#N/A</v>
      </c>
      <c r="K620" s="84" t="e">
        <f>VLOOKUP(Table13[[#This Row],[kbli5]],kata_kunci!$B:$H,7,FALSE)</f>
        <v>#N/A</v>
      </c>
    </row>
    <row r="621" spans="1:11" ht="45.75" thickBot="1" x14ac:dyDescent="0.3">
      <c r="A621" s="53" t="s">
        <v>450</v>
      </c>
      <c r="B621" s="40">
        <v>33141</v>
      </c>
      <c r="C621" s="41" t="s">
        <v>896</v>
      </c>
      <c r="D621" s="30" t="e">
        <f>VLOOKUP(Table13[[#This Row],[kbli5]],Table1[[#All],[kbli5]:[digital_hijau]],3,)</f>
        <v>#N/A</v>
      </c>
      <c r="E621" s="53" t="e">
        <f>VLOOKUP(Table13[[#This Row],[kbli5]],kata_kunci!$B:$H,4,FALSE)</f>
        <v>#N/A</v>
      </c>
      <c r="F621" s="53" t="e">
        <f>VLOOKUP(Table13[[#This Row],[kbli5]],Table1[[#All],[kbli5]:[digital_hijau]],5,)</f>
        <v>#N/A</v>
      </c>
      <c r="G621" s="53" t="e">
        <f>VLOOKUP(Table13[[#This Row],[kbli5]],Table1[[#All],[kbli5]:[digital_hijau]],6,)</f>
        <v>#N/A</v>
      </c>
      <c r="H621" s="54" t="e">
        <f>VLOOKUP(Table13[[#This Row],[kbli5]],kata_kunci!$B:$H,3,FALSE)</f>
        <v>#N/A</v>
      </c>
      <c r="I621" s="84" t="e">
        <f>VLOOKUP(Table13[[#This Row],[kbli5]],kata_kunci!$B:$H,5,FALSE)</f>
        <v>#N/A</v>
      </c>
      <c r="J621" s="84" t="e">
        <f>VLOOKUP(Table13[[#This Row],[kbli5]],kata_kunci!$B:$H,6,FALSE)</f>
        <v>#N/A</v>
      </c>
      <c r="K621" s="84" t="e">
        <f>VLOOKUP(Table13[[#This Row],[kbli5]],kata_kunci!$B:$H,7,FALSE)</f>
        <v>#N/A</v>
      </c>
    </row>
    <row r="622" spans="1:11" ht="45.75" thickBot="1" x14ac:dyDescent="0.3">
      <c r="A622" s="53" t="s">
        <v>450</v>
      </c>
      <c r="B622" s="40">
        <v>33142</v>
      </c>
      <c r="C622" s="41" t="s">
        <v>897</v>
      </c>
      <c r="D622" s="30" t="e">
        <f>VLOOKUP(Table13[[#This Row],[kbli5]],Table1[[#All],[kbli5]:[digital_hijau]],3,)</f>
        <v>#N/A</v>
      </c>
      <c r="E622" s="53" t="e">
        <f>VLOOKUP(Table13[[#This Row],[kbli5]],kata_kunci!$B:$H,4,FALSE)</f>
        <v>#N/A</v>
      </c>
      <c r="F622" s="53" t="e">
        <f>VLOOKUP(Table13[[#This Row],[kbli5]],Table1[[#All],[kbli5]:[digital_hijau]],5,)</f>
        <v>#N/A</v>
      </c>
      <c r="G622" s="53" t="e">
        <f>VLOOKUP(Table13[[#This Row],[kbli5]],Table1[[#All],[kbli5]:[digital_hijau]],6,)</f>
        <v>#N/A</v>
      </c>
      <c r="H622" s="54" t="e">
        <f>VLOOKUP(Table13[[#This Row],[kbli5]],kata_kunci!$B:$H,3,FALSE)</f>
        <v>#N/A</v>
      </c>
      <c r="I622" s="84" t="e">
        <f>VLOOKUP(Table13[[#This Row],[kbli5]],kata_kunci!$B:$H,5,FALSE)</f>
        <v>#N/A</v>
      </c>
      <c r="J622" s="84" t="e">
        <f>VLOOKUP(Table13[[#This Row],[kbli5]],kata_kunci!$B:$H,6,FALSE)</f>
        <v>#N/A</v>
      </c>
      <c r="K622" s="84" t="e">
        <f>VLOOKUP(Table13[[#This Row],[kbli5]],kata_kunci!$B:$H,7,FALSE)</f>
        <v>#N/A</v>
      </c>
    </row>
    <row r="623" spans="1:11" ht="60.75" thickBot="1" x14ac:dyDescent="0.3">
      <c r="A623" s="53" t="s">
        <v>450</v>
      </c>
      <c r="B623" s="40">
        <v>33149</v>
      </c>
      <c r="C623" s="41" t="s">
        <v>898</v>
      </c>
      <c r="D623" s="30" t="e">
        <f>VLOOKUP(Table13[[#This Row],[kbli5]],Table1[[#All],[kbli5]:[digital_hijau]],3,)</f>
        <v>#N/A</v>
      </c>
      <c r="E623" s="53" t="e">
        <f>VLOOKUP(Table13[[#This Row],[kbli5]],kata_kunci!$B:$H,4,FALSE)</f>
        <v>#N/A</v>
      </c>
      <c r="F623" s="53" t="e">
        <f>VLOOKUP(Table13[[#This Row],[kbli5]],Table1[[#All],[kbli5]:[digital_hijau]],5,)</f>
        <v>#N/A</v>
      </c>
      <c r="G623" s="53" t="e">
        <f>VLOOKUP(Table13[[#This Row],[kbli5]],Table1[[#All],[kbli5]:[digital_hijau]],6,)</f>
        <v>#N/A</v>
      </c>
      <c r="H623" s="54" t="e">
        <f>VLOOKUP(Table13[[#This Row],[kbli5]],kata_kunci!$B:$H,3,FALSE)</f>
        <v>#N/A</v>
      </c>
      <c r="I623" s="84" t="e">
        <f>VLOOKUP(Table13[[#This Row],[kbli5]],kata_kunci!$B:$H,5,FALSE)</f>
        <v>#N/A</v>
      </c>
      <c r="J623" s="84" t="e">
        <f>VLOOKUP(Table13[[#This Row],[kbli5]],kata_kunci!$B:$H,6,FALSE)</f>
        <v>#N/A</v>
      </c>
      <c r="K623" s="84" t="e">
        <f>VLOOKUP(Table13[[#This Row],[kbli5]],kata_kunci!$B:$H,7,FALSE)</f>
        <v>#N/A</v>
      </c>
    </row>
    <row r="624" spans="1:11" ht="45.75" thickBot="1" x14ac:dyDescent="0.3">
      <c r="A624" s="53" t="s">
        <v>450</v>
      </c>
      <c r="B624" s="40">
        <v>33151</v>
      </c>
      <c r="C624" s="41" t="s">
        <v>899</v>
      </c>
      <c r="D624" s="30" t="e">
        <f>VLOOKUP(Table13[[#This Row],[kbli5]],Table1[[#All],[kbli5]:[digital_hijau]],3,)</f>
        <v>#N/A</v>
      </c>
      <c r="E624" s="53" t="e">
        <f>VLOOKUP(Table13[[#This Row],[kbli5]],kata_kunci!$B:$H,4,FALSE)</f>
        <v>#N/A</v>
      </c>
      <c r="F624" s="53" t="e">
        <f>VLOOKUP(Table13[[#This Row],[kbli5]],Table1[[#All],[kbli5]:[digital_hijau]],5,)</f>
        <v>#N/A</v>
      </c>
      <c r="G624" s="53" t="e">
        <f>VLOOKUP(Table13[[#This Row],[kbli5]],Table1[[#All],[kbli5]:[digital_hijau]],6,)</f>
        <v>#N/A</v>
      </c>
      <c r="H624" s="54" t="e">
        <f>VLOOKUP(Table13[[#This Row],[kbli5]],kata_kunci!$B:$H,3,FALSE)</f>
        <v>#N/A</v>
      </c>
      <c r="I624" s="84" t="e">
        <f>VLOOKUP(Table13[[#This Row],[kbli5]],kata_kunci!$B:$H,5,FALSE)</f>
        <v>#N/A</v>
      </c>
      <c r="J624" s="84" t="e">
        <f>VLOOKUP(Table13[[#This Row],[kbli5]],kata_kunci!$B:$H,6,FALSE)</f>
        <v>#N/A</v>
      </c>
      <c r="K624" s="84" t="e">
        <f>VLOOKUP(Table13[[#This Row],[kbli5]],kata_kunci!$B:$H,7,FALSE)</f>
        <v>#N/A</v>
      </c>
    </row>
    <row r="625" spans="1:11" ht="60.75" thickBot="1" x14ac:dyDescent="0.3">
      <c r="A625" s="53" t="s">
        <v>450</v>
      </c>
      <c r="B625" s="40">
        <v>33152</v>
      </c>
      <c r="C625" s="41" t="s">
        <v>900</v>
      </c>
      <c r="D625" s="30" t="e">
        <f>VLOOKUP(Table13[[#This Row],[kbli5]],Table1[[#All],[kbli5]:[digital_hijau]],3,)</f>
        <v>#N/A</v>
      </c>
      <c r="E625" s="53" t="e">
        <f>VLOOKUP(Table13[[#This Row],[kbli5]],kata_kunci!$B:$H,4,FALSE)</f>
        <v>#N/A</v>
      </c>
      <c r="F625" s="53" t="e">
        <f>VLOOKUP(Table13[[#This Row],[kbli5]],Table1[[#All],[kbli5]:[digital_hijau]],5,)</f>
        <v>#N/A</v>
      </c>
      <c r="G625" s="53" t="e">
        <f>VLOOKUP(Table13[[#This Row],[kbli5]],Table1[[#All],[kbli5]:[digital_hijau]],6,)</f>
        <v>#N/A</v>
      </c>
      <c r="H625" s="54" t="e">
        <f>VLOOKUP(Table13[[#This Row],[kbli5]],kata_kunci!$B:$H,3,FALSE)</f>
        <v>#N/A</v>
      </c>
      <c r="I625" s="84" t="e">
        <f>VLOOKUP(Table13[[#This Row],[kbli5]],kata_kunci!$B:$H,5,FALSE)</f>
        <v>#N/A</v>
      </c>
      <c r="J625" s="84" t="e">
        <f>VLOOKUP(Table13[[#This Row],[kbli5]],kata_kunci!$B:$H,6,FALSE)</f>
        <v>#N/A</v>
      </c>
      <c r="K625" s="84" t="e">
        <f>VLOOKUP(Table13[[#This Row],[kbli5]],kata_kunci!$B:$H,7,FALSE)</f>
        <v>#N/A</v>
      </c>
    </row>
    <row r="626" spans="1:11" ht="45.75" thickBot="1" x14ac:dyDescent="0.3">
      <c r="A626" s="53" t="s">
        <v>450</v>
      </c>
      <c r="B626" s="40">
        <v>33153</v>
      </c>
      <c r="C626" s="41" t="s">
        <v>901</v>
      </c>
      <c r="D626" s="30" t="e">
        <f>VLOOKUP(Table13[[#This Row],[kbli5]],Table1[[#All],[kbli5]:[digital_hijau]],3,)</f>
        <v>#N/A</v>
      </c>
      <c r="E626" s="53" t="e">
        <f>VLOOKUP(Table13[[#This Row],[kbli5]],kata_kunci!$B:$H,4,FALSE)</f>
        <v>#N/A</v>
      </c>
      <c r="F626" s="53" t="e">
        <f>VLOOKUP(Table13[[#This Row],[kbli5]],Table1[[#All],[kbli5]:[digital_hijau]],5,)</f>
        <v>#N/A</v>
      </c>
      <c r="G626" s="53" t="e">
        <f>VLOOKUP(Table13[[#This Row],[kbli5]],Table1[[#All],[kbli5]:[digital_hijau]],6,)</f>
        <v>#N/A</v>
      </c>
      <c r="H626" s="54" t="e">
        <f>VLOOKUP(Table13[[#This Row],[kbli5]],kata_kunci!$B:$H,3,FALSE)</f>
        <v>#N/A</v>
      </c>
      <c r="I626" s="84" t="e">
        <f>VLOOKUP(Table13[[#This Row],[kbli5]],kata_kunci!$B:$H,5,FALSE)</f>
        <v>#N/A</v>
      </c>
      <c r="J626" s="84" t="e">
        <f>VLOOKUP(Table13[[#This Row],[kbli5]],kata_kunci!$B:$H,6,FALSE)</f>
        <v>#N/A</v>
      </c>
      <c r="K626" s="84" t="e">
        <f>VLOOKUP(Table13[[#This Row],[kbli5]],kata_kunci!$B:$H,7,FALSE)</f>
        <v>#N/A</v>
      </c>
    </row>
    <row r="627" spans="1:11" ht="60.75" thickBot="1" x14ac:dyDescent="0.3">
      <c r="A627" s="53" t="s">
        <v>450</v>
      </c>
      <c r="B627" s="40">
        <v>33159</v>
      </c>
      <c r="C627" s="41" t="s">
        <v>902</v>
      </c>
      <c r="D627" s="30" t="e">
        <f>VLOOKUP(Table13[[#This Row],[kbli5]],Table1[[#All],[kbli5]:[digital_hijau]],3,)</f>
        <v>#N/A</v>
      </c>
      <c r="E627" s="53" t="e">
        <f>VLOOKUP(Table13[[#This Row],[kbli5]],kata_kunci!$B:$H,4,FALSE)</f>
        <v>#N/A</v>
      </c>
      <c r="F627" s="53" t="e">
        <f>VLOOKUP(Table13[[#This Row],[kbli5]],Table1[[#All],[kbli5]:[digital_hijau]],5,)</f>
        <v>#N/A</v>
      </c>
      <c r="G627" s="53" t="e">
        <f>VLOOKUP(Table13[[#This Row],[kbli5]],Table1[[#All],[kbli5]:[digital_hijau]],6,)</f>
        <v>#N/A</v>
      </c>
      <c r="H627" s="54" t="e">
        <f>VLOOKUP(Table13[[#This Row],[kbli5]],kata_kunci!$B:$H,3,FALSE)</f>
        <v>#N/A</v>
      </c>
      <c r="I627" s="84" t="e">
        <f>VLOOKUP(Table13[[#This Row],[kbli5]],kata_kunci!$B:$H,5,FALSE)</f>
        <v>#N/A</v>
      </c>
      <c r="J627" s="84" t="e">
        <f>VLOOKUP(Table13[[#This Row],[kbli5]],kata_kunci!$B:$H,6,FALSE)</f>
        <v>#N/A</v>
      </c>
      <c r="K627" s="84" t="e">
        <f>VLOOKUP(Table13[[#This Row],[kbli5]],kata_kunci!$B:$H,7,FALSE)</f>
        <v>#N/A</v>
      </c>
    </row>
    <row r="628" spans="1:11" ht="45.75" thickBot="1" x14ac:dyDescent="0.3">
      <c r="A628" s="53" t="s">
        <v>450</v>
      </c>
      <c r="B628" s="40">
        <v>33190</v>
      </c>
      <c r="C628" s="41" t="s">
        <v>903</v>
      </c>
      <c r="D628" s="30" t="e">
        <f>VLOOKUP(Table13[[#This Row],[kbli5]],Table1[[#All],[kbli5]:[digital_hijau]],3,)</f>
        <v>#N/A</v>
      </c>
      <c r="E628" s="53" t="e">
        <f>VLOOKUP(Table13[[#This Row],[kbli5]],kata_kunci!$B:$H,4,FALSE)</f>
        <v>#N/A</v>
      </c>
      <c r="F628" s="53" t="e">
        <f>VLOOKUP(Table13[[#This Row],[kbli5]],Table1[[#All],[kbli5]:[digital_hijau]],5,)</f>
        <v>#N/A</v>
      </c>
      <c r="G628" s="53" t="e">
        <f>VLOOKUP(Table13[[#This Row],[kbli5]],Table1[[#All],[kbli5]:[digital_hijau]],6,)</f>
        <v>#N/A</v>
      </c>
      <c r="H628" s="54" t="e">
        <f>VLOOKUP(Table13[[#This Row],[kbli5]],kata_kunci!$B:$H,3,FALSE)</f>
        <v>#N/A</v>
      </c>
      <c r="I628" s="84" t="e">
        <f>VLOOKUP(Table13[[#This Row],[kbli5]],kata_kunci!$B:$H,5,FALSE)</f>
        <v>#N/A</v>
      </c>
      <c r="J628" s="84" t="e">
        <f>VLOOKUP(Table13[[#This Row],[kbli5]],kata_kunci!$B:$H,6,FALSE)</f>
        <v>#N/A</v>
      </c>
      <c r="K628" s="84" t="e">
        <f>VLOOKUP(Table13[[#This Row],[kbli5]],kata_kunci!$B:$H,7,FALSE)</f>
        <v>#N/A</v>
      </c>
    </row>
    <row r="629" spans="1:11" ht="60.75" thickBot="1" x14ac:dyDescent="0.3">
      <c r="A629" s="53" t="s">
        <v>450</v>
      </c>
      <c r="B629" s="40">
        <v>33201</v>
      </c>
      <c r="C629" s="41" t="s">
        <v>904</v>
      </c>
      <c r="D629" s="30" t="e">
        <f>VLOOKUP(Table13[[#This Row],[kbli5]],Table1[[#All],[kbli5]:[digital_hijau]],3,)</f>
        <v>#N/A</v>
      </c>
      <c r="E629" s="53" t="e">
        <f>VLOOKUP(Table13[[#This Row],[kbli5]],kata_kunci!$B:$H,4,FALSE)</f>
        <v>#N/A</v>
      </c>
      <c r="F629" s="53" t="e">
        <f>VLOOKUP(Table13[[#This Row],[kbli5]],Table1[[#All],[kbli5]:[digital_hijau]],5,)</f>
        <v>#N/A</v>
      </c>
      <c r="G629" s="53" t="e">
        <f>VLOOKUP(Table13[[#This Row],[kbli5]],Table1[[#All],[kbli5]:[digital_hijau]],6,)</f>
        <v>#N/A</v>
      </c>
      <c r="H629" s="54" t="e">
        <f>VLOOKUP(Table13[[#This Row],[kbli5]],kata_kunci!$B:$H,3,FALSE)</f>
        <v>#N/A</v>
      </c>
      <c r="I629" s="84" t="e">
        <f>VLOOKUP(Table13[[#This Row],[kbli5]],kata_kunci!$B:$H,5,FALSE)</f>
        <v>#N/A</v>
      </c>
      <c r="J629" s="84" t="e">
        <f>VLOOKUP(Table13[[#This Row],[kbli5]],kata_kunci!$B:$H,6,FALSE)</f>
        <v>#N/A</v>
      </c>
      <c r="K629" s="84" t="e">
        <f>VLOOKUP(Table13[[#This Row],[kbli5]],kata_kunci!$B:$H,7,FALSE)</f>
        <v>#N/A</v>
      </c>
    </row>
    <row r="630" spans="1:11" ht="45.75" thickBot="1" x14ac:dyDescent="0.3">
      <c r="A630" s="53" t="s">
        <v>450</v>
      </c>
      <c r="B630" s="40">
        <v>33202</v>
      </c>
      <c r="C630" s="41" t="s">
        <v>905</v>
      </c>
      <c r="D630" s="30" t="e">
        <f>VLOOKUP(Table13[[#This Row],[kbli5]],Table1[[#All],[kbli5]:[digital_hijau]],3,)</f>
        <v>#N/A</v>
      </c>
      <c r="E630" s="53" t="e">
        <f>VLOOKUP(Table13[[#This Row],[kbli5]],kata_kunci!$B:$H,4,FALSE)</f>
        <v>#N/A</v>
      </c>
      <c r="F630" s="53" t="e">
        <f>VLOOKUP(Table13[[#This Row],[kbli5]],Table1[[#All],[kbli5]:[digital_hijau]],5,)</f>
        <v>#N/A</v>
      </c>
      <c r="G630" s="53" t="e">
        <f>VLOOKUP(Table13[[#This Row],[kbli5]],Table1[[#All],[kbli5]:[digital_hijau]],6,)</f>
        <v>#N/A</v>
      </c>
      <c r="H630" s="54" t="e">
        <f>VLOOKUP(Table13[[#This Row],[kbli5]],kata_kunci!$B:$H,3,FALSE)</f>
        <v>#N/A</v>
      </c>
      <c r="I630" s="84" t="e">
        <f>VLOOKUP(Table13[[#This Row],[kbli5]],kata_kunci!$B:$H,5,FALSE)</f>
        <v>#N/A</v>
      </c>
      <c r="J630" s="84" t="e">
        <f>VLOOKUP(Table13[[#This Row],[kbli5]],kata_kunci!$B:$H,6,FALSE)</f>
        <v>#N/A</v>
      </c>
      <c r="K630" s="84" t="e">
        <f>VLOOKUP(Table13[[#This Row],[kbli5]],kata_kunci!$B:$H,7,FALSE)</f>
        <v>#N/A</v>
      </c>
    </row>
    <row r="631" spans="1:11" ht="60.75" thickBot="1" x14ac:dyDescent="0.3">
      <c r="A631" s="53" t="s">
        <v>450</v>
      </c>
      <c r="B631" s="40">
        <v>33203</v>
      </c>
      <c r="C631" s="41" t="s">
        <v>906</v>
      </c>
      <c r="D631" s="30" t="e">
        <f>VLOOKUP(Table13[[#This Row],[kbli5]],Table1[[#All],[kbli5]:[digital_hijau]],3,)</f>
        <v>#N/A</v>
      </c>
      <c r="E631" s="53" t="e">
        <f>VLOOKUP(Table13[[#This Row],[kbli5]],kata_kunci!$B:$H,4,FALSE)</f>
        <v>#N/A</v>
      </c>
      <c r="F631" s="53" t="e">
        <f>VLOOKUP(Table13[[#This Row],[kbli5]],Table1[[#All],[kbli5]:[digital_hijau]],5,)</f>
        <v>#N/A</v>
      </c>
      <c r="G631" s="53" t="e">
        <f>VLOOKUP(Table13[[#This Row],[kbli5]],Table1[[#All],[kbli5]:[digital_hijau]],6,)</f>
        <v>#N/A</v>
      </c>
      <c r="H631" s="54" t="e">
        <f>VLOOKUP(Table13[[#This Row],[kbli5]],kata_kunci!$B:$H,3,FALSE)</f>
        <v>#N/A</v>
      </c>
      <c r="I631" s="84" t="e">
        <f>VLOOKUP(Table13[[#This Row],[kbli5]],kata_kunci!$B:$H,5,FALSE)</f>
        <v>#N/A</v>
      </c>
      <c r="J631" s="84" t="e">
        <f>VLOOKUP(Table13[[#This Row],[kbli5]],kata_kunci!$B:$H,6,FALSE)</f>
        <v>#N/A</v>
      </c>
      <c r="K631" s="84" t="e">
        <f>VLOOKUP(Table13[[#This Row],[kbli5]],kata_kunci!$B:$H,7,FALSE)</f>
        <v>#N/A</v>
      </c>
    </row>
    <row r="632" spans="1:11" ht="78" thickBot="1" x14ac:dyDescent="0.3">
      <c r="A632" s="53" t="s">
        <v>907</v>
      </c>
      <c r="B632" s="40">
        <v>35111</v>
      </c>
      <c r="C632" s="41" t="s">
        <v>908</v>
      </c>
      <c r="D632" s="30" t="str">
        <f>VLOOKUP(Table13[[#This Row],[kbli5]],Table1[[#All],[kbli5]:[digital_hijau]],3,)</f>
        <v>PLTU Tenayan Pekanbaru; PLTGU Riau Pekanbaru; PLTMG Balai Pungut Bengkalis; PLTMG Teluk Lembu; Turbin Gas PHR; PLTU Batu Bara Industri;</v>
      </c>
      <c r="E632" s="53" t="str">
        <f>VLOOKUP(Table13[[#This Row],[kbli5]],kata_kunci!$B:$H,4,FALSE)</f>
        <v>pembangkitan listrik; energi fosil; emisi; batu bara; PLTU; PLTD; PLTG;</v>
      </c>
      <c r="F632" s="53" t="str">
        <f>VLOOKUP(Table13[[#This Row],[kbli5]],Table1[[#All],[kbli5]:[digital_hijau]],5,)</f>
        <v>Esensial</v>
      </c>
      <c r="G632" s="53">
        <f>VLOOKUP(Table13[[#This Row],[kbli5]],Table1[[#All],[kbli5]:[digital_hijau]],6,)</f>
        <v>0</v>
      </c>
      <c r="H632" s="54" t="str">
        <f>VLOOKUP(Table13[[#This Row],[kbli5]],kata_kunci!$B:$H,3,FALSE)</f>
        <v>Pengoperasian pembangkit listrik dari sumber energi tidak terbarukan yang bersal dari fosil (gas; alam; batu bara; minyak bumi; gambut) yang menghasilkan emisi;</v>
      </c>
      <c r="I632" s="84" t="str">
        <f>VLOOKUP(Table13[[#This Row],[kbli5]],kata_kunci!$B:$H,5,FALSE)</f>
        <v>Mengoperasikan; membangkitkan; menghasilkan;</v>
      </c>
      <c r="J632" s="84" t="str">
        <f>VLOOKUP(Table13[[#This Row],[kbli5]],kata_kunci!$B:$H,6,FALSE)</f>
        <v>Batu bara; gas alam; minyak bumi; gambut; BBM fosil;</v>
      </c>
      <c r="K632" s="84" t="str">
        <f>VLOOKUP(Table13[[#This Row],[kbli5]],kata_kunci!$B:$H,7,FALSE)</f>
        <v>Tenaga listik; Energi listrik;</v>
      </c>
    </row>
    <row r="633" spans="1:11" ht="65.25" thickBot="1" x14ac:dyDescent="0.3">
      <c r="A633" s="53" t="s">
        <v>907</v>
      </c>
      <c r="B633" s="40">
        <v>35112</v>
      </c>
      <c r="C633" s="41" t="s">
        <v>908</v>
      </c>
      <c r="D633" s="30" t="e">
        <f>VLOOKUP(Table13[[#This Row],[kbli5]],Table1[[#All],[kbli5]:[digital_hijau]],3,)</f>
        <v>#N/A</v>
      </c>
      <c r="E633" s="53" t="str">
        <f>VLOOKUP(Table13[[#This Row],[kbli5]],kata_kunci!$B:$H,4,FALSE)</f>
        <v>pembangkitan listrik; non emisi; nuklir; hidrogen; amonia; PLTN;</v>
      </c>
      <c r="F633" s="53" t="e">
        <f>VLOOKUP(Table13[[#This Row],[kbli5]],Table1[[#All],[kbli5]:[digital_hijau]],5,)</f>
        <v>#N/A</v>
      </c>
      <c r="G633" s="53" t="e">
        <f>VLOOKUP(Table13[[#This Row],[kbli5]],Table1[[#All],[kbli5]:[digital_hijau]],6,)</f>
        <v>#N/A</v>
      </c>
      <c r="H633" s="54" t="str">
        <f>VLOOKUP(Table13[[#This Row],[kbli5]],kata_kunci!$B:$H,3,FALSE)</f>
        <v>Pengoperasian pembangkit listrik dari sumber energi tidak terbarukan yang tidak menghasilkan emisi (nuklir; hidrogen; amonia);</v>
      </c>
      <c r="I633" s="84" t="str">
        <f>VLOOKUP(Table13[[#This Row],[kbli5]],kata_kunci!$B:$H,5,FALSE)</f>
        <v>Mengoperasikan; membangkitkan; menghasilkan;</v>
      </c>
      <c r="J633" s="84" t="str">
        <f>VLOOKUP(Table13[[#This Row],[kbli5]],kata_kunci!$B:$H,6,FALSE)</f>
        <v>Nuklir; hidrogen; amonia;</v>
      </c>
      <c r="K633" s="84" t="str">
        <f>VLOOKUP(Table13[[#This Row],[kbli5]],kata_kunci!$B:$H,7,FALSE)</f>
        <v>Tenaga listik; Energi listrik;</v>
      </c>
    </row>
    <row r="634" spans="1:11" ht="52.5" thickBot="1" x14ac:dyDescent="0.3">
      <c r="A634" s="53" t="s">
        <v>907</v>
      </c>
      <c r="B634" s="40">
        <v>35120</v>
      </c>
      <c r="C634" s="41" t="s">
        <v>909</v>
      </c>
      <c r="D634" s="30" t="str">
        <f>VLOOKUP(Table13[[#This Row],[kbli5]],Table1[[#All],[kbli5]:[digital_hijau]],3,)</f>
        <v>PLTA Koto Panjang Kampar; Pembangkit Biomassa PT RAPP &amp; PT IKPP; PLTBg PKS Kelapa Sawit;</v>
      </c>
      <c r="E634" s="53" t="str">
        <f>VLOOKUP(Table13[[#This Row],[kbli5]],kata_kunci!$B:$H,4,FALSE)</f>
        <v>energi terbarukan; PLTA; PLTS; PLTB; panas bumi; pembangkit listrik tenaga air/angin/surya;</v>
      </c>
      <c r="F634" s="53" t="str">
        <f>VLOOKUP(Table13[[#This Row],[kbli5]],Table1[[#All],[kbli5]:[digital_hijau]],5,)</f>
        <v>Esensial</v>
      </c>
      <c r="G634" s="53">
        <f>VLOOKUP(Table13[[#This Row],[kbli5]],Table1[[#All],[kbli5]:[digital_hijau]],6,)</f>
        <v>0</v>
      </c>
      <c r="H634" s="54" t="str">
        <f>VLOOKUP(Table13[[#This Row],[kbli5]],kata_kunci!$B:$H,3,FALSE)</f>
        <v>Pengoperasian pembangkit listrik dari sumber energi terbarukan (tenaga air; angin; surya; panas bumi; energi termal);</v>
      </c>
      <c r="I634" s="84" t="str">
        <f>VLOOKUP(Table13[[#This Row],[kbli5]],kata_kunci!$B:$H,5,FALSE)</f>
        <v>Mengoperasikan; membangkitkan; menghasilkan;</v>
      </c>
      <c r="J634" s="84" t="str">
        <f>VLOOKUP(Table13[[#This Row],[kbli5]],kata_kunci!$B:$H,6,FALSE)</f>
        <v>Air; angin; sinar matahari; biomassa; panas bumi;</v>
      </c>
      <c r="K634" s="84" t="str">
        <f>VLOOKUP(Table13[[#This Row],[kbli5]],kata_kunci!$B:$H,7,FALSE)</f>
        <v>Energi listrik;</v>
      </c>
    </row>
    <row r="635" spans="1:11" ht="52.5" thickBot="1" x14ac:dyDescent="0.3">
      <c r="A635" s="53" t="s">
        <v>907</v>
      </c>
      <c r="B635" s="40">
        <v>35131</v>
      </c>
      <c r="C635" s="41" t="s">
        <v>910</v>
      </c>
      <c r="D635" s="30" t="str">
        <f>VLOOKUP(Table13[[#This Row],[kbli5]],Table1[[#All],[kbli5]:[digital_hijau]],3,)</f>
        <v>PT PLN UID Riau dan Kepulauan Riau; UPT Transmisi Pekanbaru; Gardu Induk Tenayan Raya; jaringan distribusi listrik PLN;</v>
      </c>
      <c r="E635" s="53" t="str">
        <f>VLOOKUP(Table13[[#This Row],[kbli5]],kata_kunci!$B:$H,4,FALSE)</f>
        <v>distribusi listrik; transmisi listrik; jaringan listrik; gardu induk; PLN;</v>
      </c>
      <c r="F635" s="53" t="str">
        <f>VLOOKUP(Table13[[#This Row],[kbli5]],Table1[[#All],[kbli5]:[digital_hijau]],5,)</f>
        <v>Esensial</v>
      </c>
      <c r="G635" s="53">
        <f>VLOOKUP(Table13[[#This Row],[kbli5]],Table1[[#All],[kbli5]:[digital_hijau]],6,)</f>
        <v>0</v>
      </c>
      <c r="H635" s="54" t="str">
        <f>VLOOKUP(Table13[[#This Row],[kbli5]],kata_kunci!$B:$H,3,FALSE)</f>
        <v>Penyaluran dan mendistribusikan tenaga listrik melalui jaringan berasal dari produksi sendiri atau produksi pihak lain;</v>
      </c>
      <c r="I635" s="84" t="str">
        <f>VLOOKUP(Table13[[#This Row],[kbli5]],kata_kunci!$B:$H,5,FALSE)</f>
        <v>Menyalurkan; mendistribusikan;</v>
      </c>
      <c r="J635" s="84" t="str">
        <f>VLOOKUP(Table13[[#This Row],[kbli5]],kata_kunci!$B:$H,6,FALSE)</f>
        <v>Energi listrik;</v>
      </c>
      <c r="K635" s="84" t="str">
        <f>VLOOKUP(Table13[[#This Row],[kbli5]],kata_kunci!$B:$H,7,FALSE)</f>
        <v>Distribusi tenaga listrik; jasa penyaluran;</v>
      </c>
    </row>
    <row r="636" spans="1:11" ht="51.75" thickBot="1" x14ac:dyDescent="0.3">
      <c r="A636" s="53" t="s">
        <v>907</v>
      </c>
      <c r="B636" s="40">
        <v>35132</v>
      </c>
      <c r="C636" s="41" t="s">
        <v>911</v>
      </c>
      <c r="D636" s="30" t="str">
        <f>VLOOKUP(Table13[[#This Row],[kbli5]],Table1[[#All],[kbli5]:[digital_hijau]],3,)</f>
        <v>Aktivitas penyimpanan tenaga listrik; perusahaan yang mengoperasikan fasilitas penyimpanan energi sebagai penunjang internal (PHR, RAPP, IKPP, PLN);</v>
      </c>
      <c r="E636" s="53" t="str">
        <f>VLOOKUP(Table13[[#This Row],[kbli5]],kata_kunci!$B:$H,4,FALSE)</f>
        <v>penyimpanan listrik; baterai; pump storage; SPBKLU; kendaraan listrik;</v>
      </c>
      <c r="F636" s="53" t="str">
        <f>VLOOKUP(Table13[[#This Row],[kbli5]],Table1[[#All],[kbli5]:[digital_hijau]],5,)</f>
        <v>Potensial</v>
      </c>
      <c r="G636" s="53">
        <f>VLOOKUP(Table13[[#This Row],[kbli5]],Table1[[#All],[kbli5]:[digital_hijau]],6,)</f>
        <v>0</v>
      </c>
      <c r="H636" s="54" t="str">
        <f>VLOOKUP(Table13[[#This Row],[kbli5]],kata_kunci!$B:$H,3,FALSE)</f>
        <v>Penyimpanan energi listrik untuk digunakan kembali;</v>
      </c>
      <c r="I636" s="84" t="str">
        <f>VLOOKUP(Table13[[#This Row],[kbli5]],kata_kunci!$B:$H,5,FALSE)</f>
        <v>Menyimpan; mengonversi;</v>
      </c>
      <c r="J636" s="84" t="str">
        <f>VLOOKUP(Table13[[#This Row],[kbli5]],kata_kunci!$B:$H,6,FALSE)</f>
        <v>Energi listrik; baterai;</v>
      </c>
      <c r="K636" s="84" t="str">
        <f>VLOOKUP(Table13[[#This Row],[kbli5]],kata_kunci!$B:$H,7,FALSE)</f>
        <v>Energi listrik tersimpan; Jasa penyimpanan tenaga listrik;</v>
      </c>
    </row>
    <row r="637" spans="1:11" ht="45.75" thickBot="1" x14ac:dyDescent="0.3">
      <c r="A637" s="53" t="s">
        <v>907</v>
      </c>
      <c r="B637" s="40">
        <v>35133</v>
      </c>
      <c r="C637" s="41" t="s">
        <v>912</v>
      </c>
      <c r="D637" s="30" t="str">
        <f>VLOOKUP(Table13[[#This Row],[kbli5]],Table1[[#All],[kbli5]:[digital_hijau]],3,)</f>
        <v>SPKLU; pengisian daya; kendaraan listrik;</v>
      </c>
      <c r="E637" s="53" t="str">
        <f>VLOOKUP(Table13[[#This Row],[kbli5]],kata_kunci!$B:$H,4,FALSE)</f>
        <v>SPKLU; pengisian daya; kendaraan listrik;</v>
      </c>
      <c r="F637" s="53" t="str">
        <f>VLOOKUP(Table13[[#This Row],[kbli5]],Table1[[#All],[kbli5]:[digital_hijau]],5,)</f>
        <v>Potensial</v>
      </c>
      <c r="G637" s="53">
        <f>VLOOKUP(Table13[[#This Row],[kbli5]],Table1[[#All],[kbli5]:[digital_hijau]],6,)</f>
        <v>0</v>
      </c>
      <c r="H637" s="54" t="str">
        <f>VLOOKUP(Table13[[#This Row],[kbli5]],kata_kunci!$B:$H,3,FALSE)</f>
        <v>Menyediakan fasilitas pengisian daya kendaraan dan peralatan listrik;</v>
      </c>
      <c r="I637" s="84" t="str">
        <f>VLOOKUP(Table13[[#This Row],[kbli5]],kata_kunci!$B:$H,5,FALSE)</f>
        <v>Mengoperasikan; mengisi daya; menyediakan;</v>
      </c>
      <c r="J637" s="84" t="str">
        <f>VLOOKUP(Table13[[#This Row],[kbli5]],kata_kunci!$B:$H,6,FALSE)</f>
        <v>Energi listrik;</v>
      </c>
      <c r="K637" s="84" t="str">
        <f>VLOOKUP(Table13[[#This Row],[kbli5]],kata_kunci!$B:$H,7,FALSE)</f>
        <v>Jasa pengisian daya;</v>
      </c>
    </row>
    <row r="638" spans="1:11" ht="45.75" thickBot="1" x14ac:dyDescent="0.3">
      <c r="A638" s="53" t="s">
        <v>907</v>
      </c>
      <c r="B638" s="40">
        <v>35140</v>
      </c>
      <c r="C638" s="41" t="s">
        <v>913</v>
      </c>
      <c r="D638" s="30" t="str">
        <f>VLOOKUP(Table13[[#This Row],[kbli5]],Table1[[#All],[kbli5]:[digital_hijau]],3,)</f>
        <v xml:space="preserve">PT RAPP; PT Indah Kiat; SPKLU terintegrasi dengan pembangkit; </v>
      </c>
      <c r="E638" s="53" t="str">
        <f>VLOOKUP(Table13[[#This Row],[kbli5]],kata_kunci!$B:$H,4,FALSE)</f>
        <v>utilitas listrik terpadu; penyediaan tenaga listrik;</v>
      </c>
      <c r="F638" s="53" t="str">
        <f>VLOOKUP(Table13[[#This Row],[kbli5]],Table1[[#All],[kbli5]:[digital_hijau]],5,)</f>
        <v>Potensial</v>
      </c>
      <c r="G638" s="53">
        <f>VLOOKUP(Table13[[#This Row],[kbli5]],Table1[[#All],[kbli5]:[digital_hijau]],6,)</f>
        <v>0</v>
      </c>
      <c r="H638" s="54" t="str">
        <f>VLOOKUP(Table13[[#This Row],[kbli5]],kata_kunci!$B:$H,3,FALSE)</f>
        <v>Menyelenggarakan pembangkitan; distribusi; dan penjualan listrik secara terintegrasi;</v>
      </c>
      <c r="I638" s="84" t="str">
        <f>VLOOKUP(Table13[[#This Row],[kbli5]],kata_kunci!$B:$H,5,FALSE)</f>
        <v>Membangkitan; menyalurkan; menjual;</v>
      </c>
      <c r="J638" s="84" t="str">
        <f>VLOOKUP(Table13[[#This Row],[kbli5]],kata_kunci!$B:$H,6,FALSE)</f>
        <v>Energi listrik;</v>
      </c>
      <c r="K638" s="84" t="str">
        <f>VLOOKUP(Table13[[#This Row],[kbli5]],kata_kunci!$B:$H,7,FALSE)</f>
        <v>Penyediaan tenaga listrik;</v>
      </c>
    </row>
    <row r="639" spans="1:11" ht="51.75" thickBot="1" x14ac:dyDescent="0.3">
      <c r="A639" s="53" t="s">
        <v>907</v>
      </c>
      <c r="B639" s="40">
        <v>35151</v>
      </c>
      <c r="C639" s="41" t="s">
        <v>914</v>
      </c>
      <c r="D639" s="30" t="str">
        <f>VLOOKUP(Table13[[#This Row],[kbli5]],Table1[[#All],[kbli5]:[digital_hijau]],3,)</f>
        <v>Operator instalasi listrik; Jasa Operator &amp; Perawatan Genset; jasa operasi PLTU Tenayan Raya; jasa pengoperasian gardu induk PLN;</v>
      </c>
      <c r="E639" s="53" t="str">
        <f>VLOOKUP(Table13[[#This Row],[kbli5]],kata_kunci!$B:$H,4,FALSE)</f>
        <v>operasi instalasi listrik; instalasi pembangkit;</v>
      </c>
      <c r="F639" s="53" t="str">
        <f>VLOOKUP(Table13[[#This Row],[kbli5]],Table1[[#All],[kbli5]:[digital_hijau]],5,)</f>
        <v>Potensial</v>
      </c>
      <c r="G639" s="53">
        <f>VLOOKUP(Table13[[#This Row],[kbli5]],Table1[[#All],[kbli5]:[digital_hijau]],6,)</f>
        <v>0</v>
      </c>
      <c r="H639" s="54" t="str">
        <f>VLOOKUP(Table13[[#This Row],[kbli5]],kata_kunci!$B:$H,3,FALSE)</f>
        <v>Mengoperasikan instalasi penyediaan tenaga listrik yang dilakukan oleh pihak lain;</v>
      </c>
      <c r="I639" s="84" t="str">
        <f>VLOOKUP(Table13[[#This Row],[kbli5]],kata_kunci!$B:$H,5,FALSE)</f>
        <v>Mengoperasikan;</v>
      </c>
      <c r="J639" s="84" t="str">
        <f>VLOOKUP(Table13[[#This Row],[kbli5]],kata_kunci!$B:$H,6,FALSE)</f>
        <v>Instalasi penyediaan tenaga listrik;</v>
      </c>
      <c r="K639" s="84" t="str">
        <f>VLOOKUP(Table13[[#This Row],[kbli5]],kata_kunci!$B:$H,7,FALSE)</f>
        <v>Jasa operasi instalasi listrik;</v>
      </c>
    </row>
    <row r="640" spans="1:11" ht="45.75" thickBot="1" x14ac:dyDescent="0.3">
      <c r="A640" s="53" t="s">
        <v>907</v>
      </c>
      <c r="B640" s="40">
        <v>35152</v>
      </c>
      <c r="C640" s="41" t="s">
        <v>915</v>
      </c>
      <c r="D640" s="30" t="str">
        <f>VLOOKUP(Table13[[#This Row],[kbli5]],Table1[[#All],[kbli5]:[digital_hijau]],3,)</f>
        <v>Jasa teknisi listrik panggilan; Pengelola instalasi listrik gedung/mal; Jasa perawatan &amp; pengoperasian AC;</v>
      </c>
      <c r="E640" s="53" t="str">
        <f>VLOOKUP(Table13[[#This Row],[kbli5]],kata_kunci!$B:$H,4,FALSE)</f>
        <v>instalasi listrik;</v>
      </c>
      <c r="F640" s="53" t="str">
        <f>VLOOKUP(Table13[[#This Row],[kbli5]],Table1[[#All],[kbli5]:[digital_hijau]],5,)</f>
        <v>Umum Ditemukan</v>
      </c>
      <c r="G640" s="53">
        <f>VLOOKUP(Table13[[#This Row],[kbli5]],Table1[[#All],[kbli5]:[digital_hijau]],6,)</f>
        <v>0</v>
      </c>
      <c r="H640" s="54" t="str">
        <f>VLOOKUP(Table13[[#This Row],[kbli5]],kata_kunci!$B:$H,3,FALSE)</f>
        <v>Mengoperasikan instalasi pemanfaatan listrik dilakukan oleh pihak lain;</v>
      </c>
      <c r="I640" s="84" t="str">
        <f>VLOOKUP(Table13[[#This Row],[kbli5]],kata_kunci!$B:$H,5,FALSE)</f>
        <v>Mengoperasikan;</v>
      </c>
      <c r="J640" s="84" t="str">
        <f>VLOOKUP(Table13[[#This Row],[kbli5]],kata_kunci!$B:$H,6,FALSE)</f>
        <v>Instalasi pemanfaatan tenaga listrik;</v>
      </c>
      <c r="K640" s="84" t="str">
        <f>VLOOKUP(Table13[[#This Row],[kbli5]],kata_kunci!$B:$H,7,FALSE)</f>
        <v>Jasa operasi instalasi listrik;</v>
      </c>
    </row>
    <row r="641" spans="1:11" ht="51.75" thickBot="1" x14ac:dyDescent="0.3">
      <c r="A641" s="53" t="s">
        <v>907</v>
      </c>
      <c r="B641" s="40">
        <v>35159</v>
      </c>
      <c r="C641" s="41" t="s">
        <v>916</v>
      </c>
      <c r="D641" s="30" t="str">
        <f>VLOOKUP(Table13[[#This Row],[kbli5]],Table1[[#All],[kbli5]:[digital_hijau]],3,)</f>
        <v>Aktv penunjang tenaga listrik lainnya; Jasa pencatatan meter listrik;Biro Jasa; Pengurusan Listrik; penagihan rekening listrik;</v>
      </c>
      <c r="E641" s="53" t="str">
        <f>VLOOKUP(Table13[[#This Row],[kbli5]],kata_kunci!$B:$H,4,FALSE)</f>
        <v>jasa penunjang listrik; pencatatan meter;</v>
      </c>
      <c r="F641" s="53" t="str">
        <f>VLOOKUP(Table13[[#This Row],[kbli5]],Table1[[#All],[kbli5]:[digital_hijau]],5,)</f>
        <v>Potensial</v>
      </c>
      <c r="G641" s="53">
        <f>VLOOKUP(Table13[[#This Row],[kbli5]],Table1[[#All],[kbli5]:[digital_hijau]],6,)</f>
        <v>0</v>
      </c>
      <c r="H641" s="54" t="str">
        <f>VLOOKUP(Table13[[#This Row],[kbli5]],kata_kunci!$B:$H,3,FALSE)</f>
        <v>Memberikan jasa penunjang ketenagalistrikan;</v>
      </c>
      <c r="I641" s="84" t="str">
        <f>VLOOKUP(Table13[[#This Row],[kbli5]],kata_kunci!$B:$H,5,FALSE)</f>
        <v>Mencatat; pencatatan; menagih;</v>
      </c>
      <c r="J641" s="84" t="str">
        <f>VLOOKUP(Table13[[#This Row],[kbli5]],kata_kunci!$B:$H,6,FALSE)</f>
        <v>Data meteran; sistem listrik; Data pemakaian listrik;</v>
      </c>
      <c r="K641" s="84" t="str">
        <f>VLOOKUP(Table13[[#This Row],[kbli5]],kata_kunci!$B:$H,7,FALSE)</f>
        <v>Jasa penunjang listrik;</v>
      </c>
    </row>
    <row r="642" spans="1:11" ht="64.5" thickBot="1" x14ac:dyDescent="0.3">
      <c r="A642" s="53" t="s">
        <v>907</v>
      </c>
      <c r="B642" s="40">
        <v>35201</v>
      </c>
      <c r="C642" s="41" t="s">
        <v>917</v>
      </c>
      <c r="D642" s="30" t="str">
        <f>VLOOKUP(Table13[[#This Row],[kbli5]],Table1[[#All],[kbli5]:[digital_hijau]],3,)</f>
        <v>Produksi gas alam &amp; buatan; PT Pertamina Hulu Rokan; fasilitas pengolahan gas alam; instalasi biogas pabrik kelapa sawit; Produksi LPG/biogas/hidrogen untuk bahan bakar;</v>
      </c>
      <c r="E642" s="53" t="str">
        <f>VLOOKUP(Table13[[#This Row],[kbli5]],kata_kunci!$B:$H,4,FALSE)</f>
        <v>produksi gas;gas alam; biogas;</v>
      </c>
      <c r="F642" s="53" t="str">
        <f>VLOOKUP(Table13[[#This Row],[kbli5]],Table1[[#All],[kbli5]:[digital_hijau]],5,)</f>
        <v>Esensial</v>
      </c>
      <c r="G642" s="53">
        <f>VLOOKUP(Table13[[#This Row],[kbli5]],Table1[[#All],[kbli5]:[digital_hijau]],6,)</f>
        <v>0</v>
      </c>
      <c r="H642" s="54" t="str">
        <f>VLOOKUP(Table13[[#This Row],[kbli5]],kata_kunci!$B:$H,3,FALSE)</f>
        <v>Mengolah dan memproduksi bahan bakar gas;</v>
      </c>
      <c r="I642" s="84" t="str">
        <f>VLOOKUP(Table13[[#This Row],[kbli5]],kata_kunci!$B:$H,5,FALSE)</f>
        <v>Mengolah; memproduksi; memurnikan;</v>
      </c>
      <c r="J642" s="84" t="str">
        <f>VLOOKUP(Table13[[#This Row],[kbli5]],kata_kunci!$B:$H,6,FALSE)</f>
        <v>Gas alam; batubara; biomassa;</v>
      </c>
      <c r="K642" s="84" t="str">
        <f>VLOOKUP(Table13[[#This Row],[kbli5]],kata_kunci!$B:$H,7,FALSE)</f>
        <v>Gas bahan bakar; gas alam olahan;</v>
      </c>
    </row>
    <row r="643" spans="1:11" ht="51.75" thickBot="1" x14ac:dyDescent="0.3">
      <c r="A643" s="53" t="s">
        <v>907</v>
      </c>
      <c r="B643" s="40">
        <v>35202</v>
      </c>
      <c r="C643" s="41" t="s">
        <v>918</v>
      </c>
      <c r="D643" s="30" t="str">
        <f>VLOOKUP(Table13[[#This Row],[kbli5]],Table1[[#All],[kbli5]:[digital_hijau]],3,)</f>
        <v>Distribusi gas alam &amp; buatan; Jaringan Gas Kota (Jargas) PGN Pekanbaru; distribusi gas bumi ke rumah tangga; penyaluran gas pipa ke pelanggan industri dan komersial;</v>
      </c>
      <c r="E643" s="53" t="str">
        <f>VLOOKUP(Table13[[#This Row],[kbli5]],kata_kunci!$B:$H,4,FALSE)</f>
        <v>distribusi gas; jaringan gas; gas pipa;</v>
      </c>
      <c r="F643" s="53" t="str">
        <f>VLOOKUP(Table13[[#This Row],[kbli5]],Table1[[#All],[kbli5]:[digital_hijau]],5,)</f>
        <v>Esensial</v>
      </c>
      <c r="G643" s="53">
        <f>VLOOKUP(Table13[[#This Row],[kbli5]],Table1[[#All],[kbli5]:[digital_hijau]],6,)</f>
        <v>0</v>
      </c>
      <c r="H643" s="54" t="str">
        <f>VLOOKUP(Table13[[#This Row],[kbli5]],kata_kunci!$B:$H,3,FALSE)</f>
        <v>Menyalurkan gas melalui jaringan pipa;</v>
      </c>
      <c r="I643" s="84" t="str">
        <f>VLOOKUP(Table13[[#This Row],[kbli5]],kata_kunci!$B:$H,5,FALSE)</f>
        <v>Menyalurkan; mendistribusikan; mengalirkan; memasok;</v>
      </c>
      <c r="J643" s="84" t="str">
        <f>VLOOKUP(Table13[[#This Row],[kbli5]],kata_kunci!$B:$H,6,FALSE)</f>
        <v>Gas alam; gas buatan;</v>
      </c>
      <c r="K643" s="84" t="str">
        <f>VLOOKUP(Table13[[#This Row],[kbli5]],kata_kunci!$B:$H,7,FALSE)</f>
        <v>Distribusi gas;</v>
      </c>
    </row>
    <row r="644" spans="1:11" ht="51.75" thickBot="1" x14ac:dyDescent="0.3">
      <c r="A644" s="53" t="s">
        <v>907</v>
      </c>
      <c r="B644" s="40">
        <v>35301</v>
      </c>
      <c r="C644" s="41" t="s">
        <v>919</v>
      </c>
      <c r="D644" s="30" t="str">
        <f>VLOOKUP(Table13[[#This Row],[kbli5]],Table1[[#All],[kbli5]:[digital_hijau]],3,)</f>
        <v>Pengadaan uap/air panas &amp; udara dingin; Penyedia steam PT RAPP; Utilitas uap PT Indah Kiat Perawang; Boiler pabrik kelapa sawit;</v>
      </c>
      <c r="E644" s="53" t="str">
        <f>VLOOKUP(Table13[[#This Row],[kbli5]],kata_kunci!$B:$H,4,FALSE)</f>
        <v>uap panas; pendingin udara; air panas;</v>
      </c>
      <c r="F644" s="53" t="str">
        <f>VLOOKUP(Table13[[#This Row],[kbli5]],Table1[[#All],[kbli5]:[digital_hijau]],5,)</f>
        <v>Potensial</v>
      </c>
      <c r="G644" s="53">
        <f>VLOOKUP(Table13[[#This Row],[kbli5]],Table1[[#All],[kbli5]:[digital_hijau]],6,)</f>
        <v>0</v>
      </c>
      <c r="H644" s="54" t="str">
        <f>VLOOKUP(Table13[[#This Row],[kbli5]],kata_kunci!$B:$H,3,FALSE)</f>
        <v>Memproduksi dan mendistribusikan uap; air panas; udara dingin;</v>
      </c>
      <c r="I644" s="84" t="str">
        <f>VLOOKUP(Table13[[#This Row],[kbli5]],kata_kunci!$B:$H,5,FALSE)</f>
        <v>Memproduksi; mendistribusikan;</v>
      </c>
      <c r="J644" s="84" t="str">
        <f>VLOOKUP(Table13[[#This Row],[kbli5]],kata_kunci!$B:$H,6,FALSE)</f>
        <v>Air; energi panas;</v>
      </c>
      <c r="K644" s="84" t="str">
        <f>VLOOKUP(Table13[[#This Row],[kbli5]],kata_kunci!$B:$H,7,FALSE)</f>
        <v>Uap; air panas; udara dingin;</v>
      </c>
    </row>
    <row r="645" spans="1:11" ht="39.75" thickBot="1" x14ac:dyDescent="0.3">
      <c r="A645" s="53" t="s">
        <v>907</v>
      </c>
      <c r="B645" s="40">
        <v>35302</v>
      </c>
      <c r="C645" s="41" t="s">
        <v>920</v>
      </c>
      <c r="D645" s="30" t="str">
        <f>VLOOKUP(Table13[[#This Row],[kbli5]],Table1[[#All],[kbli5]:[digital_hijau]],3,)</f>
        <v>Produksi es; Pabrik es; Pembuatan es batu; Produsen es kristal;</v>
      </c>
      <c r="E645" s="53" t="str">
        <f>VLOOKUP(Table13[[#This Row],[kbli5]],kata_kunci!$B:$H,4,FALSE)</f>
        <v>produksi es; pabrik es;</v>
      </c>
      <c r="F645" s="53" t="str">
        <f>VLOOKUP(Table13[[#This Row],[kbli5]],Table1[[#All],[kbli5]:[digital_hijau]],5,)</f>
        <v>Umum Ditemukan</v>
      </c>
      <c r="G645" s="53">
        <f>VLOOKUP(Table13[[#This Row],[kbli5]],Table1[[#All],[kbli5]:[digital_hijau]],6,)</f>
        <v>0</v>
      </c>
      <c r="H645" s="54" t="str">
        <f>VLOOKUP(Table13[[#This Row],[kbli5]],kata_kunci!$B:$H,3,FALSE)</f>
        <v>Memproduksi dan mendistribusikan es untuk kebutuhan pendinginan;</v>
      </c>
      <c r="I645" s="84" t="str">
        <f>VLOOKUP(Table13[[#This Row],[kbli5]],kata_kunci!$B:$H,5,FALSE)</f>
        <v>Memproduksi; mendistribusikan;</v>
      </c>
      <c r="J645" s="84" t="str">
        <f>VLOOKUP(Table13[[#This Row],[kbli5]],kata_kunci!$B:$H,6,FALSE)</f>
        <v>Air; air murni;</v>
      </c>
      <c r="K645" s="84" t="str">
        <f>VLOOKUP(Table13[[#This Row],[kbli5]],kata_kunci!$B:$H,7,FALSE)</f>
        <v>Es batu; es balok; es kristal;</v>
      </c>
    </row>
    <row r="646" spans="1:11" ht="51.75" thickBot="1" x14ac:dyDescent="0.3">
      <c r="A646" s="53" t="s">
        <v>907</v>
      </c>
      <c r="B646" s="40">
        <v>35401</v>
      </c>
      <c r="C646" s="41" t="s">
        <v>921</v>
      </c>
      <c r="D646" s="30" t="str">
        <f>VLOOKUP(Table13[[#This Row],[kbli5]],Table1[[#All],[kbli5]:[digital_hijau]],3,)</f>
        <v>Aktv broker &amp; agen penjualan tenaga listrik; Agen top-up PLN; Agen penjualan token listrik; Loket pembayaran listrik; Broker listrik;</v>
      </c>
      <c r="E646" s="53" t="str">
        <f>VLOOKUP(Table13[[#This Row],[kbli5]],kata_kunci!$B:$H,4,FALSE)</f>
        <v>broker listrik; agen listrik; token listrik;</v>
      </c>
      <c r="F646" s="53" t="str">
        <f>VLOOKUP(Table13[[#This Row],[kbli5]],Table1[[#All],[kbli5]:[digital_hijau]],5,)</f>
        <v>Umum Ditemukan</v>
      </c>
      <c r="G646" s="35" t="s">
        <v>2090</v>
      </c>
      <c r="H646" s="89" t="str">
        <f>VLOOKUP(Table13[[#This Row],[kbli5]],kata_kunci!$B:$H,3,FALSE)</f>
        <v>Menjadi perantara atau agen penjualan tenaga listrik;</v>
      </c>
      <c r="I646" s="84" t="str">
        <f>VLOOKUP(Table13[[#This Row],[kbli5]],kata_kunci!$B:$H,5,FALSE)</f>
        <v>Menjual; perantara;</v>
      </c>
      <c r="J646" s="84" t="str">
        <f>VLOOKUP(Table13[[#This Row],[kbli5]],kata_kunci!$B:$H,6,FALSE)</f>
        <v>Tenaga listrik; token listrik; layanan kelistrikan;</v>
      </c>
      <c r="K646" s="84" t="str">
        <f>VLOOKUP(Table13[[#This Row],[kbli5]],kata_kunci!$B:$H,7,FALSE)</f>
        <v>Jasa broker atau agen penjualan tenaga listrik;</v>
      </c>
    </row>
    <row r="647" spans="1:11" ht="51.75" thickBot="1" x14ac:dyDescent="0.3">
      <c r="A647" s="53" t="s">
        <v>907</v>
      </c>
      <c r="B647" s="40">
        <v>35402</v>
      </c>
      <c r="C647" s="41" t="s">
        <v>922</v>
      </c>
      <c r="D647" s="30" t="str">
        <f>VLOOKUP(Table13[[#This Row],[kbli5]],Table1[[#All],[kbli5]:[digital_hijau]],3,)</f>
        <v>Aktv broker &amp; agen penjualan gas alam; Agen penjualan gas LPG; Agen pemasaran gas bumi untuk industri; broker perdagangan gas alam;</v>
      </c>
      <c r="E647" s="53" t="str">
        <f>VLOOKUP(Table13[[#This Row],[kbli5]],kata_kunci!$B:$H,4,FALSE)</f>
        <v>broker gas; agen gas LPG; distribusi gas;</v>
      </c>
      <c r="F647" s="53" t="str">
        <f>VLOOKUP(Table13[[#This Row],[kbli5]],Table1[[#All],[kbli5]:[digital_hijau]],5,)</f>
        <v>Umum Ditemukan</v>
      </c>
      <c r="G647" s="35" t="s">
        <v>2090</v>
      </c>
      <c r="H647" s="89" t="str">
        <f>VLOOKUP(Table13[[#This Row],[kbli5]],kata_kunci!$B:$H,3,FALSE)</f>
        <v>Menjadi perantara atau agen penjualan gas alam;</v>
      </c>
      <c r="I647" s="84" t="str">
        <f>VLOOKUP(Table13[[#This Row],[kbli5]],kata_kunci!$B:$H,5,FALSE)</f>
        <v>Menjual; perantara;</v>
      </c>
      <c r="J647" s="84" t="str">
        <f>VLOOKUP(Table13[[#This Row],[kbli5]],kata_kunci!$B:$H,6,FALSE)</f>
        <v>Gas alam; gas buatan;</v>
      </c>
      <c r="K647" s="84" t="str">
        <f>VLOOKUP(Table13[[#This Row],[kbli5]],kata_kunci!$B:$H,7,FALSE)</f>
        <v>Jasa broker atau agen penjualan gas;</v>
      </c>
    </row>
    <row r="648" spans="1:11" ht="65.25" thickBot="1" x14ac:dyDescent="0.3">
      <c r="A648" s="53" t="s">
        <v>6</v>
      </c>
      <c r="B648" s="40">
        <v>36001</v>
      </c>
      <c r="C648" s="41" t="s">
        <v>7</v>
      </c>
      <c r="D648" s="30" t="str">
        <f>VLOOKUP(Table13[[#This Row],[kbli5]],Table1[[#All],[kbli5]:[digital_hijau]],3,)</f>
        <v>PDAM; Perumda air minum tirta siak; UPT pengelolaan air minum;</v>
      </c>
      <c r="E648" s="53" t="str">
        <f>VLOOKUP(Table13[[#This Row],[kbli5]],kata_kunci!$B:$H,4,FALSE)</f>
        <v>air minum; pengolahan air; distribusi air; PDAM;</v>
      </c>
      <c r="F648" s="53" t="str">
        <f>VLOOKUP(Table13[[#This Row],[kbli5]],Table1[[#All],[kbli5]:[digital_hijau]],5,)</f>
        <v>Esensial</v>
      </c>
      <c r="G648" s="53" t="str">
        <f>VLOOKUP(Table13[[#This Row],[kbli5]],Table1[[#All],[kbli5]:[digital_hijau]],6,)</f>
        <v>Ekonomi Hijau;</v>
      </c>
      <c r="H648" s="54" t="str">
        <f>VLOOKUP(Table13[[#This Row],[kbli5]],kata_kunci!$B:$H,3,FALSE)</f>
        <v>Penampungan; pengambilan; serta pengolahan air menjadi air minum melalui jaringan perpipaan dan bukan jaringan perpipaan;</v>
      </c>
      <c r="I648" s="84" t="str">
        <f>VLOOKUP(Table13[[#This Row],[kbli5]],kata_kunci!$B:$H,5,FALSE)</f>
        <v>Menampung; mengolah; mendistribusikan;</v>
      </c>
      <c r="J648" s="84" t="str">
        <f>VLOOKUP(Table13[[#This Row],[kbli5]],kata_kunci!$B:$H,6,FALSE)</f>
        <v>Air permukaan; air tanah; air laut;</v>
      </c>
      <c r="K648" s="84" t="str">
        <f>VLOOKUP(Table13[[#This Row],[kbli5]],kata_kunci!$B:$H,7,FALSE)</f>
        <v>Air minum;</v>
      </c>
    </row>
    <row r="649" spans="1:11" ht="39.75" thickBot="1" x14ac:dyDescent="0.3">
      <c r="A649" s="53" t="s">
        <v>6</v>
      </c>
      <c r="B649" s="40">
        <v>36002</v>
      </c>
      <c r="C649" s="41" t="s">
        <v>8</v>
      </c>
      <c r="D649" s="30" t="str">
        <f>VLOOKUP(Table13[[#This Row],[kbli5]],Table1[[#All],[kbli5]:[digital_hijau]],3,)</f>
        <v>Pengelola waduk air baku; SPAM Durolis Dumai; Pengelolaan air baku waduk koto panjang;</v>
      </c>
      <c r="E649" s="53" t="str">
        <f>VLOOKUP(Table13[[#This Row],[kbli5]],kata_kunci!$B:$H,4,FALSE)</f>
        <v>air baku; jaringan irigasi; penyediaan air industri;</v>
      </c>
      <c r="F649" s="53" t="str">
        <f>VLOOKUP(Table13[[#This Row],[kbli5]],Table1[[#All],[kbli5]:[digital_hijau]],5,)</f>
        <v>Esensial</v>
      </c>
      <c r="G649" s="53" t="str">
        <f>VLOOKUP(Table13[[#This Row],[kbli5]],Table1[[#All],[kbli5]:[digital_hijau]],6,)</f>
        <v>Ekonomi Hijau;</v>
      </c>
      <c r="H649" s="54" t="str">
        <f>VLOOKUP(Table13[[#This Row],[kbli5]],kata_kunci!$B:$H,3,FALSE)</f>
        <v>Menyediakan air baku untuk industri; pembangkit listrik; dll serta pengelolaan jaringan irigasi;</v>
      </c>
      <c r="I649" s="84" t="str">
        <f>VLOOKUP(Table13[[#This Row],[kbli5]],kata_kunci!$B:$H,5,FALSE)</f>
        <v>Menyediakan; mengelola;</v>
      </c>
      <c r="J649" s="84" t="str">
        <f>VLOOKUP(Table13[[#This Row],[kbli5]],kata_kunci!$B:$H,6,FALSE)</f>
        <v>Air baku;</v>
      </c>
      <c r="K649" s="84" t="str">
        <f>VLOOKUP(Table13[[#This Row],[kbli5]],kata_kunci!$B:$H,7,FALSE)</f>
        <v>Air baku;</v>
      </c>
    </row>
    <row r="650" spans="1:11" ht="39" thickBot="1" x14ac:dyDescent="0.3">
      <c r="A650" s="53" t="s">
        <v>6</v>
      </c>
      <c r="B650" s="40">
        <v>36003</v>
      </c>
      <c r="C650" s="41" t="s">
        <v>9</v>
      </c>
      <c r="D650" s="30" t="str">
        <f>VLOOKUP(Table13[[#This Row],[kbli5]],Table1[[#All],[kbli5]:[digital_hijau]],3,)</f>
        <v>Pedagang air keliling/pikulan/mobil tangki; Jasa mobil tangki air bersih; penyewaan jaringan distribusi air;</v>
      </c>
      <c r="E650" s="53" t="str">
        <f>VLOOKUP(Table13[[#This Row],[kbli5]],kata_kunci!$B:$H,4,FALSE)</f>
        <v>distribusi air; Pedagang air pikulan;</v>
      </c>
      <c r="F650" s="53" t="str">
        <f>VLOOKUP(Table13[[#This Row],[kbli5]],Table1[[#All],[kbli5]:[digital_hijau]],5,)</f>
        <v>Umum Ditemukan</v>
      </c>
      <c r="G650" s="53" t="str">
        <f>VLOOKUP(Table13[[#This Row],[kbli5]],Table1[[#All],[kbli5]:[digital_hijau]],6,)</f>
        <v>Ekonomi Hijau;</v>
      </c>
      <c r="H650" s="54" t="str">
        <f>VLOOKUP(Table13[[#This Row],[kbli5]],kata_kunci!$B:$H,3,FALSE)</f>
        <v>Menunjang kegiatan distribusi dan penyediaan air;</v>
      </c>
      <c r="I650" s="84" t="str">
        <f>VLOOKUP(Table13[[#This Row],[kbli5]],kata_kunci!$B:$H,5,FALSE)</f>
        <v>Menyalurkan; mengirim; menyewakan; mendistribusikan;</v>
      </c>
      <c r="J650" s="84" t="str">
        <f>VLOOKUP(Table13[[#This Row],[kbli5]],kata_kunci!$B:$H,6,FALSE)</f>
        <v>Air bersih; jaringan distribusi air;</v>
      </c>
      <c r="K650" s="84" t="str">
        <f>VLOOKUP(Table13[[#This Row],[kbli5]],kata_kunci!$B:$H,7,FALSE)</f>
        <v>Jasa penunjang penyediaan air;</v>
      </c>
    </row>
    <row r="651" spans="1:11" ht="27" thickBot="1" x14ac:dyDescent="0.3">
      <c r="A651" s="53" t="s">
        <v>6</v>
      </c>
      <c r="B651" s="40">
        <v>37001</v>
      </c>
      <c r="C651" s="41" t="s">
        <v>10</v>
      </c>
      <c r="D651" s="30" t="str">
        <f>VLOOKUP(Table13[[#This Row],[kbli5]],Table1[[#All],[kbli5]:[digital_hijau]],3,)</f>
        <v>Pengelola saluran limbah; Jasa sedot WC; Jasa penyedotan tangki septik;</v>
      </c>
      <c r="E651" s="53" t="str">
        <f>VLOOKUP(Table13[[#This Row],[kbli5]],kata_kunci!$B:$H,4,FALSE)</f>
        <v>air limbah; saluran limbah; sedot wc; tangki septik;</v>
      </c>
      <c r="F651" s="53" t="str">
        <f>VLOOKUP(Table13[[#This Row],[kbli5]],Table1[[#All],[kbli5]:[digital_hijau]],5,)</f>
        <v>Umum Ditemukan</v>
      </c>
      <c r="G651" s="53" t="str">
        <f>VLOOKUP(Table13[[#This Row],[kbli5]],Table1[[#All],[kbli5]:[digital_hijau]],6,)</f>
        <v>Ekonomi Hijau;</v>
      </c>
      <c r="H651" s="54" t="str">
        <f>VLOOKUP(Table13[[#This Row],[kbli5]],kata_kunci!$B:$H,3,FALSE)</f>
        <v>pengumpulan dan pengangkutan air limbah dari sumbernya;</v>
      </c>
      <c r="I651" s="84" t="str">
        <f>VLOOKUP(Table13[[#This Row],[kbli5]],kata_kunci!$B:$H,5,FALSE)</f>
        <v>Mengumpulkan; mengangkut; membersihkan; menyedot;</v>
      </c>
      <c r="J651" s="84" t="str">
        <f>VLOOKUP(Table13[[#This Row],[kbli5]],kata_kunci!$B:$H,6,FALSE)</f>
        <v>Air limbah rumah tangga; limbah cair industri; isi tangki septik;</v>
      </c>
      <c r="K651" s="84" t="str">
        <f>VLOOKUP(Table13[[#This Row],[kbli5]],kata_kunci!$B:$H,7,FALSE)</f>
        <v>Air limbah terkumpul; Jasa pengumpulan dan pengangkutan air limbah;</v>
      </c>
    </row>
    <row r="652" spans="1:11" ht="30.75" thickBot="1" x14ac:dyDescent="0.3">
      <c r="A652" s="53" t="s">
        <v>6</v>
      </c>
      <c r="B652" s="40">
        <v>37002</v>
      </c>
      <c r="C652" s="41" t="s">
        <v>923</v>
      </c>
      <c r="D652" s="30" t="e">
        <f>VLOOKUP(Table13[[#This Row],[kbli5]],Table1[[#All],[kbli5]:[digital_hijau]],3,)</f>
        <v>#N/A</v>
      </c>
      <c r="E652" s="53" t="str">
        <f>VLOOKUP(Table13[[#This Row],[kbli5]],kata_kunci!$B:$H,4,FALSE)</f>
        <v>pengolahan limbah ; IPAL;</v>
      </c>
      <c r="F652" s="53" t="e">
        <f>VLOOKUP(Table13[[#This Row],[kbli5]],Table1[[#All],[kbli5]:[digital_hijau]],5,)</f>
        <v>#N/A</v>
      </c>
      <c r="G652" s="35" t="s">
        <v>2091</v>
      </c>
      <c r="H652" s="54" t="str">
        <f>VLOOKUP(Table13[[#This Row],[kbli5]],kata_kunci!$B:$H,3,FALSE)</f>
        <v>Mengolah dan membuang air limbah;</v>
      </c>
      <c r="I652" s="84" t="str">
        <f>VLOOKUP(Table13[[#This Row],[kbli5]],kata_kunci!$B:$H,5,FALSE)</f>
        <v>Mengolah; membersihkan; membuang;</v>
      </c>
      <c r="J652" s="84" t="str">
        <f>VLOOKUP(Table13[[#This Row],[kbli5]],kata_kunci!$B:$H,6,FALSE)</f>
        <v>Air limbah;</v>
      </c>
      <c r="K652" s="84" t="str">
        <f>VLOOKUP(Table13[[#This Row],[kbli5]],kata_kunci!$B:$H,7,FALSE)</f>
        <v>Air limbah terolah; jasa pengolahan air limbah;</v>
      </c>
    </row>
    <row r="653" spans="1:11" ht="45.75" thickBot="1" x14ac:dyDescent="0.3">
      <c r="A653" s="53" t="s">
        <v>6</v>
      </c>
      <c r="B653" s="40">
        <v>38110</v>
      </c>
      <c r="C653" s="41" t="s">
        <v>11</v>
      </c>
      <c r="D653" s="30" t="str">
        <f>VLOOKUP(Table13[[#This Row],[kbli5]],Table1[[#All],[kbli5]:[digital_hijau]],3,)</f>
        <v>Bank sampah; Jasa angkut sampah rumah tangga; Pengelola TPS; Unit pengangkutan sampah DLHK;</v>
      </c>
      <c r="E653" s="53" t="str">
        <f>VLOOKUP(Table13[[#This Row],[kbli5]],kata_kunci!$B:$H,4,FALSE)</f>
        <v>sampah rumah tangga; pengumpulan sampah; pemulung;</v>
      </c>
      <c r="F653" s="53" t="str">
        <f>VLOOKUP(Table13[[#This Row],[kbli5]],Table1[[#All],[kbli5]:[digital_hijau]],5,)</f>
        <v>Umum Ditemukan</v>
      </c>
      <c r="G653" s="53" t="str">
        <f>VLOOKUP(Table13[[#This Row],[kbli5]],Table1[[#All],[kbli5]:[digital_hijau]],6,)</f>
        <v>Ekonomi Hijau;</v>
      </c>
      <c r="H653" s="54" t="str">
        <f>VLOOKUP(Table13[[#This Row],[kbli5]],kata_kunci!$B:$H,3,FALSE)</f>
        <v>Mengumpulkan limbah/sampah tidak berbahaya;</v>
      </c>
      <c r="I653" s="84" t="str">
        <f>VLOOKUP(Table13[[#This Row],[kbli5]],kata_kunci!$B:$H,5,FALSE)</f>
        <v>Mengumpulkan; memindahkan; menampung;</v>
      </c>
      <c r="J653" s="84" t="str">
        <f>VLOOKUP(Table13[[#This Row],[kbli5]],kata_kunci!$B:$H,6,FALSE)</f>
        <v>Sampah rumah tangga;</v>
      </c>
      <c r="K653" s="84" t="str">
        <f>VLOOKUP(Table13[[#This Row],[kbli5]],kata_kunci!$B:$H,7,FALSE)</f>
        <v>Sampah terkumpul;</v>
      </c>
    </row>
    <row r="654" spans="1:11" ht="45.75" thickBot="1" x14ac:dyDescent="0.3">
      <c r="A654" s="53" t="s">
        <v>6</v>
      </c>
      <c r="B654" s="40">
        <v>38121</v>
      </c>
      <c r="C654" s="41" t="s">
        <v>924</v>
      </c>
      <c r="D654" s="30" t="e">
        <f>VLOOKUP(Table13[[#This Row],[kbli5]],Table1[[#All],[kbli5]:[digital_hijau]],3,)</f>
        <v>#N/A</v>
      </c>
      <c r="E654" s="53" t="str">
        <f>VLOOKUP(Table13[[#This Row],[kbli5]],kata_kunci!$B:$H,4,FALSE)</f>
        <v>limbah B3; limbah/sampah berbahaya;</v>
      </c>
      <c r="F654" s="53" t="e">
        <f>VLOOKUP(Table13[[#This Row],[kbli5]],Table1[[#All],[kbli5]:[digital_hijau]],5,)</f>
        <v>#N/A</v>
      </c>
      <c r="G654" s="35" t="s">
        <v>2091</v>
      </c>
      <c r="H654" s="54" t="str">
        <f>VLOOKUP(Table13[[#This Row],[kbli5]],kata_kunci!$B:$H,3,FALSE)</f>
        <v>Mengumpulkan limbah berbahaya nonradioaktif;</v>
      </c>
      <c r="I654" s="84" t="str">
        <f>VLOOKUP(Table13[[#This Row],[kbli5]],kata_kunci!$B:$H,5,FALSE)</f>
        <v>Mengidentifikasi; menangani; mengemas; mengumpulkan;</v>
      </c>
      <c r="J654" s="84" t="str">
        <f>VLOOKUP(Table13[[#This Row],[kbli5]],kata_kunci!$B:$H,6,FALSE)</f>
        <v>Limbah B3; sampah berbahaya;</v>
      </c>
      <c r="K654" s="84" t="str">
        <f>VLOOKUP(Table13[[#This Row],[kbli5]],kata_kunci!$B:$H,7,FALSE)</f>
        <v>Limbah berbahaya terkumpul; Jasa pengumpulan limbah B3 nonradioaktif;</v>
      </c>
    </row>
    <row r="655" spans="1:11" ht="30.75" thickBot="1" x14ac:dyDescent="0.3">
      <c r="A655" s="53" t="s">
        <v>6</v>
      </c>
      <c r="B655" s="40">
        <v>38122</v>
      </c>
      <c r="C655" s="41" t="s">
        <v>925</v>
      </c>
      <c r="D655" s="30" t="e">
        <f>VLOOKUP(Table13[[#This Row],[kbli5]],Table1[[#All],[kbli5]:[digital_hijau]],3,)</f>
        <v>#N/A</v>
      </c>
      <c r="E655" s="53" t="str">
        <f>VLOOKUP(Table13[[#This Row],[kbli5]],kata_kunci!$B:$H,4,FALSE)</f>
        <v>limbah radioaktif;</v>
      </c>
      <c r="F655" s="53" t="e">
        <f>VLOOKUP(Table13[[#This Row],[kbli5]],Table1[[#All],[kbli5]:[digital_hijau]],5,)</f>
        <v>#N/A</v>
      </c>
      <c r="G655" s="35" t="s">
        <v>2091</v>
      </c>
      <c r="H655" s="54" t="str">
        <f>VLOOKUP(Table13[[#This Row],[kbli5]],kata_kunci!$B:$H,3,FALSE)</f>
        <v>Mengumpulkan limbah radioaktif;</v>
      </c>
      <c r="I655" s="84" t="str">
        <f>VLOOKUP(Table13[[#This Row],[kbli5]],kata_kunci!$B:$H,5,FALSE)</f>
        <v>Mengumpulkan; menangani; mengemas;</v>
      </c>
      <c r="J655" s="84" t="str">
        <f>VLOOKUP(Table13[[#This Row],[kbli5]],kata_kunci!$B:$H,6,FALSE)</f>
        <v>Limbah radioaktif;</v>
      </c>
      <c r="K655" s="84" t="str">
        <f>VLOOKUP(Table13[[#This Row],[kbli5]],kata_kunci!$B:$H,7,FALSE)</f>
        <v>Limbah radioaktif terkumpul; Jasa pengumpulan limbah radioaktif;</v>
      </c>
    </row>
    <row r="656" spans="1:11" ht="45.75" thickBot="1" x14ac:dyDescent="0.3">
      <c r="A656" s="53" t="s">
        <v>6</v>
      </c>
      <c r="B656" s="40">
        <v>38211</v>
      </c>
      <c r="C656" s="41" t="s">
        <v>926</v>
      </c>
      <c r="D656" s="30" t="e">
        <f>VLOOKUP(Table13[[#This Row],[kbli5]],Table1[[#All],[kbli5]:[digital_hijau]],3,)</f>
        <v>#N/A</v>
      </c>
      <c r="E656" s="53" t="str">
        <f>VLOOKUP(Table13[[#This Row],[kbli5]],kata_kunci!$B:$H,4,FALSE)</f>
        <v>pengolahan sampah; sampah tidak berbahaya; PLTBg;</v>
      </c>
      <c r="F656" s="53" t="e">
        <f>VLOOKUP(Table13[[#This Row],[kbli5]],Table1[[#All],[kbli5]:[digital_hijau]],5,)</f>
        <v>#N/A</v>
      </c>
      <c r="G656" s="35" t="s">
        <v>2091</v>
      </c>
      <c r="H656" s="54" t="str">
        <f>VLOOKUP(Table13[[#This Row],[kbli5]],kata_kunci!$B:$H,3,FALSE)</f>
        <v>Mengolah sampah tidak berbahaya menjadi energi/produk lain;</v>
      </c>
      <c r="I656" s="84" t="str">
        <f>VLOOKUP(Table13[[#This Row],[kbli5]],kata_kunci!$B:$H,5,FALSE)</f>
        <v>Mengolah; membakar;</v>
      </c>
      <c r="J656" s="84" t="str">
        <f>VLOOKUP(Table13[[#This Row],[kbli5]],kata_kunci!$B:$H,6,FALSE)</f>
        <v>Sampah nonB3; sampah rumah tangga; sampah pasar;</v>
      </c>
      <c r="K656" s="84" t="str">
        <f>VLOOKUP(Table13[[#This Row],[kbli5]],kata_kunci!$B:$H,7,FALSE)</f>
        <v>Energi; abu; residu;</v>
      </c>
    </row>
    <row r="657" spans="1:11" ht="51.75" thickBot="1" x14ac:dyDescent="0.3">
      <c r="A657" s="53" t="s">
        <v>6</v>
      </c>
      <c r="B657" s="40">
        <v>38212</v>
      </c>
      <c r="C657" s="16" t="s">
        <v>12</v>
      </c>
      <c r="D657" s="30" t="str">
        <f>VLOOKUP(Table13[[#This Row],[kbli5]],Table1[[#All],[kbli5]:[digital_hijau]],3,)</f>
        <v>Rumah Kompos DLHK; unit pengolahan kompos sampah pasar; pengolahan kompos dari tandan kosong kelapa sawit; bank sampah penghasil kompos;</v>
      </c>
      <c r="E657" s="53" t="str">
        <f>VLOOKUP(Table13[[#This Row],[kbli5]],kata_kunci!$B:$H,4,FALSE)</f>
        <v>kompos; sampah organik;</v>
      </c>
      <c r="F657" s="53" t="str">
        <f>VLOOKUP(Table13[[#This Row],[kbli5]],Table1[[#All],[kbli5]:[digital_hijau]],5,)</f>
        <v>Umum Ditemukan</v>
      </c>
      <c r="G657" s="53" t="str">
        <f>VLOOKUP(Table13[[#This Row],[kbli5]],Table1[[#All],[kbli5]:[digital_hijau]],6,)</f>
        <v>Ekonomi Hijau;</v>
      </c>
      <c r="H657" s="54" t="str">
        <f>VLOOKUP(Table13[[#This Row],[kbli5]],kata_kunci!$B:$H,3,FALSE)</f>
        <v>Memproduksi kompos dari sampah organik;</v>
      </c>
      <c r="I657" s="84" t="str">
        <f>VLOOKUP(Table13[[#This Row],[kbli5]],kata_kunci!$B:$H,5,FALSE)</f>
        <v>Mengolah; memproduksi;</v>
      </c>
      <c r="J657" s="84" t="str">
        <f>VLOOKUP(Table13[[#This Row],[kbli5]],kata_kunci!$B:$H,6,FALSE)</f>
        <v>Sampah organik;</v>
      </c>
      <c r="K657" s="84" t="str">
        <f>VLOOKUP(Table13[[#This Row],[kbli5]],kata_kunci!$B:$H,7,FALSE)</f>
        <v>Kompos;</v>
      </c>
    </row>
    <row r="658" spans="1:11" ht="45.75" thickBot="1" x14ac:dyDescent="0.3">
      <c r="A658" s="53" t="s">
        <v>6</v>
      </c>
      <c r="B658" s="40">
        <v>38219</v>
      </c>
      <c r="C658" s="16" t="s">
        <v>13</v>
      </c>
      <c r="D658" s="30" t="str">
        <f>VLOOKUP(Table13[[#This Row],[kbli5]],Table1[[#All],[kbli5]:[digital_hijau]],3,)</f>
        <v>Tempat pembuangan akhir (TPA); Pengelola landfill sampah perkotaan; fasilitas pemusnahan sampah non; B3;</v>
      </c>
      <c r="E658" s="53" t="str">
        <f>VLOOKUP(Table13[[#This Row],[kbli5]],kata_kunci!$B:$H,4,FALSE)</f>
        <v>pembuangan limbah; limbah non-B3; TPA;</v>
      </c>
      <c r="F658" s="53" t="str">
        <f>VLOOKUP(Table13[[#This Row],[kbli5]],Table1[[#All],[kbli5]:[digital_hijau]],5,)</f>
        <v>Esensial</v>
      </c>
      <c r="G658" s="53" t="str">
        <f>VLOOKUP(Table13[[#This Row],[kbli5]],Table1[[#All],[kbli5]:[digital_hijau]],6,)</f>
        <v>Ekonomi Hijau;</v>
      </c>
      <c r="H658" s="54" t="str">
        <f>VLOOKUP(Table13[[#This Row],[kbli5]],kata_kunci!$B:$H,3,FALSE)</f>
        <v>Mengolah dan membuang limbah/sampah tidak berbahaya;</v>
      </c>
      <c r="I658" s="84" t="str">
        <f>VLOOKUP(Table13[[#This Row],[kbli5]],kata_kunci!$B:$H,5,FALSE)</f>
        <v>Mengolah; membuang; menimbun;</v>
      </c>
      <c r="J658" s="84" t="str">
        <f>VLOOKUP(Table13[[#This Row],[kbli5]],kata_kunci!$B:$H,6,FALSE)</f>
        <v>Limbah nonB3; Sampah rumah tangga; sampah pasar;</v>
      </c>
      <c r="K658" s="84" t="str">
        <f>VLOOKUP(Table13[[#This Row],[kbli5]],kata_kunci!$B:$H,7,FALSE)</f>
        <v>Jasa pengolahan limbah/sampah;</v>
      </c>
    </row>
    <row r="659" spans="1:11" ht="45.75" thickBot="1" x14ac:dyDescent="0.3">
      <c r="A659" s="53" t="s">
        <v>6</v>
      </c>
      <c r="B659" s="40">
        <v>38221</v>
      </c>
      <c r="C659" s="16" t="s">
        <v>927</v>
      </c>
      <c r="D659" s="30" t="e">
        <f>VLOOKUP(Table13[[#This Row],[kbli5]],Table1[[#All],[kbli5]:[digital_hijau]],3,)</f>
        <v>#N/A</v>
      </c>
      <c r="E659" s="53" t="str">
        <f>VLOOKUP(Table13[[#This Row],[kbli5]],kata_kunci!$B:$H,4,FALSE)</f>
        <v>pengolahan limbah B3; pembakaran limbah; limbah berbahaya;</v>
      </c>
      <c r="F659" s="53" t="e">
        <f>VLOOKUP(Table13[[#This Row],[kbli5]],Table1[[#All],[kbli5]:[digital_hijau]],5,)</f>
        <v>#N/A</v>
      </c>
      <c r="G659" s="35" t="s">
        <v>2091</v>
      </c>
      <c r="H659" s="54" t="str">
        <f>VLOOKUP(Table13[[#This Row],[kbli5]],kata_kunci!$B:$H,3,FALSE)</f>
        <v>Mengolah dan membuang limbah/sampah berbahaya nonradioaktif;</v>
      </c>
      <c r="I659" s="84" t="str">
        <f>VLOOKUP(Table13[[#This Row],[kbli5]],kata_kunci!$B:$H,5,FALSE)</f>
        <v>Mengolah; membakar; menetralkan;</v>
      </c>
      <c r="J659" s="84" t="str">
        <f>VLOOKUP(Table13[[#This Row],[kbli5]],kata_kunci!$B:$H,6,FALSE)</f>
        <v>Limbah B3; Limbah medis; oli bekas; limbah kimia; aki bekas; baterai bekas;</v>
      </c>
      <c r="K659" s="84" t="str">
        <f>VLOOKUP(Table13[[#This Row],[kbli5]],kata_kunci!$B:$H,7,FALSE)</f>
        <v>Limbah aman terolah; Jasa pengolahan dan pembuangan limbah B3;</v>
      </c>
    </row>
    <row r="660" spans="1:11" ht="45.75" thickBot="1" x14ac:dyDescent="0.3">
      <c r="A660" s="53" t="s">
        <v>6</v>
      </c>
      <c r="B660" s="40">
        <v>38222</v>
      </c>
      <c r="C660" s="16" t="s">
        <v>928</v>
      </c>
      <c r="D660" s="30" t="e">
        <f>VLOOKUP(Table13[[#This Row],[kbli5]],Table1[[#All],[kbli5]:[digital_hijau]],3,)</f>
        <v>#N/A</v>
      </c>
      <c r="E660" s="53" t="str">
        <f>VLOOKUP(Table13[[#This Row],[kbli5]],kata_kunci!$B:$H,4,FALSE)</f>
        <v>limbah radioaktif; penyimpanan radioaktif;</v>
      </c>
      <c r="F660" s="53" t="e">
        <f>VLOOKUP(Table13[[#This Row],[kbli5]],Table1[[#All],[kbli5]:[digital_hijau]],5,)</f>
        <v>#N/A</v>
      </c>
      <c r="G660" s="35" t="s">
        <v>2091</v>
      </c>
      <c r="H660" s="54" t="str">
        <f>VLOOKUP(Table13[[#This Row],[kbli5]],kata_kunci!$B:$H,3,FALSE)</f>
        <v>Mengolah dan membuang limbah radioaktif;</v>
      </c>
      <c r="I660" s="84" t="str">
        <f>VLOOKUP(Table13[[#This Row],[kbli5]],kata_kunci!$B:$H,5,FALSE)</f>
        <v>Mengolah; menyimpan; memusnahkan; membuang;</v>
      </c>
      <c r="J660" s="84" t="str">
        <f>VLOOKUP(Table13[[#This Row],[kbli5]],kata_kunci!$B:$H,6,FALSE)</f>
        <v>Limbah radioaktif;</v>
      </c>
      <c r="K660" s="84" t="str">
        <f>VLOOKUP(Table13[[#This Row],[kbli5]],kata_kunci!$B:$H,7,FALSE)</f>
        <v>Limbah radioaktif terkelola; Jasa pengolahan dan pembuangan limbah radioaktif;</v>
      </c>
    </row>
    <row r="661" spans="1:11" ht="51.75" thickBot="1" x14ac:dyDescent="0.3">
      <c r="A661" s="53" t="s">
        <v>6</v>
      </c>
      <c r="B661" s="40">
        <v>38301</v>
      </c>
      <c r="C661" s="16" t="s">
        <v>14</v>
      </c>
      <c r="D661" s="30" t="str">
        <f>VLOOKUP(Table13[[#This Row],[kbli5]],Table1[[#All],[kbli5]:[digital_hijau]],3,)</f>
        <v>Pengepul pemulung besi tua; pengolah scrap logam Dumai; pengepul aluminium/tembaga bekas; Usaha pemotongan dan penjualan kembali besi bekas konstruksi;</v>
      </c>
      <c r="E661" s="53" t="str">
        <f>VLOOKUP(Table13[[#This Row],[kbli5]],kata_kunci!$B:$H,4,FALSE)</f>
        <v>daur ulang logam; logam; besi tua;</v>
      </c>
      <c r="F661" s="53" t="str">
        <f>VLOOKUP(Table13[[#This Row],[kbli5]],Table1[[#All],[kbli5]:[digital_hijau]],5,)</f>
        <v>Umum Ditemukan</v>
      </c>
      <c r="G661" s="53" t="str">
        <f>VLOOKUP(Table13[[#This Row],[kbli5]],Table1[[#All],[kbli5]:[digital_hijau]],6,)</f>
        <v>Ekonomi Hijau;</v>
      </c>
      <c r="H661" s="54" t="str">
        <f>VLOOKUP(Table13[[#This Row],[kbli5]],kata_kunci!$B:$H,3,FALSE)</f>
        <v>Mendaur ulang barang logam menjadi bahan baku sekunder;</v>
      </c>
      <c r="I661" s="84" t="str">
        <f>VLOOKUP(Table13[[#This Row],[kbli5]],kata_kunci!$B:$H,5,FALSE)</f>
        <v>Memilah; mengolah; mendaur ulang;</v>
      </c>
      <c r="J661" s="84" t="str">
        <f>VLOOKUP(Table13[[#This Row],[kbli5]],kata_kunci!$B:$H,6,FALSE)</f>
        <v>Besi tua; baja bekas; aluminium bekas; tembaga bekas; aki bekas; kaleng bekas;</v>
      </c>
      <c r="K661" s="84" t="str">
        <f>VLOOKUP(Table13[[#This Row],[kbli5]],kata_kunci!$B:$H,7,FALSE)</f>
        <v>Bahan baku logam sekunder;</v>
      </c>
    </row>
    <row r="662" spans="1:11" ht="51.75" thickBot="1" x14ac:dyDescent="0.3">
      <c r="A662" s="53" t="s">
        <v>6</v>
      </c>
      <c r="B662" s="40">
        <v>38302</v>
      </c>
      <c r="C662" s="16" t="s">
        <v>15</v>
      </c>
      <c r="D662" s="30" t="str">
        <f>VLOOKUP(Table13[[#This Row],[kbli5]],Table1[[#All],[kbli5]:[digital_hijau]],3,)</f>
        <v>Pengepul dan pengolah botol plastik bekas; Usaha pencacahan plastik di Kampar; bank sampah pengolah plastik; produsen biji plastik daur ulang;</v>
      </c>
      <c r="E662" s="53" t="str">
        <f>VLOOKUP(Table13[[#This Row],[kbli5]],kata_kunci!$B:$H,4,FALSE)</f>
        <v>daur ulang plastik; plastik bekas; cacahan plastik;</v>
      </c>
      <c r="F662" s="53" t="str">
        <f>VLOOKUP(Table13[[#This Row],[kbli5]],Table1[[#All],[kbli5]:[digital_hijau]],5,)</f>
        <v>Umum Ditemukan</v>
      </c>
      <c r="G662" s="53" t="str">
        <f>VLOOKUP(Table13[[#This Row],[kbli5]],Table1[[#All],[kbli5]:[digital_hijau]],6,)</f>
        <v>Ekonomi Hijau;</v>
      </c>
      <c r="H662" s="54" t="str">
        <f>VLOOKUP(Table13[[#This Row],[kbli5]],kata_kunci!$B:$H,3,FALSE)</f>
        <v>Mendaur ulang plastik menjadi bahan baku sekunder;</v>
      </c>
      <c r="I662" s="84" t="str">
        <f>VLOOKUP(Table13[[#This Row],[kbli5]],kata_kunci!$B:$H,5,FALSE)</f>
        <v>Memilah; mengolah; mendaur ulang;</v>
      </c>
      <c r="J662" s="84" t="str">
        <f>VLOOKUP(Table13[[#This Row],[kbli5]],kata_kunci!$B:$H,6,FALSE)</f>
        <v>Botol plastik bekas; gelas plastik bekas; plastik kemasan;</v>
      </c>
      <c r="K662" s="84" t="str">
        <f>VLOOKUP(Table13[[#This Row],[kbli5]],kata_kunci!$B:$H,7,FALSE)</f>
        <v>Biji plastik daur ulang; cacahan plastik; bahan baku plastik daur ulang;</v>
      </c>
    </row>
    <row r="663" spans="1:11" ht="39.75" thickBot="1" x14ac:dyDescent="0.3">
      <c r="A663" s="53" t="s">
        <v>6</v>
      </c>
      <c r="B663" s="40">
        <v>38309</v>
      </c>
      <c r="C663" s="16" t="s">
        <v>929</v>
      </c>
      <c r="D663" s="30" t="e">
        <f>VLOOKUP(Table13[[#This Row],[kbli5]],Table1[[#All],[kbli5]:[digital_hijau]],3,)</f>
        <v>#N/A</v>
      </c>
      <c r="E663" s="53" t="str">
        <f>VLOOKUP(Table13[[#This Row],[kbli5]],kata_kunci!$B:$H,4,FALSE)</f>
        <v>daur ulang kertas; kaca; barang bekas;</v>
      </c>
      <c r="F663" s="53" t="e">
        <f>VLOOKUP(Table13[[#This Row],[kbli5]],Table1[[#All],[kbli5]:[digital_hijau]],5,)</f>
        <v>#N/A</v>
      </c>
      <c r="G663" s="35" t="s">
        <v>2091</v>
      </c>
      <c r="H663" s="54" t="str">
        <f>VLOOKUP(Table13[[#This Row],[kbli5]],kata_kunci!$B:$H,3,FALSE)</f>
        <v>Mendaur ulang material selain logam dan plastik menjadi bahan baku sekunder;</v>
      </c>
      <c r="I663" s="84" t="str">
        <f>VLOOKUP(Table13[[#This Row],[kbli5]],kata_kunci!$B:$H,5,FALSE)</f>
        <v>Memilah; mengolah; mendaur ulang;</v>
      </c>
      <c r="J663" s="84" t="str">
        <f>VLOOKUP(Table13[[#This Row],[kbli5]],kata_kunci!$B:$H,6,FALSE)</f>
        <v>Kertas bekas; kaca; Barang bekas campuran;</v>
      </c>
      <c r="K663" s="84" t="str">
        <f>VLOOKUP(Table13[[#This Row],[kbli5]],kata_kunci!$B:$H,7,FALSE)</f>
        <v>Bahan baku sekunder;</v>
      </c>
    </row>
    <row r="664" spans="1:11" ht="30.75" thickBot="1" x14ac:dyDescent="0.3">
      <c r="A664" s="53" t="s">
        <v>6</v>
      </c>
      <c r="B664" s="40">
        <v>39001</v>
      </c>
      <c r="C664" s="16" t="s">
        <v>930</v>
      </c>
      <c r="D664" s="30" t="e">
        <f>VLOOKUP(Table13[[#This Row],[kbli5]],Table1[[#All],[kbli5]:[digital_hijau]],3,)</f>
        <v>#N/A</v>
      </c>
      <c r="E664" s="53" t="str">
        <f>VLOOKUP(Table13[[#This Row],[kbli5]],kata_kunci!$B:$H,4,FALSE)</f>
        <v>penangkapan karbon; emisi karbon;</v>
      </c>
      <c r="F664" s="53" t="e">
        <f>VLOOKUP(Table13[[#This Row],[kbli5]],Table1[[#All],[kbli5]:[digital_hijau]],5,)</f>
        <v>#N/A</v>
      </c>
      <c r="G664" s="35" t="s">
        <v>2091</v>
      </c>
      <c r="H664" s="54" t="str">
        <f>VLOOKUP(Table13[[#This Row],[kbli5]],kata_kunci!$B:$H,3,FALSE)</f>
        <v>Menangkap emisi karbon untuk mencegah pelepasan ke atmosfer;</v>
      </c>
      <c r="I664" s="84" t="str">
        <f>VLOOKUP(Table13[[#This Row],[kbli5]],kata_kunci!$B:$H,5,FALSE)</f>
        <v>Menangkap; memisahkan;</v>
      </c>
      <c r="J664" s="84" t="str">
        <f>VLOOKUP(Table13[[#This Row],[kbli5]],kata_kunci!$B:$H,6,FALSE)</f>
        <v>Emisi karbon;</v>
      </c>
      <c r="K664" s="84" t="str">
        <f>VLOOKUP(Table13[[#This Row],[kbli5]],kata_kunci!$B:$H,7,FALSE)</f>
        <v>Karbon tertangkap;</v>
      </c>
    </row>
    <row r="665" spans="1:11" ht="30.75" thickBot="1" x14ac:dyDescent="0.3">
      <c r="A665" s="53" t="s">
        <v>6</v>
      </c>
      <c r="B665" s="40">
        <v>39002</v>
      </c>
      <c r="C665" s="16" t="s">
        <v>931</v>
      </c>
      <c r="D665" s="30" t="e">
        <f>VLOOKUP(Table13[[#This Row],[kbli5]],Table1[[#All],[kbli5]:[digital_hijau]],3,)</f>
        <v>#N/A</v>
      </c>
      <c r="E665" s="53" t="str">
        <f>VLOOKUP(Table13[[#This Row],[kbli5]],kata_kunci!$B:$H,4,FALSE)</f>
        <v>penyimpanan karbon; CCS; injeksi karbon;</v>
      </c>
      <c r="F665" s="53" t="e">
        <f>VLOOKUP(Table13[[#This Row],[kbli5]],Table1[[#All],[kbli5]:[digital_hijau]],5,)</f>
        <v>#N/A</v>
      </c>
      <c r="G665" s="35" t="s">
        <v>2091</v>
      </c>
      <c r="H665" s="54" t="str">
        <f>VLOOKUP(Table13[[#This Row],[kbli5]],kata_kunci!$B:$H,3,FALSE)</f>
        <v>Menyimpan karbon secara permanen di bawah tanah;</v>
      </c>
      <c r="I665" s="84" t="str">
        <f>VLOOKUP(Table13[[#This Row],[kbli5]],kata_kunci!$B:$H,5,FALSE)</f>
        <v>Menyimpan; menginjeksikan;</v>
      </c>
      <c r="J665" s="84" t="str">
        <f>VLOOKUP(Table13[[#This Row],[kbli5]],kata_kunci!$B:$H,6,FALSE)</f>
        <v>Karbon terkompresi; Karbon hasil penangkapan karbon;</v>
      </c>
      <c r="K665" s="84" t="str">
        <f>VLOOKUP(Table13[[#This Row],[kbli5]],kata_kunci!$B:$H,7,FALSE)</f>
        <v>Jasa penyimpanan karbon; karbon tersimpan permanen;</v>
      </c>
    </row>
    <row r="666" spans="1:11" ht="45.75" thickBot="1" x14ac:dyDescent="0.3">
      <c r="A666" s="53" t="s">
        <v>6</v>
      </c>
      <c r="B666" s="40">
        <v>39009</v>
      </c>
      <c r="C666" s="16" t="s">
        <v>932</v>
      </c>
      <c r="D666" s="30" t="e">
        <f>VLOOKUP(Table13[[#This Row],[kbli5]],Table1[[#All],[kbli5]:[digital_hijau]],3,)</f>
        <v>#N/A</v>
      </c>
      <c r="E666" s="53" t="str">
        <f>VLOOKUP(Table13[[#This Row],[kbli5]],kata_kunci!$B:$H,4,FALSE)</f>
        <v>remediasi; pemulihan lingkungan; dekontaminasi;</v>
      </c>
      <c r="F666" s="53" t="e">
        <f>VLOOKUP(Table13[[#This Row],[kbli5]],Table1[[#All],[kbli5]:[digital_hijau]],5,)</f>
        <v>#N/A</v>
      </c>
      <c r="G666" s="35" t="s">
        <v>2091</v>
      </c>
      <c r="H666" s="54" t="str">
        <f>VLOOKUP(Table13[[#This Row],[kbli5]],kata_kunci!$B:$H,3,FALSE)</f>
        <v>Membersihkan dan pengelolaan limbah/sampah lainnya oleh pemerintah/swasta;</v>
      </c>
      <c r="I666" s="84" t="str">
        <f>VLOOKUP(Table13[[#This Row],[kbli5]],kata_kunci!$B:$H,5,FALSE)</f>
        <v>Membersihkan; mendekontaminasi; mengelola;</v>
      </c>
      <c r="J666" s="84" t="str">
        <f>VLOOKUP(Table13[[#This Row],[kbli5]],kata_kunci!$B:$H,6,FALSE)</f>
        <v>Limbah; sampah; polutan;</v>
      </c>
      <c r="K666" s="84" t="str">
        <f>VLOOKUP(Table13[[#This Row],[kbli5]],kata_kunci!$B:$H,7,FALSE)</f>
        <v>Jasa remediasi dan pemulihan lingkungan;</v>
      </c>
    </row>
    <row r="667" spans="1:11" ht="45.75" thickBot="1" x14ac:dyDescent="0.3">
      <c r="A667" s="53" t="s">
        <v>933</v>
      </c>
      <c r="B667" s="40">
        <v>41011</v>
      </c>
      <c r="C667" s="41" t="s">
        <v>934</v>
      </c>
      <c r="D667" s="30" t="e">
        <f>VLOOKUP(Table13[[#This Row],[kbli5]],Table1[[#All],[kbli5]:[digital_hijau]],3,)</f>
        <v>#N/A</v>
      </c>
      <c r="E667" s="53" t="e">
        <f>VLOOKUP(Table13[[#This Row],[kbli5]],kata_kunci!$B:$H,4,FALSE)</f>
        <v>#N/A</v>
      </c>
      <c r="F667" s="53" t="e">
        <f>VLOOKUP(Table13[[#This Row],[kbli5]],Table1[[#All],[kbli5]:[digital_hijau]],5,)</f>
        <v>#N/A</v>
      </c>
      <c r="G667" s="53" t="e">
        <f>VLOOKUP(Table13[[#This Row],[kbli5]],Table1[[#All],[kbli5]:[digital_hijau]],6,)</f>
        <v>#N/A</v>
      </c>
      <c r="H667" s="54" t="e">
        <f>VLOOKUP(Table13[[#This Row],[kbli5]],kata_kunci!$B:$H,3,FALSE)</f>
        <v>#N/A</v>
      </c>
      <c r="I667" s="84" t="e">
        <f>VLOOKUP(Table13[[#This Row],[kbli5]],kata_kunci!$B:$H,5,FALSE)</f>
        <v>#N/A</v>
      </c>
      <c r="J667" s="84" t="e">
        <f>VLOOKUP(Table13[[#This Row],[kbli5]],kata_kunci!$B:$H,6,FALSE)</f>
        <v>#N/A</v>
      </c>
      <c r="K667" s="84" t="e">
        <f>VLOOKUP(Table13[[#This Row],[kbli5]],kata_kunci!$B:$H,7,FALSE)</f>
        <v>#N/A</v>
      </c>
    </row>
    <row r="668" spans="1:11" ht="45.75" thickBot="1" x14ac:dyDescent="0.3">
      <c r="A668" s="53" t="s">
        <v>933</v>
      </c>
      <c r="B668" s="40">
        <v>41012</v>
      </c>
      <c r="C668" s="41" t="s">
        <v>935</v>
      </c>
      <c r="D668" s="30" t="e">
        <f>VLOOKUP(Table13[[#This Row],[kbli5]],Table1[[#All],[kbli5]:[digital_hijau]],3,)</f>
        <v>#N/A</v>
      </c>
      <c r="E668" s="53" t="e">
        <f>VLOOKUP(Table13[[#This Row],[kbli5]],kata_kunci!$B:$H,4,FALSE)</f>
        <v>#N/A</v>
      </c>
      <c r="F668" s="53" t="e">
        <f>VLOOKUP(Table13[[#This Row],[kbli5]],Table1[[#All],[kbli5]:[digital_hijau]],5,)</f>
        <v>#N/A</v>
      </c>
      <c r="G668" s="53" t="e">
        <f>VLOOKUP(Table13[[#This Row],[kbli5]],Table1[[#All],[kbli5]:[digital_hijau]],6,)</f>
        <v>#N/A</v>
      </c>
      <c r="H668" s="54" t="e">
        <f>VLOOKUP(Table13[[#This Row],[kbli5]],kata_kunci!$B:$H,3,FALSE)</f>
        <v>#N/A</v>
      </c>
      <c r="I668" s="84" t="e">
        <f>VLOOKUP(Table13[[#This Row],[kbli5]],kata_kunci!$B:$H,5,FALSE)</f>
        <v>#N/A</v>
      </c>
      <c r="J668" s="84" t="e">
        <f>VLOOKUP(Table13[[#This Row],[kbli5]],kata_kunci!$B:$H,6,FALSE)</f>
        <v>#N/A</v>
      </c>
      <c r="K668" s="84" t="e">
        <f>VLOOKUP(Table13[[#This Row],[kbli5]],kata_kunci!$B:$H,7,FALSE)</f>
        <v>#N/A</v>
      </c>
    </row>
    <row r="669" spans="1:11" ht="45.75" thickBot="1" x14ac:dyDescent="0.3">
      <c r="A669" s="53" t="s">
        <v>933</v>
      </c>
      <c r="B669" s="40">
        <v>41013</v>
      </c>
      <c r="C669" s="41" t="s">
        <v>936</v>
      </c>
      <c r="D669" s="30" t="e">
        <f>VLOOKUP(Table13[[#This Row],[kbli5]],Table1[[#All],[kbli5]:[digital_hijau]],3,)</f>
        <v>#N/A</v>
      </c>
      <c r="E669" s="53" t="e">
        <f>VLOOKUP(Table13[[#This Row],[kbli5]],kata_kunci!$B:$H,4,FALSE)</f>
        <v>#N/A</v>
      </c>
      <c r="F669" s="53" t="e">
        <f>VLOOKUP(Table13[[#This Row],[kbli5]],Table1[[#All],[kbli5]:[digital_hijau]],5,)</f>
        <v>#N/A</v>
      </c>
      <c r="G669" s="53" t="e">
        <f>VLOOKUP(Table13[[#This Row],[kbli5]],Table1[[#All],[kbli5]:[digital_hijau]],6,)</f>
        <v>#N/A</v>
      </c>
      <c r="H669" s="54" t="e">
        <f>VLOOKUP(Table13[[#This Row],[kbli5]],kata_kunci!$B:$H,3,FALSE)</f>
        <v>#N/A</v>
      </c>
      <c r="I669" s="84" t="e">
        <f>VLOOKUP(Table13[[#This Row],[kbli5]],kata_kunci!$B:$H,5,FALSE)</f>
        <v>#N/A</v>
      </c>
      <c r="J669" s="84" t="e">
        <f>VLOOKUP(Table13[[#This Row],[kbli5]],kata_kunci!$B:$H,6,FALSE)</f>
        <v>#N/A</v>
      </c>
      <c r="K669" s="84" t="e">
        <f>VLOOKUP(Table13[[#This Row],[kbli5]],kata_kunci!$B:$H,7,FALSE)</f>
        <v>#N/A</v>
      </c>
    </row>
    <row r="670" spans="1:11" ht="45.75" thickBot="1" x14ac:dyDescent="0.3">
      <c r="A670" s="53" t="s">
        <v>933</v>
      </c>
      <c r="B670" s="40">
        <v>41014</v>
      </c>
      <c r="C670" s="41" t="s">
        <v>937</v>
      </c>
      <c r="D670" s="30" t="e">
        <f>VLOOKUP(Table13[[#This Row],[kbli5]],Table1[[#All],[kbli5]:[digital_hijau]],3,)</f>
        <v>#N/A</v>
      </c>
      <c r="E670" s="53" t="e">
        <f>VLOOKUP(Table13[[#This Row],[kbli5]],kata_kunci!$B:$H,4,FALSE)</f>
        <v>#N/A</v>
      </c>
      <c r="F670" s="53" t="e">
        <f>VLOOKUP(Table13[[#This Row],[kbli5]],Table1[[#All],[kbli5]:[digital_hijau]],5,)</f>
        <v>#N/A</v>
      </c>
      <c r="G670" s="53" t="e">
        <f>VLOOKUP(Table13[[#This Row],[kbli5]],Table1[[#All],[kbli5]:[digital_hijau]],6,)</f>
        <v>#N/A</v>
      </c>
      <c r="H670" s="54" t="e">
        <f>VLOOKUP(Table13[[#This Row],[kbli5]],kata_kunci!$B:$H,3,FALSE)</f>
        <v>#N/A</v>
      </c>
      <c r="I670" s="84" t="e">
        <f>VLOOKUP(Table13[[#This Row],[kbli5]],kata_kunci!$B:$H,5,FALSE)</f>
        <v>#N/A</v>
      </c>
      <c r="J670" s="84" t="e">
        <f>VLOOKUP(Table13[[#This Row],[kbli5]],kata_kunci!$B:$H,6,FALSE)</f>
        <v>#N/A</v>
      </c>
      <c r="K670" s="84" t="e">
        <f>VLOOKUP(Table13[[#This Row],[kbli5]],kata_kunci!$B:$H,7,FALSE)</f>
        <v>#N/A</v>
      </c>
    </row>
    <row r="671" spans="1:11" ht="45.75" thickBot="1" x14ac:dyDescent="0.3">
      <c r="A671" s="53" t="s">
        <v>933</v>
      </c>
      <c r="B671" s="40">
        <v>41015</v>
      </c>
      <c r="C671" s="41" t="s">
        <v>938</v>
      </c>
      <c r="D671" s="30" t="e">
        <f>VLOOKUP(Table13[[#This Row],[kbli5]],Table1[[#All],[kbli5]:[digital_hijau]],3,)</f>
        <v>#N/A</v>
      </c>
      <c r="E671" s="53" t="e">
        <f>VLOOKUP(Table13[[#This Row],[kbli5]],kata_kunci!$B:$H,4,FALSE)</f>
        <v>#N/A</v>
      </c>
      <c r="F671" s="53" t="e">
        <f>VLOOKUP(Table13[[#This Row],[kbli5]],Table1[[#All],[kbli5]:[digital_hijau]],5,)</f>
        <v>#N/A</v>
      </c>
      <c r="G671" s="53" t="e">
        <f>VLOOKUP(Table13[[#This Row],[kbli5]],Table1[[#All],[kbli5]:[digital_hijau]],6,)</f>
        <v>#N/A</v>
      </c>
      <c r="H671" s="54" t="e">
        <f>VLOOKUP(Table13[[#This Row],[kbli5]],kata_kunci!$B:$H,3,FALSE)</f>
        <v>#N/A</v>
      </c>
      <c r="I671" s="84" t="e">
        <f>VLOOKUP(Table13[[#This Row],[kbli5]],kata_kunci!$B:$H,5,FALSE)</f>
        <v>#N/A</v>
      </c>
      <c r="J671" s="84" t="e">
        <f>VLOOKUP(Table13[[#This Row],[kbli5]],kata_kunci!$B:$H,6,FALSE)</f>
        <v>#N/A</v>
      </c>
      <c r="K671" s="84" t="e">
        <f>VLOOKUP(Table13[[#This Row],[kbli5]],kata_kunci!$B:$H,7,FALSE)</f>
        <v>#N/A</v>
      </c>
    </row>
    <row r="672" spans="1:11" ht="45.75" thickBot="1" x14ac:dyDescent="0.3">
      <c r="A672" s="53" t="s">
        <v>933</v>
      </c>
      <c r="B672" s="40">
        <v>41016</v>
      </c>
      <c r="C672" s="41" t="s">
        <v>939</v>
      </c>
      <c r="D672" s="30" t="e">
        <f>VLOOKUP(Table13[[#This Row],[kbli5]],Table1[[#All],[kbli5]:[digital_hijau]],3,)</f>
        <v>#N/A</v>
      </c>
      <c r="E672" s="53" t="e">
        <f>VLOOKUP(Table13[[#This Row],[kbli5]],kata_kunci!$B:$H,4,FALSE)</f>
        <v>#N/A</v>
      </c>
      <c r="F672" s="53" t="e">
        <f>VLOOKUP(Table13[[#This Row],[kbli5]],Table1[[#All],[kbli5]:[digital_hijau]],5,)</f>
        <v>#N/A</v>
      </c>
      <c r="G672" s="53" t="e">
        <f>VLOOKUP(Table13[[#This Row],[kbli5]],Table1[[#All],[kbli5]:[digital_hijau]],6,)</f>
        <v>#N/A</v>
      </c>
      <c r="H672" s="54" t="e">
        <f>VLOOKUP(Table13[[#This Row],[kbli5]],kata_kunci!$B:$H,3,FALSE)</f>
        <v>#N/A</v>
      </c>
      <c r="I672" s="84" t="e">
        <f>VLOOKUP(Table13[[#This Row],[kbli5]],kata_kunci!$B:$H,5,FALSE)</f>
        <v>#N/A</v>
      </c>
      <c r="J672" s="84" t="e">
        <f>VLOOKUP(Table13[[#This Row],[kbli5]],kata_kunci!$B:$H,6,FALSE)</f>
        <v>#N/A</v>
      </c>
      <c r="K672" s="84" t="e">
        <f>VLOOKUP(Table13[[#This Row],[kbli5]],kata_kunci!$B:$H,7,FALSE)</f>
        <v>#N/A</v>
      </c>
    </row>
    <row r="673" spans="1:11" ht="45.75" thickBot="1" x14ac:dyDescent="0.3">
      <c r="A673" s="53" t="s">
        <v>933</v>
      </c>
      <c r="B673" s="40">
        <v>41017</v>
      </c>
      <c r="C673" s="41" t="s">
        <v>940</v>
      </c>
      <c r="D673" s="30" t="e">
        <f>VLOOKUP(Table13[[#This Row],[kbli5]],Table1[[#All],[kbli5]:[digital_hijau]],3,)</f>
        <v>#N/A</v>
      </c>
      <c r="E673" s="53" t="e">
        <f>VLOOKUP(Table13[[#This Row],[kbli5]],kata_kunci!$B:$H,4,FALSE)</f>
        <v>#N/A</v>
      </c>
      <c r="F673" s="53" t="e">
        <f>VLOOKUP(Table13[[#This Row],[kbli5]],Table1[[#All],[kbli5]:[digital_hijau]],5,)</f>
        <v>#N/A</v>
      </c>
      <c r="G673" s="53" t="e">
        <f>VLOOKUP(Table13[[#This Row],[kbli5]],Table1[[#All],[kbli5]:[digital_hijau]],6,)</f>
        <v>#N/A</v>
      </c>
      <c r="H673" s="54" t="e">
        <f>VLOOKUP(Table13[[#This Row],[kbli5]],kata_kunci!$B:$H,3,FALSE)</f>
        <v>#N/A</v>
      </c>
      <c r="I673" s="84" t="e">
        <f>VLOOKUP(Table13[[#This Row],[kbli5]],kata_kunci!$B:$H,5,FALSE)</f>
        <v>#N/A</v>
      </c>
      <c r="J673" s="84" t="e">
        <f>VLOOKUP(Table13[[#This Row],[kbli5]],kata_kunci!$B:$H,6,FALSE)</f>
        <v>#N/A</v>
      </c>
      <c r="K673" s="84" t="e">
        <f>VLOOKUP(Table13[[#This Row],[kbli5]],kata_kunci!$B:$H,7,FALSE)</f>
        <v>#N/A</v>
      </c>
    </row>
    <row r="674" spans="1:11" ht="45.75" thickBot="1" x14ac:dyDescent="0.3">
      <c r="A674" s="53" t="s">
        <v>933</v>
      </c>
      <c r="B674" s="40">
        <v>41018</v>
      </c>
      <c r="C674" s="41" t="s">
        <v>941</v>
      </c>
      <c r="D674" s="30" t="e">
        <f>VLOOKUP(Table13[[#This Row],[kbli5]],Table1[[#All],[kbli5]:[digital_hijau]],3,)</f>
        <v>#N/A</v>
      </c>
      <c r="E674" s="53" t="e">
        <f>VLOOKUP(Table13[[#This Row],[kbli5]],kata_kunci!$B:$H,4,FALSE)</f>
        <v>#N/A</v>
      </c>
      <c r="F674" s="53" t="e">
        <f>VLOOKUP(Table13[[#This Row],[kbli5]],Table1[[#All],[kbli5]:[digital_hijau]],5,)</f>
        <v>#N/A</v>
      </c>
      <c r="G674" s="53" t="e">
        <f>VLOOKUP(Table13[[#This Row],[kbli5]],Table1[[#All],[kbli5]:[digital_hijau]],6,)</f>
        <v>#N/A</v>
      </c>
      <c r="H674" s="54" t="e">
        <f>VLOOKUP(Table13[[#This Row],[kbli5]],kata_kunci!$B:$H,3,FALSE)</f>
        <v>#N/A</v>
      </c>
      <c r="I674" s="84" t="e">
        <f>VLOOKUP(Table13[[#This Row],[kbli5]],kata_kunci!$B:$H,5,FALSE)</f>
        <v>#N/A</v>
      </c>
      <c r="J674" s="84" t="e">
        <f>VLOOKUP(Table13[[#This Row],[kbli5]],kata_kunci!$B:$H,6,FALSE)</f>
        <v>#N/A</v>
      </c>
      <c r="K674" s="84" t="e">
        <f>VLOOKUP(Table13[[#This Row],[kbli5]],kata_kunci!$B:$H,7,FALSE)</f>
        <v>#N/A</v>
      </c>
    </row>
    <row r="675" spans="1:11" ht="45.75" thickBot="1" x14ac:dyDescent="0.3">
      <c r="A675" s="53" t="s">
        <v>933</v>
      </c>
      <c r="B675" s="40">
        <v>41019</v>
      </c>
      <c r="C675" s="41" t="s">
        <v>942</v>
      </c>
      <c r="D675" s="30" t="e">
        <f>VLOOKUP(Table13[[#This Row],[kbli5]],Table1[[#All],[kbli5]:[digital_hijau]],3,)</f>
        <v>#N/A</v>
      </c>
      <c r="E675" s="53" t="e">
        <f>VLOOKUP(Table13[[#This Row],[kbli5]],kata_kunci!$B:$H,4,FALSE)</f>
        <v>#N/A</v>
      </c>
      <c r="F675" s="53" t="e">
        <f>VLOOKUP(Table13[[#This Row],[kbli5]],Table1[[#All],[kbli5]:[digital_hijau]],5,)</f>
        <v>#N/A</v>
      </c>
      <c r="G675" s="53" t="e">
        <f>VLOOKUP(Table13[[#This Row],[kbli5]],Table1[[#All],[kbli5]:[digital_hijau]],6,)</f>
        <v>#N/A</v>
      </c>
      <c r="H675" s="54" t="e">
        <f>VLOOKUP(Table13[[#This Row],[kbli5]],kata_kunci!$B:$H,3,FALSE)</f>
        <v>#N/A</v>
      </c>
      <c r="I675" s="84" t="e">
        <f>VLOOKUP(Table13[[#This Row],[kbli5]],kata_kunci!$B:$H,5,FALSE)</f>
        <v>#N/A</v>
      </c>
      <c r="J675" s="84" t="e">
        <f>VLOOKUP(Table13[[#This Row],[kbli5]],kata_kunci!$B:$H,6,FALSE)</f>
        <v>#N/A</v>
      </c>
      <c r="K675" s="84" t="e">
        <f>VLOOKUP(Table13[[#This Row],[kbli5]],kata_kunci!$B:$H,7,FALSE)</f>
        <v>#N/A</v>
      </c>
    </row>
    <row r="676" spans="1:11" ht="30.75" thickBot="1" x14ac:dyDescent="0.3">
      <c r="A676" s="53" t="s">
        <v>933</v>
      </c>
      <c r="B676" s="40">
        <v>41020</v>
      </c>
      <c r="C676" s="41" t="s">
        <v>943</v>
      </c>
      <c r="D676" s="30" t="e">
        <f>VLOOKUP(Table13[[#This Row],[kbli5]],Table1[[#All],[kbli5]:[digital_hijau]],3,)</f>
        <v>#N/A</v>
      </c>
      <c r="E676" s="53" t="e">
        <f>VLOOKUP(Table13[[#This Row],[kbli5]],kata_kunci!$B:$H,4,FALSE)</f>
        <v>#N/A</v>
      </c>
      <c r="F676" s="53" t="e">
        <f>VLOOKUP(Table13[[#This Row],[kbli5]],Table1[[#All],[kbli5]:[digital_hijau]],5,)</f>
        <v>#N/A</v>
      </c>
      <c r="G676" s="53" t="e">
        <f>VLOOKUP(Table13[[#This Row],[kbli5]],Table1[[#All],[kbli5]:[digital_hijau]],6,)</f>
        <v>#N/A</v>
      </c>
      <c r="H676" s="54" t="e">
        <f>VLOOKUP(Table13[[#This Row],[kbli5]],kata_kunci!$B:$H,3,FALSE)</f>
        <v>#N/A</v>
      </c>
      <c r="I676" s="84" t="e">
        <f>VLOOKUP(Table13[[#This Row],[kbli5]],kata_kunci!$B:$H,5,FALSE)</f>
        <v>#N/A</v>
      </c>
      <c r="J676" s="84" t="e">
        <f>VLOOKUP(Table13[[#This Row],[kbli5]],kata_kunci!$B:$H,6,FALSE)</f>
        <v>#N/A</v>
      </c>
      <c r="K676" s="84" t="e">
        <f>VLOOKUP(Table13[[#This Row],[kbli5]],kata_kunci!$B:$H,7,FALSE)</f>
        <v>#N/A</v>
      </c>
    </row>
    <row r="677" spans="1:11" ht="30.75" thickBot="1" x14ac:dyDescent="0.3">
      <c r="A677" s="53" t="s">
        <v>933</v>
      </c>
      <c r="B677" s="40">
        <v>42101</v>
      </c>
      <c r="C677" s="41" t="s">
        <v>944</v>
      </c>
      <c r="D677" s="30" t="e">
        <f>VLOOKUP(Table13[[#This Row],[kbli5]],Table1[[#All],[kbli5]:[digital_hijau]],3,)</f>
        <v>#N/A</v>
      </c>
      <c r="E677" s="53" t="e">
        <f>VLOOKUP(Table13[[#This Row],[kbli5]],kata_kunci!$B:$H,4,FALSE)</f>
        <v>#N/A</v>
      </c>
      <c r="F677" s="53" t="e">
        <f>VLOOKUP(Table13[[#This Row],[kbli5]],Table1[[#All],[kbli5]:[digital_hijau]],5,)</f>
        <v>#N/A</v>
      </c>
      <c r="G677" s="53" t="e">
        <f>VLOOKUP(Table13[[#This Row],[kbli5]],Table1[[#All],[kbli5]:[digital_hijau]],6,)</f>
        <v>#N/A</v>
      </c>
      <c r="H677" s="54" t="e">
        <f>VLOOKUP(Table13[[#This Row],[kbli5]],kata_kunci!$B:$H,3,FALSE)</f>
        <v>#N/A</v>
      </c>
      <c r="I677" s="84" t="e">
        <f>VLOOKUP(Table13[[#This Row],[kbli5]],kata_kunci!$B:$H,5,FALSE)</f>
        <v>#N/A</v>
      </c>
      <c r="J677" s="84" t="e">
        <f>VLOOKUP(Table13[[#This Row],[kbli5]],kata_kunci!$B:$H,6,FALSE)</f>
        <v>#N/A</v>
      </c>
      <c r="K677" s="84" t="e">
        <f>VLOOKUP(Table13[[#This Row],[kbli5]],kata_kunci!$B:$H,7,FALSE)</f>
        <v>#N/A</v>
      </c>
    </row>
    <row r="678" spans="1:11" ht="45.75" thickBot="1" x14ac:dyDescent="0.3">
      <c r="A678" s="53" t="s">
        <v>933</v>
      </c>
      <c r="B678" s="40">
        <v>42102</v>
      </c>
      <c r="C678" s="41" t="s">
        <v>945</v>
      </c>
      <c r="D678" s="30" t="e">
        <f>VLOOKUP(Table13[[#This Row],[kbli5]],Table1[[#All],[kbli5]:[digital_hijau]],3,)</f>
        <v>#N/A</v>
      </c>
      <c r="E678" s="53" t="e">
        <f>VLOOKUP(Table13[[#This Row],[kbli5]],kata_kunci!$B:$H,4,FALSE)</f>
        <v>#N/A</v>
      </c>
      <c r="F678" s="53" t="e">
        <f>VLOOKUP(Table13[[#This Row],[kbli5]],Table1[[#All],[kbli5]:[digital_hijau]],5,)</f>
        <v>#N/A</v>
      </c>
      <c r="G678" s="53" t="e">
        <f>VLOOKUP(Table13[[#This Row],[kbli5]],Table1[[#All],[kbli5]:[digital_hijau]],6,)</f>
        <v>#N/A</v>
      </c>
      <c r="H678" s="54" t="e">
        <f>VLOOKUP(Table13[[#This Row],[kbli5]],kata_kunci!$B:$H,3,FALSE)</f>
        <v>#N/A</v>
      </c>
      <c r="I678" s="84" t="e">
        <f>VLOOKUP(Table13[[#This Row],[kbli5]],kata_kunci!$B:$H,5,FALSE)</f>
        <v>#N/A</v>
      </c>
      <c r="J678" s="84" t="e">
        <f>VLOOKUP(Table13[[#This Row],[kbli5]],kata_kunci!$B:$H,6,FALSE)</f>
        <v>#N/A</v>
      </c>
      <c r="K678" s="84" t="e">
        <f>VLOOKUP(Table13[[#This Row],[kbli5]],kata_kunci!$B:$H,7,FALSE)</f>
        <v>#N/A</v>
      </c>
    </row>
    <row r="679" spans="1:11" ht="15.75" thickBot="1" x14ac:dyDescent="0.3">
      <c r="A679" s="53" t="s">
        <v>933</v>
      </c>
      <c r="B679" s="40">
        <v>42103</v>
      </c>
      <c r="C679" s="41" t="s">
        <v>946</v>
      </c>
      <c r="D679" s="30" t="e">
        <f>VLOOKUP(Table13[[#This Row],[kbli5]],Table1[[#All],[kbli5]:[digital_hijau]],3,)</f>
        <v>#N/A</v>
      </c>
      <c r="E679" s="53" t="e">
        <f>VLOOKUP(Table13[[#This Row],[kbli5]],kata_kunci!$B:$H,4,FALSE)</f>
        <v>#N/A</v>
      </c>
      <c r="F679" s="53" t="e">
        <f>VLOOKUP(Table13[[#This Row],[kbli5]],Table1[[#All],[kbli5]:[digital_hijau]],5,)</f>
        <v>#N/A</v>
      </c>
      <c r="G679" s="53" t="e">
        <f>VLOOKUP(Table13[[#This Row],[kbli5]],Table1[[#All],[kbli5]:[digital_hijau]],6,)</f>
        <v>#N/A</v>
      </c>
      <c r="H679" s="54" t="e">
        <f>VLOOKUP(Table13[[#This Row],[kbli5]],kata_kunci!$B:$H,3,FALSE)</f>
        <v>#N/A</v>
      </c>
      <c r="I679" s="84" t="e">
        <f>VLOOKUP(Table13[[#This Row],[kbli5]],kata_kunci!$B:$H,5,FALSE)</f>
        <v>#N/A</v>
      </c>
      <c r="J679" s="84" t="e">
        <f>VLOOKUP(Table13[[#This Row],[kbli5]],kata_kunci!$B:$H,6,FALSE)</f>
        <v>#N/A</v>
      </c>
      <c r="K679" s="84" t="e">
        <f>VLOOKUP(Table13[[#This Row],[kbli5]],kata_kunci!$B:$H,7,FALSE)</f>
        <v>#N/A</v>
      </c>
    </row>
    <row r="680" spans="1:11" ht="15.75" thickBot="1" x14ac:dyDescent="0.3">
      <c r="A680" s="53" t="s">
        <v>933</v>
      </c>
      <c r="B680" s="40">
        <v>42104</v>
      </c>
      <c r="C680" s="41" t="s">
        <v>947</v>
      </c>
      <c r="D680" s="30" t="e">
        <f>VLOOKUP(Table13[[#This Row],[kbli5]],Table1[[#All],[kbli5]:[digital_hijau]],3,)</f>
        <v>#N/A</v>
      </c>
      <c r="E680" s="53" t="e">
        <f>VLOOKUP(Table13[[#This Row],[kbli5]],kata_kunci!$B:$H,4,FALSE)</f>
        <v>#N/A</v>
      </c>
      <c r="F680" s="53" t="e">
        <f>VLOOKUP(Table13[[#This Row],[kbli5]],Table1[[#All],[kbli5]:[digital_hijau]],5,)</f>
        <v>#N/A</v>
      </c>
      <c r="G680" s="53" t="e">
        <f>VLOOKUP(Table13[[#This Row],[kbli5]],Table1[[#All],[kbli5]:[digital_hijau]],6,)</f>
        <v>#N/A</v>
      </c>
      <c r="H680" s="54" t="e">
        <f>VLOOKUP(Table13[[#This Row],[kbli5]],kata_kunci!$B:$H,3,FALSE)</f>
        <v>#N/A</v>
      </c>
      <c r="I680" s="84" t="e">
        <f>VLOOKUP(Table13[[#This Row],[kbli5]],kata_kunci!$B:$H,5,FALSE)</f>
        <v>#N/A</v>
      </c>
      <c r="J680" s="84" t="e">
        <f>VLOOKUP(Table13[[#This Row],[kbli5]],kata_kunci!$B:$H,6,FALSE)</f>
        <v>#N/A</v>
      </c>
      <c r="K680" s="84" t="e">
        <f>VLOOKUP(Table13[[#This Row],[kbli5]],kata_kunci!$B:$H,7,FALSE)</f>
        <v>#N/A</v>
      </c>
    </row>
    <row r="681" spans="1:11" ht="30.75" thickBot="1" x14ac:dyDescent="0.3">
      <c r="A681" s="53" t="s">
        <v>933</v>
      </c>
      <c r="B681" s="40">
        <v>42201</v>
      </c>
      <c r="C681" s="41" t="s">
        <v>948</v>
      </c>
      <c r="D681" s="30" t="e">
        <f>VLOOKUP(Table13[[#This Row],[kbli5]],Table1[[#All],[kbli5]:[digital_hijau]],3,)</f>
        <v>#N/A</v>
      </c>
      <c r="E681" s="53" t="e">
        <f>VLOOKUP(Table13[[#This Row],[kbli5]],kata_kunci!$B:$H,4,FALSE)</f>
        <v>#N/A</v>
      </c>
      <c r="F681" s="53" t="e">
        <f>VLOOKUP(Table13[[#This Row],[kbli5]],Table1[[#All],[kbli5]:[digital_hijau]],5,)</f>
        <v>#N/A</v>
      </c>
      <c r="G681" s="53" t="e">
        <f>VLOOKUP(Table13[[#This Row],[kbli5]],Table1[[#All],[kbli5]:[digital_hijau]],6,)</f>
        <v>#N/A</v>
      </c>
      <c r="H681" s="54" t="e">
        <f>VLOOKUP(Table13[[#This Row],[kbli5]],kata_kunci!$B:$H,3,FALSE)</f>
        <v>#N/A</v>
      </c>
      <c r="I681" s="84" t="e">
        <f>VLOOKUP(Table13[[#This Row],[kbli5]],kata_kunci!$B:$H,5,FALSE)</f>
        <v>#N/A</v>
      </c>
      <c r="J681" s="84" t="e">
        <f>VLOOKUP(Table13[[#This Row],[kbli5]],kata_kunci!$B:$H,6,FALSE)</f>
        <v>#N/A</v>
      </c>
      <c r="K681" s="84" t="e">
        <f>VLOOKUP(Table13[[#This Row],[kbli5]],kata_kunci!$B:$H,7,FALSE)</f>
        <v>#N/A</v>
      </c>
    </row>
    <row r="682" spans="1:11" ht="45.75" thickBot="1" x14ac:dyDescent="0.3">
      <c r="A682" s="53" t="s">
        <v>933</v>
      </c>
      <c r="B682" s="40">
        <v>42202</v>
      </c>
      <c r="C682" s="41" t="s">
        <v>949</v>
      </c>
      <c r="D682" s="30" t="e">
        <f>VLOOKUP(Table13[[#This Row],[kbli5]],Table1[[#All],[kbli5]:[digital_hijau]],3,)</f>
        <v>#N/A</v>
      </c>
      <c r="E682" s="53" t="e">
        <f>VLOOKUP(Table13[[#This Row],[kbli5]],kata_kunci!$B:$H,4,FALSE)</f>
        <v>#N/A</v>
      </c>
      <c r="F682" s="53" t="e">
        <f>VLOOKUP(Table13[[#This Row],[kbli5]],Table1[[#All],[kbli5]:[digital_hijau]],5,)</f>
        <v>#N/A</v>
      </c>
      <c r="G682" s="53" t="e">
        <f>VLOOKUP(Table13[[#This Row],[kbli5]],Table1[[#All],[kbli5]:[digital_hijau]],6,)</f>
        <v>#N/A</v>
      </c>
      <c r="H682" s="54" t="e">
        <f>VLOOKUP(Table13[[#This Row],[kbli5]],kata_kunci!$B:$H,3,FALSE)</f>
        <v>#N/A</v>
      </c>
      <c r="I682" s="84" t="e">
        <f>VLOOKUP(Table13[[#This Row],[kbli5]],kata_kunci!$B:$H,5,FALSE)</f>
        <v>#N/A</v>
      </c>
      <c r="J682" s="84" t="e">
        <f>VLOOKUP(Table13[[#This Row],[kbli5]],kata_kunci!$B:$H,6,FALSE)</f>
        <v>#N/A</v>
      </c>
      <c r="K682" s="84" t="e">
        <f>VLOOKUP(Table13[[#This Row],[kbli5]],kata_kunci!$B:$H,7,FALSE)</f>
        <v>#N/A</v>
      </c>
    </row>
    <row r="683" spans="1:11" ht="45.75" thickBot="1" x14ac:dyDescent="0.3">
      <c r="A683" s="53" t="s">
        <v>933</v>
      </c>
      <c r="B683" s="40">
        <v>42203</v>
      </c>
      <c r="C683" s="41" t="s">
        <v>950</v>
      </c>
      <c r="D683" s="30" t="e">
        <f>VLOOKUP(Table13[[#This Row],[kbli5]],Table1[[#All],[kbli5]:[digital_hijau]],3,)</f>
        <v>#N/A</v>
      </c>
      <c r="E683" s="53" t="e">
        <f>VLOOKUP(Table13[[#This Row],[kbli5]],kata_kunci!$B:$H,4,FALSE)</f>
        <v>#N/A</v>
      </c>
      <c r="F683" s="53" t="e">
        <f>VLOOKUP(Table13[[#This Row],[kbli5]],Table1[[#All],[kbli5]:[digital_hijau]],5,)</f>
        <v>#N/A</v>
      </c>
      <c r="G683" s="53" t="e">
        <f>VLOOKUP(Table13[[#This Row],[kbli5]],Table1[[#All],[kbli5]:[digital_hijau]],6,)</f>
        <v>#N/A</v>
      </c>
      <c r="H683" s="54" t="e">
        <f>VLOOKUP(Table13[[#This Row],[kbli5]],kata_kunci!$B:$H,3,FALSE)</f>
        <v>#N/A</v>
      </c>
      <c r="I683" s="84" t="e">
        <f>VLOOKUP(Table13[[#This Row],[kbli5]],kata_kunci!$B:$H,5,FALSE)</f>
        <v>#N/A</v>
      </c>
      <c r="J683" s="84" t="e">
        <f>VLOOKUP(Table13[[#This Row],[kbli5]],kata_kunci!$B:$H,6,FALSE)</f>
        <v>#N/A</v>
      </c>
      <c r="K683" s="84" t="e">
        <f>VLOOKUP(Table13[[#This Row],[kbli5]],kata_kunci!$B:$H,7,FALSE)</f>
        <v>#N/A</v>
      </c>
    </row>
    <row r="684" spans="1:11" ht="30.75" thickBot="1" x14ac:dyDescent="0.3">
      <c r="A684" s="53" t="s">
        <v>933</v>
      </c>
      <c r="B684" s="40">
        <v>42204</v>
      </c>
      <c r="C684" s="41" t="s">
        <v>951</v>
      </c>
      <c r="D684" s="30" t="e">
        <f>VLOOKUP(Table13[[#This Row],[kbli5]],Table1[[#All],[kbli5]:[digital_hijau]],3,)</f>
        <v>#N/A</v>
      </c>
      <c r="E684" s="53" t="e">
        <f>VLOOKUP(Table13[[#This Row],[kbli5]],kata_kunci!$B:$H,4,FALSE)</f>
        <v>#N/A</v>
      </c>
      <c r="F684" s="53" t="e">
        <f>VLOOKUP(Table13[[#This Row],[kbli5]],Table1[[#All],[kbli5]:[digital_hijau]],5,)</f>
        <v>#N/A</v>
      </c>
      <c r="G684" s="53" t="e">
        <f>VLOOKUP(Table13[[#This Row],[kbli5]],Table1[[#All],[kbli5]:[digital_hijau]],6,)</f>
        <v>#N/A</v>
      </c>
      <c r="H684" s="54" t="e">
        <f>VLOOKUP(Table13[[#This Row],[kbli5]],kata_kunci!$B:$H,3,FALSE)</f>
        <v>#N/A</v>
      </c>
      <c r="I684" s="84" t="e">
        <f>VLOOKUP(Table13[[#This Row],[kbli5]],kata_kunci!$B:$H,5,FALSE)</f>
        <v>#N/A</v>
      </c>
      <c r="J684" s="84" t="e">
        <f>VLOOKUP(Table13[[#This Row],[kbli5]],kata_kunci!$B:$H,6,FALSE)</f>
        <v>#N/A</v>
      </c>
      <c r="K684" s="84" t="e">
        <f>VLOOKUP(Table13[[#This Row],[kbli5]],kata_kunci!$B:$H,7,FALSE)</f>
        <v>#N/A</v>
      </c>
    </row>
    <row r="685" spans="1:11" ht="45.75" thickBot="1" x14ac:dyDescent="0.3">
      <c r="A685" s="53" t="s">
        <v>933</v>
      </c>
      <c r="B685" s="40">
        <v>42205</v>
      </c>
      <c r="C685" s="41" t="s">
        <v>952</v>
      </c>
      <c r="D685" s="30" t="e">
        <f>VLOOKUP(Table13[[#This Row],[kbli5]],Table1[[#All],[kbli5]:[digital_hijau]],3,)</f>
        <v>#N/A</v>
      </c>
      <c r="E685" s="53" t="e">
        <f>VLOOKUP(Table13[[#This Row],[kbli5]],kata_kunci!$B:$H,4,FALSE)</f>
        <v>#N/A</v>
      </c>
      <c r="F685" s="53" t="e">
        <f>VLOOKUP(Table13[[#This Row],[kbli5]],Table1[[#All],[kbli5]:[digital_hijau]],5,)</f>
        <v>#N/A</v>
      </c>
      <c r="G685" s="53" t="e">
        <f>VLOOKUP(Table13[[#This Row],[kbli5]],Table1[[#All],[kbli5]:[digital_hijau]],6,)</f>
        <v>#N/A</v>
      </c>
      <c r="H685" s="54" t="e">
        <f>VLOOKUP(Table13[[#This Row],[kbli5]],kata_kunci!$B:$H,3,FALSE)</f>
        <v>#N/A</v>
      </c>
      <c r="I685" s="84" t="e">
        <f>VLOOKUP(Table13[[#This Row],[kbli5]],kata_kunci!$B:$H,5,FALSE)</f>
        <v>#N/A</v>
      </c>
      <c r="J685" s="84" t="e">
        <f>VLOOKUP(Table13[[#This Row],[kbli5]],kata_kunci!$B:$H,6,FALSE)</f>
        <v>#N/A</v>
      </c>
      <c r="K685" s="84" t="e">
        <f>VLOOKUP(Table13[[#This Row],[kbli5]],kata_kunci!$B:$H,7,FALSE)</f>
        <v>#N/A</v>
      </c>
    </row>
    <row r="686" spans="1:11" ht="30.75" thickBot="1" x14ac:dyDescent="0.3">
      <c r="A686" s="53" t="s">
        <v>933</v>
      </c>
      <c r="B686" s="40">
        <v>42206</v>
      </c>
      <c r="C686" s="41" t="s">
        <v>953</v>
      </c>
      <c r="D686" s="30" t="e">
        <f>VLOOKUP(Table13[[#This Row],[kbli5]],Table1[[#All],[kbli5]:[digital_hijau]],3,)</f>
        <v>#N/A</v>
      </c>
      <c r="E686" s="53" t="e">
        <f>VLOOKUP(Table13[[#This Row],[kbli5]],kata_kunci!$B:$H,4,FALSE)</f>
        <v>#N/A</v>
      </c>
      <c r="F686" s="53" t="e">
        <f>VLOOKUP(Table13[[#This Row],[kbli5]],Table1[[#All],[kbli5]:[digital_hijau]],5,)</f>
        <v>#N/A</v>
      </c>
      <c r="G686" s="53" t="e">
        <f>VLOOKUP(Table13[[#This Row],[kbli5]],Table1[[#All],[kbli5]:[digital_hijau]],6,)</f>
        <v>#N/A</v>
      </c>
      <c r="H686" s="54" t="e">
        <f>VLOOKUP(Table13[[#This Row],[kbli5]],kata_kunci!$B:$H,3,FALSE)</f>
        <v>#N/A</v>
      </c>
      <c r="I686" s="84" t="e">
        <f>VLOOKUP(Table13[[#This Row],[kbli5]],kata_kunci!$B:$H,5,FALSE)</f>
        <v>#N/A</v>
      </c>
      <c r="J686" s="84" t="e">
        <f>VLOOKUP(Table13[[#This Row],[kbli5]],kata_kunci!$B:$H,6,FALSE)</f>
        <v>#N/A</v>
      </c>
      <c r="K686" s="84" t="e">
        <f>VLOOKUP(Table13[[#This Row],[kbli5]],kata_kunci!$B:$H,7,FALSE)</f>
        <v>#N/A</v>
      </c>
    </row>
    <row r="687" spans="1:11" ht="45.75" thickBot="1" x14ac:dyDescent="0.3">
      <c r="A687" s="53" t="s">
        <v>933</v>
      </c>
      <c r="B687" s="40">
        <v>42207</v>
      </c>
      <c r="C687" s="41" t="s">
        <v>954</v>
      </c>
      <c r="D687" s="30" t="e">
        <f>VLOOKUP(Table13[[#This Row],[kbli5]],Table1[[#All],[kbli5]:[digital_hijau]],3,)</f>
        <v>#N/A</v>
      </c>
      <c r="E687" s="53" t="e">
        <f>VLOOKUP(Table13[[#This Row],[kbli5]],kata_kunci!$B:$H,4,FALSE)</f>
        <v>#N/A</v>
      </c>
      <c r="F687" s="53" t="e">
        <f>VLOOKUP(Table13[[#This Row],[kbli5]],Table1[[#All],[kbli5]:[digital_hijau]],5,)</f>
        <v>#N/A</v>
      </c>
      <c r="G687" s="53" t="e">
        <f>VLOOKUP(Table13[[#This Row],[kbli5]],Table1[[#All],[kbli5]:[digital_hijau]],6,)</f>
        <v>#N/A</v>
      </c>
      <c r="H687" s="54" t="e">
        <f>VLOOKUP(Table13[[#This Row],[kbli5]],kata_kunci!$B:$H,3,FALSE)</f>
        <v>#N/A</v>
      </c>
      <c r="I687" s="84" t="e">
        <f>VLOOKUP(Table13[[#This Row],[kbli5]],kata_kunci!$B:$H,5,FALSE)</f>
        <v>#N/A</v>
      </c>
      <c r="J687" s="84" t="e">
        <f>VLOOKUP(Table13[[#This Row],[kbli5]],kata_kunci!$B:$H,6,FALSE)</f>
        <v>#N/A</v>
      </c>
      <c r="K687" s="84" t="e">
        <f>VLOOKUP(Table13[[#This Row],[kbli5]],kata_kunci!$B:$H,7,FALSE)</f>
        <v>#N/A</v>
      </c>
    </row>
    <row r="688" spans="1:11" ht="30.75" thickBot="1" x14ac:dyDescent="0.3">
      <c r="A688" s="53" t="s">
        <v>933</v>
      </c>
      <c r="B688" s="40">
        <v>42209</v>
      </c>
      <c r="C688" s="41" t="s">
        <v>955</v>
      </c>
      <c r="D688" s="30" t="e">
        <f>VLOOKUP(Table13[[#This Row],[kbli5]],Table1[[#All],[kbli5]:[digital_hijau]],3,)</f>
        <v>#N/A</v>
      </c>
      <c r="E688" s="53" t="e">
        <f>VLOOKUP(Table13[[#This Row],[kbli5]],kata_kunci!$B:$H,4,FALSE)</f>
        <v>#N/A</v>
      </c>
      <c r="F688" s="53" t="e">
        <f>VLOOKUP(Table13[[#This Row],[kbli5]],Table1[[#All],[kbli5]:[digital_hijau]],5,)</f>
        <v>#N/A</v>
      </c>
      <c r="G688" s="53" t="e">
        <f>VLOOKUP(Table13[[#This Row],[kbli5]],Table1[[#All],[kbli5]:[digital_hijau]],6,)</f>
        <v>#N/A</v>
      </c>
      <c r="H688" s="54" t="e">
        <f>VLOOKUP(Table13[[#This Row],[kbli5]],kata_kunci!$B:$H,3,FALSE)</f>
        <v>#N/A</v>
      </c>
      <c r="I688" s="84" t="e">
        <f>VLOOKUP(Table13[[#This Row],[kbli5]],kata_kunci!$B:$H,5,FALSE)</f>
        <v>#N/A</v>
      </c>
      <c r="J688" s="84" t="e">
        <f>VLOOKUP(Table13[[#This Row],[kbli5]],kata_kunci!$B:$H,6,FALSE)</f>
        <v>#N/A</v>
      </c>
      <c r="K688" s="84" t="e">
        <f>VLOOKUP(Table13[[#This Row],[kbli5]],kata_kunci!$B:$H,7,FALSE)</f>
        <v>#N/A</v>
      </c>
    </row>
    <row r="689" spans="1:11" ht="45.75" thickBot="1" x14ac:dyDescent="0.3">
      <c r="A689" s="53" t="s">
        <v>933</v>
      </c>
      <c r="B689" s="40">
        <v>42911</v>
      </c>
      <c r="C689" s="41" t="s">
        <v>956</v>
      </c>
      <c r="D689" s="30" t="e">
        <f>VLOOKUP(Table13[[#This Row],[kbli5]],Table1[[#All],[kbli5]:[digital_hijau]],3,)</f>
        <v>#N/A</v>
      </c>
      <c r="E689" s="53" t="e">
        <f>VLOOKUP(Table13[[#This Row],[kbli5]],kata_kunci!$B:$H,4,FALSE)</f>
        <v>#N/A</v>
      </c>
      <c r="F689" s="53" t="e">
        <f>VLOOKUP(Table13[[#This Row],[kbli5]],Table1[[#All],[kbli5]:[digital_hijau]],5,)</f>
        <v>#N/A</v>
      </c>
      <c r="G689" s="53" t="e">
        <f>VLOOKUP(Table13[[#This Row],[kbli5]],Table1[[#All],[kbli5]:[digital_hijau]],6,)</f>
        <v>#N/A</v>
      </c>
      <c r="H689" s="54" t="e">
        <f>VLOOKUP(Table13[[#This Row],[kbli5]],kata_kunci!$B:$H,3,FALSE)</f>
        <v>#N/A</v>
      </c>
      <c r="I689" s="84" t="e">
        <f>VLOOKUP(Table13[[#This Row],[kbli5]],kata_kunci!$B:$H,5,FALSE)</f>
        <v>#N/A</v>
      </c>
      <c r="J689" s="84" t="e">
        <f>VLOOKUP(Table13[[#This Row],[kbli5]],kata_kunci!$B:$H,6,FALSE)</f>
        <v>#N/A</v>
      </c>
      <c r="K689" s="84" t="e">
        <f>VLOOKUP(Table13[[#This Row],[kbli5]],kata_kunci!$B:$H,7,FALSE)</f>
        <v>#N/A</v>
      </c>
    </row>
    <row r="690" spans="1:11" ht="45.75" thickBot="1" x14ac:dyDescent="0.3">
      <c r="A690" s="53" t="s">
        <v>933</v>
      </c>
      <c r="B690" s="40">
        <v>42912</v>
      </c>
      <c r="C690" s="41" t="s">
        <v>957</v>
      </c>
      <c r="D690" s="30" t="e">
        <f>VLOOKUP(Table13[[#This Row],[kbli5]],Table1[[#All],[kbli5]:[digital_hijau]],3,)</f>
        <v>#N/A</v>
      </c>
      <c r="E690" s="53" t="e">
        <f>VLOOKUP(Table13[[#This Row],[kbli5]],kata_kunci!$B:$H,4,FALSE)</f>
        <v>#N/A</v>
      </c>
      <c r="F690" s="53" t="e">
        <f>VLOOKUP(Table13[[#This Row],[kbli5]],Table1[[#All],[kbli5]:[digital_hijau]],5,)</f>
        <v>#N/A</v>
      </c>
      <c r="G690" s="53" t="e">
        <f>VLOOKUP(Table13[[#This Row],[kbli5]],Table1[[#All],[kbli5]:[digital_hijau]],6,)</f>
        <v>#N/A</v>
      </c>
      <c r="H690" s="54" t="e">
        <f>VLOOKUP(Table13[[#This Row],[kbli5]],kata_kunci!$B:$H,3,FALSE)</f>
        <v>#N/A</v>
      </c>
      <c r="I690" s="84" t="e">
        <f>VLOOKUP(Table13[[#This Row],[kbli5]],kata_kunci!$B:$H,5,FALSE)</f>
        <v>#N/A</v>
      </c>
      <c r="J690" s="84" t="e">
        <f>VLOOKUP(Table13[[#This Row],[kbli5]],kata_kunci!$B:$H,6,FALSE)</f>
        <v>#N/A</v>
      </c>
      <c r="K690" s="84" t="e">
        <f>VLOOKUP(Table13[[#This Row],[kbli5]],kata_kunci!$B:$H,7,FALSE)</f>
        <v>#N/A</v>
      </c>
    </row>
    <row r="691" spans="1:11" ht="30.75" thickBot="1" x14ac:dyDescent="0.3">
      <c r="A691" s="53" t="s">
        <v>933</v>
      </c>
      <c r="B691" s="40">
        <v>42913</v>
      </c>
      <c r="C691" s="41" t="s">
        <v>958</v>
      </c>
      <c r="D691" s="30" t="e">
        <f>VLOOKUP(Table13[[#This Row],[kbli5]],Table1[[#All],[kbli5]:[digital_hijau]],3,)</f>
        <v>#N/A</v>
      </c>
      <c r="E691" s="53" t="e">
        <f>VLOOKUP(Table13[[#This Row],[kbli5]],kata_kunci!$B:$H,4,FALSE)</f>
        <v>#N/A</v>
      </c>
      <c r="F691" s="53" t="e">
        <f>VLOOKUP(Table13[[#This Row],[kbli5]],Table1[[#All],[kbli5]:[digital_hijau]],5,)</f>
        <v>#N/A</v>
      </c>
      <c r="G691" s="53" t="e">
        <f>VLOOKUP(Table13[[#This Row],[kbli5]],Table1[[#All],[kbli5]:[digital_hijau]],6,)</f>
        <v>#N/A</v>
      </c>
      <c r="H691" s="54" t="e">
        <f>VLOOKUP(Table13[[#This Row],[kbli5]],kata_kunci!$B:$H,3,FALSE)</f>
        <v>#N/A</v>
      </c>
      <c r="I691" s="84" t="e">
        <f>VLOOKUP(Table13[[#This Row],[kbli5]],kata_kunci!$B:$H,5,FALSE)</f>
        <v>#N/A</v>
      </c>
      <c r="J691" s="84" t="e">
        <f>VLOOKUP(Table13[[#This Row],[kbli5]],kata_kunci!$B:$H,6,FALSE)</f>
        <v>#N/A</v>
      </c>
      <c r="K691" s="84" t="e">
        <f>VLOOKUP(Table13[[#This Row],[kbli5]],kata_kunci!$B:$H,7,FALSE)</f>
        <v>#N/A</v>
      </c>
    </row>
    <row r="692" spans="1:11" ht="45.75" thickBot="1" x14ac:dyDescent="0.3">
      <c r="A692" s="53" t="s">
        <v>933</v>
      </c>
      <c r="B692" s="40">
        <v>42914</v>
      </c>
      <c r="C692" s="41" t="s">
        <v>959</v>
      </c>
      <c r="D692" s="30" t="e">
        <f>VLOOKUP(Table13[[#This Row],[kbli5]],Table1[[#All],[kbli5]:[digital_hijau]],3,)</f>
        <v>#N/A</v>
      </c>
      <c r="E692" s="53" t="e">
        <f>VLOOKUP(Table13[[#This Row],[kbli5]],kata_kunci!$B:$H,4,FALSE)</f>
        <v>#N/A</v>
      </c>
      <c r="F692" s="53" t="e">
        <f>VLOOKUP(Table13[[#This Row],[kbli5]],Table1[[#All],[kbli5]:[digital_hijau]],5,)</f>
        <v>#N/A</v>
      </c>
      <c r="G692" s="53" t="e">
        <f>VLOOKUP(Table13[[#This Row],[kbli5]],Table1[[#All],[kbli5]:[digital_hijau]],6,)</f>
        <v>#N/A</v>
      </c>
      <c r="H692" s="54" t="e">
        <f>VLOOKUP(Table13[[#This Row],[kbli5]],kata_kunci!$B:$H,3,FALSE)</f>
        <v>#N/A</v>
      </c>
      <c r="I692" s="84" t="e">
        <f>VLOOKUP(Table13[[#This Row],[kbli5]],kata_kunci!$B:$H,5,FALSE)</f>
        <v>#N/A</v>
      </c>
      <c r="J692" s="84" t="e">
        <f>VLOOKUP(Table13[[#This Row],[kbli5]],kata_kunci!$B:$H,6,FALSE)</f>
        <v>#N/A</v>
      </c>
      <c r="K692" s="84" t="e">
        <f>VLOOKUP(Table13[[#This Row],[kbli5]],kata_kunci!$B:$H,7,FALSE)</f>
        <v>#N/A</v>
      </c>
    </row>
    <row r="693" spans="1:11" ht="30.75" thickBot="1" x14ac:dyDescent="0.3">
      <c r="A693" s="53" t="s">
        <v>933</v>
      </c>
      <c r="B693" s="40">
        <v>42915</v>
      </c>
      <c r="C693" s="41" t="s">
        <v>960</v>
      </c>
      <c r="D693" s="30" t="e">
        <f>VLOOKUP(Table13[[#This Row],[kbli5]],Table1[[#All],[kbli5]:[digital_hijau]],3,)</f>
        <v>#N/A</v>
      </c>
      <c r="E693" s="53" t="e">
        <f>VLOOKUP(Table13[[#This Row],[kbli5]],kata_kunci!$B:$H,4,FALSE)</f>
        <v>#N/A</v>
      </c>
      <c r="F693" s="53" t="e">
        <f>VLOOKUP(Table13[[#This Row],[kbli5]],Table1[[#All],[kbli5]:[digital_hijau]],5,)</f>
        <v>#N/A</v>
      </c>
      <c r="G693" s="53" t="e">
        <f>VLOOKUP(Table13[[#This Row],[kbli5]],Table1[[#All],[kbli5]:[digital_hijau]],6,)</f>
        <v>#N/A</v>
      </c>
      <c r="H693" s="54" t="e">
        <f>VLOOKUP(Table13[[#This Row],[kbli5]],kata_kunci!$B:$H,3,FALSE)</f>
        <v>#N/A</v>
      </c>
      <c r="I693" s="84" t="e">
        <f>VLOOKUP(Table13[[#This Row],[kbli5]],kata_kunci!$B:$H,5,FALSE)</f>
        <v>#N/A</v>
      </c>
      <c r="J693" s="84" t="e">
        <f>VLOOKUP(Table13[[#This Row],[kbli5]],kata_kunci!$B:$H,6,FALSE)</f>
        <v>#N/A</v>
      </c>
      <c r="K693" s="84" t="e">
        <f>VLOOKUP(Table13[[#This Row],[kbli5]],kata_kunci!$B:$H,7,FALSE)</f>
        <v>#N/A</v>
      </c>
    </row>
    <row r="694" spans="1:11" ht="45.75" thickBot="1" x14ac:dyDescent="0.3">
      <c r="A694" s="53" t="s">
        <v>933</v>
      </c>
      <c r="B694" s="40">
        <v>42919</v>
      </c>
      <c r="C694" s="41" t="s">
        <v>961</v>
      </c>
      <c r="D694" s="30" t="e">
        <f>VLOOKUP(Table13[[#This Row],[kbli5]],Table1[[#All],[kbli5]:[digital_hijau]],3,)</f>
        <v>#N/A</v>
      </c>
      <c r="E694" s="53" t="e">
        <f>VLOOKUP(Table13[[#This Row],[kbli5]],kata_kunci!$B:$H,4,FALSE)</f>
        <v>#N/A</v>
      </c>
      <c r="F694" s="53" t="e">
        <f>VLOOKUP(Table13[[#This Row],[kbli5]],Table1[[#All],[kbli5]:[digital_hijau]],5,)</f>
        <v>#N/A</v>
      </c>
      <c r="G694" s="53" t="e">
        <f>VLOOKUP(Table13[[#This Row],[kbli5]],Table1[[#All],[kbli5]:[digital_hijau]],6,)</f>
        <v>#N/A</v>
      </c>
      <c r="H694" s="54" t="e">
        <f>VLOOKUP(Table13[[#This Row],[kbli5]],kata_kunci!$B:$H,3,FALSE)</f>
        <v>#N/A</v>
      </c>
      <c r="I694" s="84" t="e">
        <f>VLOOKUP(Table13[[#This Row],[kbli5]],kata_kunci!$B:$H,5,FALSE)</f>
        <v>#N/A</v>
      </c>
      <c r="J694" s="84" t="e">
        <f>VLOOKUP(Table13[[#This Row],[kbli5]],kata_kunci!$B:$H,6,FALSE)</f>
        <v>#N/A</v>
      </c>
      <c r="K694" s="84" t="e">
        <f>VLOOKUP(Table13[[#This Row],[kbli5]],kata_kunci!$B:$H,7,FALSE)</f>
        <v>#N/A</v>
      </c>
    </row>
    <row r="695" spans="1:11" ht="45.75" thickBot="1" x14ac:dyDescent="0.3">
      <c r="A695" s="53" t="s">
        <v>933</v>
      </c>
      <c r="B695" s="40">
        <v>42991</v>
      </c>
      <c r="C695" s="41" t="s">
        <v>962</v>
      </c>
      <c r="D695" s="30" t="e">
        <f>VLOOKUP(Table13[[#This Row],[kbli5]],Table1[[#All],[kbli5]:[digital_hijau]],3,)</f>
        <v>#N/A</v>
      </c>
      <c r="E695" s="53" t="e">
        <f>VLOOKUP(Table13[[#This Row],[kbli5]],kata_kunci!$B:$H,4,FALSE)</f>
        <v>#N/A</v>
      </c>
      <c r="F695" s="53" t="e">
        <f>VLOOKUP(Table13[[#This Row],[kbli5]],Table1[[#All],[kbli5]:[digital_hijau]],5,)</f>
        <v>#N/A</v>
      </c>
      <c r="G695" s="53" t="e">
        <f>VLOOKUP(Table13[[#This Row],[kbli5]],Table1[[#All],[kbli5]:[digital_hijau]],6,)</f>
        <v>#N/A</v>
      </c>
      <c r="H695" s="54" t="e">
        <f>VLOOKUP(Table13[[#This Row],[kbli5]],kata_kunci!$B:$H,3,FALSE)</f>
        <v>#N/A</v>
      </c>
      <c r="I695" s="84" t="e">
        <f>VLOOKUP(Table13[[#This Row],[kbli5]],kata_kunci!$B:$H,5,FALSE)</f>
        <v>#N/A</v>
      </c>
      <c r="J695" s="84" t="e">
        <f>VLOOKUP(Table13[[#This Row],[kbli5]],kata_kunci!$B:$H,6,FALSE)</f>
        <v>#N/A</v>
      </c>
      <c r="K695" s="84" t="e">
        <f>VLOOKUP(Table13[[#This Row],[kbli5]],kata_kunci!$B:$H,7,FALSE)</f>
        <v>#N/A</v>
      </c>
    </row>
    <row r="696" spans="1:11" ht="30.75" thickBot="1" x14ac:dyDescent="0.3">
      <c r="A696" s="53" t="s">
        <v>933</v>
      </c>
      <c r="B696" s="40">
        <v>42992</v>
      </c>
      <c r="C696" s="41" t="s">
        <v>963</v>
      </c>
      <c r="D696" s="30" t="e">
        <f>VLOOKUP(Table13[[#This Row],[kbli5]],Table1[[#All],[kbli5]:[digital_hijau]],3,)</f>
        <v>#N/A</v>
      </c>
      <c r="E696" s="53" t="e">
        <f>VLOOKUP(Table13[[#This Row],[kbli5]],kata_kunci!$B:$H,4,FALSE)</f>
        <v>#N/A</v>
      </c>
      <c r="F696" s="53" t="e">
        <f>VLOOKUP(Table13[[#This Row],[kbli5]],Table1[[#All],[kbli5]:[digital_hijau]],5,)</f>
        <v>#N/A</v>
      </c>
      <c r="G696" s="53" t="e">
        <f>VLOOKUP(Table13[[#This Row],[kbli5]],Table1[[#All],[kbli5]:[digital_hijau]],6,)</f>
        <v>#N/A</v>
      </c>
      <c r="H696" s="54" t="e">
        <f>VLOOKUP(Table13[[#This Row],[kbli5]],kata_kunci!$B:$H,3,FALSE)</f>
        <v>#N/A</v>
      </c>
      <c r="I696" s="84" t="e">
        <f>VLOOKUP(Table13[[#This Row],[kbli5]],kata_kunci!$B:$H,5,FALSE)</f>
        <v>#N/A</v>
      </c>
      <c r="J696" s="84" t="e">
        <f>VLOOKUP(Table13[[#This Row],[kbli5]],kata_kunci!$B:$H,6,FALSE)</f>
        <v>#N/A</v>
      </c>
      <c r="K696" s="84" t="e">
        <f>VLOOKUP(Table13[[#This Row],[kbli5]],kata_kunci!$B:$H,7,FALSE)</f>
        <v>#N/A</v>
      </c>
    </row>
    <row r="697" spans="1:11" ht="30.75" thickBot="1" x14ac:dyDescent="0.3">
      <c r="A697" s="53" t="s">
        <v>933</v>
      </c>
      <c r="B697" s="40">
        <v>42993</v>
      </c>
      <c r="C697" s="41" t="s">
        <v>964</v>
      </c>
      <c r="D697" s="30" t="e">
        <f>VLOOKUP(Table13[[#This Row],[kbli5]],Table1[[#All],[kbli5]:[digital_hijau]],3,)</f>
        <v>#N/A</v>
      </c>
      <c r="E697" s="53" t="e">
        <f>VLOOKUP(Table13[[#This Row],[kbli5]],kata_kunci!$B:$H,4,FALSE)</f>
        <v>#N/A</v>
      </c>
      <c r="F697" s="53" t="e">
        <f>VLOOKUP(Table13[[#This Row],[kbli5]],Table1[[#All],[kbli5]:[digital_hijau]],5,)</f>
        <v>#N/A</v>
      </c>
      <c r="G697" s="53" t="e">
        <f>VLOOKUP(Table13[[#This Row],[kbli5]],Table1[[#All],[kbli5]:[digital_hijau]],6,)</f>
        <v>#N/A</v>
      </c>
      <c r="H697" s="54" t="e">
        <f>VLOOKUP(Table13[[#This Row],[kbli5]],kata_kunci!$B:$H,3,FALSE)</f>
        <v>#N/A</v>
      </c>
      <c r="I697" s="84" t="e">
        <f>VLOOKUP(Table13[[#This Row],[kbli5]],kata_kunci!$B:$H,5,FALSE)</f>
        <v>#N/A</v>
      </c>
      <c r="J697" s="84" t="e">
        <f>VLOOKUP(Table13[[#This Row],[kbli5]],kata_kunci!$B:$H,6,FALSE)</f>
        <v>#N/A</v>
      </c>
      <c r="K697" s="84" t="e">
        <f>VLOOKUP(Table13[[#This Row],[kbli5]],kata_kunci!$B:$H,7,FALSE)</f>
        <v>#N/A</v>
      </c>
    </row>
    <row r="698" spans="1:11" ht="30.75" thickBot="1" x14ac:dyDescent="0.3">
      <c r="A698" s="53" t="s">
        <v>933</v>
      </c>
      <c r="B698" s="40">
        <v>42994</v>
      </c>
      <c r="C698" s="41" t="s">
        <v>965</v>
      </c>
      <c r="D698" s="30" t="e">
        <f>VLOOKUP(Table13[[#This Row],[kbli5]],Table1[[#All],[kbli5]:[digital_hijau]],3,)</f>
        <v>#N/A</v>
      </c>
      <c r="E698" s="53" t="e">
        <f>VLOOKUP(Table13[[#This Row],[kbli5]],kata_kunci!$B:$H,4,FALSE)</f>
        <v>#N/A</v>
      </c>
      <c r="F698" s="53" t="e">
        <f>VLOOKUP(Table13[[#This Row],[kbli5]],Table1[[#All],[kbli5]:[digital_hijau]],5,)</f>
        <v>#N/A</v>
      </c>
      <c r="G698" s="53" t="e">
        <f>VLOOKUP(Table13[[#This Row],[kbli5]],Table1[[#All],[kbli5]:[digital_hijau]],6,)</f>
        <v>#N/A</v>
      </c>
      <c r="H698" s="54" t="e">
        <f>VLOOKUP(Table13[[#This Row],[kbli5]],kata_kunci!$B:$H,3,FALSE)</f>
        <v>#N/A</v>
      </c>
      <c r="I698" s="84" t="e">
        <f>VLOOKUP(Table13[[#This Row],[kbli5]],kata_kunci!$B:$H,5,FALSE)</f>
        <v>#N/A</v>
      </c>
      <c r="J698" s="84" t="e">
        <f>VLOOKUP(Table13[[#This Row],[kbli5]],kata_kunci!$B:$H,6,FALSE)</f>
        <v>#N/A</v>
      </c>
      <c r="K698" s="84" t="e">
        <f>VLOOKUP(Table13[[#This Row],[kbli5]],kata_kunci!$B:$H,7,FALSE)</f>
        <v>#N/A</v>
      </c>
    </row>
    <row r="699" spans="1:11" ht="45.75" thickBot="1" x14ac:dyDescent="0.3">
      <c r="A699" s="53" t="s">
        <v>933</v>
      </c>
      <c r="B699" s="40">
        <v>42995</v>
      </c>
      <c r="C699" s="41" t="s">
        <v>966</v>
      </c>
      <c r="D699" s="30" t="e">
        <f>VLOOKUP(Table13[[#This Row],[kbli5]],Table1[[#All],[kbli5]:[digital_hijau]],3,)</f>
        <v>#N/A</v>
      </c>
      <c r="E699" s="53" t="e">
        <f>VLOOKUP(Table13[[#This Row],[kbli5]],kata_kunci!$B:$H,4,FALSE)</f>
        <v>#N/A</v>
      </c>
      <c r="F699" s="53" t="e">
        <f>VLOOKUP(Table13[[#This Row],[kbli5]],Table1[[#All],[kbli5]:[digital_hijau]],5,)</f>
        <v>#N/A</v>
      </c>
      <c r="G699" s="53" t="e">
        <f>VLOOKUP(Table13[[#This Row],[kbli5]],Table1[[#All],[kbli5]:[digital_hijau]],6,)</f>
        <v>#N/A</v>
      </c>
      <c r="H699" s="54" t="e">
        <f>VLOOKUP(Table13[[#This Row],[kbli5]],kata_kunci!$B:$H,3,FALSE)</f>
        <v>#N/A</v>
      </c>
      <c r="I699" s="84" t="e">
        <f>VLOOKUP(Table13[[#This Row],[kbli5]],kata_kunci!$B:$H,5,FALSE)</f>
        <v>#N/A</v>
      </c>
      <c r="J699" s="84" t="e">
        <f>VLOOKUP(Table13[[#This Row],[kbli5]],kata_kunci!$B:$H,6,FALSE)</f>
        <v>#N/A</v>
      </c>
      <c r="K699" s="84" t="e">
        <f>VLOOKUP(Table13[[#This Row],[kbli5]],kata_kunci!$B:$H,7,FALSE)</f>
        <v>#N/A</v>
      </c>
    </row>
    <row r="700" spans="1:11" ht="45.75" thickBot="1" x14ac:dyDescent="0.3">
      <c r="A700" s="53" t="s">
        <v>933</v>
      </c>
      <c r="B700" s="40">
        <v>42996</v>
      </c>
      <c r="C700" s="41" t="s">
        <v>967</v>
      </c>
      <c r="D700" s="30" t="e">
        <f>VLOOKUP(Table13[[#This Row],[kbli5]],Table1[[#All],[kbli5]:[digital_hijau]],3,)</f>
        <v>#N/A</v>
      </c>
      <c r="E700" s="53" t="e">
        <f>VLOOKUP(Table13[[#This Row],[kbli5]],kata_kunci!$B:$H,4,FALSE)</f>
        <v>#N/A</v>
      </c>
      <c r="F700" s="53" t="e">
        <f>VLOOKUP(Table13[[#This Row],[kbli5]],Table1[[#All],[kbli5]:[digital_hijau]],5,)</f>
        <v>#N/A</v>
      </c>
      <c r="G700" s="53" t="e">
        <f>VLOOKUP(Table13[[#This Row],[kbli5]],Table1[[#All],[kbli5]:[digital_hijau]],6,)</f>
        <v>#N/A</v>
      </c>
      <c r="H700" s="54" t="e">
        <f>VLOOKUP(Table13[[#This Row],[kbli5]],kata_kunci!$B:$H,3,FALSE)</f>
        <v>#N/A</v>
      </c>
      <c r="I700" s="84" t="e">
        <f>VLOOKUP(Table13[[#This Row],[kbli5]],kata_kunci!$B:$H,5,FALSE)</f>
        <v>#N/A</v>
      </c>
      <c r="J700" s="84" t="e">
        <f>VLOOKUP(Table13[[#This Row],[kbli5]],kata_kunci!$B:$H,6,FALSE)</f>
        <v>#N/A</v>
      </c>
      <c r="K700" s="84" t="e">
        <f>VLOOKUP(Table13[[#This Row],[kbli5]],kata_kunci!$B:$H,7,FALSE)</f>
        <v>#N/A</v>
      </c>
    </row>
    <row r="701" spans="1:11" ht="45.75" thickBot="1" x14ac:dyDescent="0.3">
      <c r="A701" s="53" t="s">
        <v>933</v>
      </c>
      <c r="B701" s="40">
        <v>42997</v>
      </c>
      <c r="C701" s="41" t="s">
        <v>968</v>
      </c>
      <c r="D701" s="30" t="e">
        <f>VLOOKUP(Table13[[#This Row],[kbli5]],Table1[[#All],[kbli5]:[digital_hijau]],3,)</f>
        <v>#N/A</v>
      </c>
      <c r="E701" s="53" t="e">
        <f>VLOOKUP(Table13[[#This Row],[kbli5]],kata_kunci!$B:$H,4,FALSE)</f>
        <v>#N/A</v>
      </c>
      <c r="F701" s="53" t="e">
        <f>VLOOKUP(Table13[[#This Row],[kbli5]],Table1[[#All],[kbli5]:[digital_hijau]],5,)</f>
        <v>#N/A</v>
      </c>
      <c r="G701" s="53" t="e">
        <f>VLOOKUP(Table13[[#This Row],[kbli5]],Table1[[#All],[kbli5]:[digital_hijau]],6,)</f>
        <v>#N/A</v>
      </c>
      <c r="H701" s="54" t="e">
        <f>VLOOKUP(Table13[[#This Row],[kbli5]],kata_kunci!$B:$H,3,FALSE)</f>
        <v>#N/A</v>
      </c>
      <c r="I701" s="84" t="e">
        <f>VLOOKUP(Table13[[#This Row],[kbli5]],kata_kunci!$B:$H,5,FALSE)</f>
        <v>#N/A</v>
      </c>
      <c r="J701" s="84" t="e">
        <f>VLOOKUP(Table13[[#This Row],[kbli5]],kata_kunci!$B:$H,6,FALSE)</f>
        <v>#N/A</v>
      </c>
      <c r="K701" s="84" t="e">
        <f>VLOOKUP(Table13[[#This Row],[kbli5]],kata_kunci!$B:$H,7,FALSE)</f>
        <v>#N/A</v>
      </c>
    </row>
    <row r="702" spans="1:11" ht="30.75" thickBot="1" x14ac:dyDescent="0.3">
      <c r="A702" s="53" t="s">
        <v>933</v>
      </c>
      <c r="B702" s="40">
        <v>42998</v>
      </c>
      <c r="C702" s="41" t="s">
        <v>969</v>
      </c>
      <c r="D702" s="30" t="e">
        <f>VLOOKUP(Table13[[#This Row],[kbli5]],Table1[[#All],[kbli5]:[digital_hijau]],3,)</f>
        <v>#N/A</v>
      </c>
      <c r="E702" s="53" t="e">
        <f>VLOOKUP(Table13[[#This Row],[kbli5]],kata_kunci!$B:$H,4,FALSE)</f>
        <v>#N/A</v>
      </c>
      <c r="F702" s="53" t="e">
        <f>VLOOKUP(Table13[[#This Row],[kbli5]],Table1[[#All],[kbli5]:[digital_hijau]],5,)</f>
        <v>#N/A</v>
      </c>
      <c r="G702" s="53" t="e">
        <f>VLOOKUP(Table13[[#This Row],[kbli5]],Table1[[#All],[kbli5]:[digital_hijau]],6,)</f>
        <v>#N/A</v>
      </c>
      <c r="H702" s="54" t="e">
        <f>VLOOKUP(Table13[[#This Row],[kbli5]],kata_kunci!$B:$H,3,FALSE)</f>
        <v>#N/A</v>
      </c>
      <c r="I702" s="84" t="e">
        <f>VLOOKUP(Table13[[#This Row],[kbli5]],kata_kunci!$B:$H,5,FALSE)</f>
        <v>#N/A</v>
      </c>
      <c r="J702" s="84" t="e">
        <f>VLOOKUP(Table13[[#This Row],[kbli5]],kata_kunci!$B:$H,6,FALSE)</f>
        <v>#N/A</v>
      </c>
      <c r="K702" s="84" t="e">
        <f>VLOOKUP(Table13[[#This Row],[kbli5]],kata_kunci!$B:$H,7,FALSE)</f>
        <v>#N/A</v>
      </c>
    </row>
    <row r="703" spans="1:11" ht="30.75" thickBot="1" x14ac:dyDescent="0.3">
      <c r="A703" s="53" t="s">
        <v>933</v>
      </c>
      <c r="B703" s="40">
        <v>42999</v>
      </c>
      <c r="C703" s="41" t="s">
        <v>970</v>
      </c>
      <c r="D703" s="30" t="e">
        <f>VLOOKUP(Table13[[#This Row],[kbli5]],Table1[[#All],[kbli5]:[digital_hijau]],3,)</f>
        <v>#N/A</v>
      </c>
      <c r="E703" s="53" t="e">
        <f>VLOOKUP(Table13[[#This Row],[kbli5]],kata_kunci!$B:$H,4,FALSE)</f>
        <v>#N/A</v>
      </c>
      <c r="F703" s="53" t="e">
        <f>VLOOKUP(Table13[[#This Row],[kbli5]],Table1[[#All],[kbli5]:[digital_hijau]],5,)</f>
        <v>#N/A</v>
      </c>
      <c r="G703" s="53" t="e">
        <f>VLOOKUP(Table13[[#This Row],[kbli5]],Table1[[#All],[kbli5]:[digital_hijau]],6,)</f>
        <v>#N/A</v>
      </c>
      <c r="H703" s="54" t="e">
        <f>VLOOKUP(Table13[[#This Row],[kbli5]],kata_kunci!$B:$H,3,FALSE)</f>
        <v>#N/A</v>
      </c>
      <c r="I703" s="84" t="e">
        <f>VLOOKUP(Table13[[#This Row],[kbli5]],kata_kunci!$B:$H,5,FALSE)</f>
        <v>#N/A</v>
      </c>
      <c r="J703" s="84" t="e">
        <f>VLOOKUP(Table13[[#This Row],[kbli5]],kata_kunci!$B:$H,6,FALSE)</f>
        <v>#N/A</v>
      </c>
      <c r="K703" s="84" t="e">
        <f>VLOOKUP(Table13[[#This Row],[kbli5]],kata_kunci!$B:$H,7,FALSE)</f>
        <v>#N/A</v>
      </c>
    </row>
    <row r="704" spans="1:11" ht="15.75" thickBot="1" x14ac:dyDescent="0.3">
      <c r="A704" s="53" t="s">
        <v>933</v>
      </c>
      <c r="B704" s="40">
        <v>43110</v>
      </c>
      <c r="C704" s="41" t="s">
        <v>971</v>
      </c>
      <c r="D704" s="30" t="e">
        <f>VLOOKUP(Table13[[#This Row],[kbli5]],Table1[[#All],[kbli5]:[digital_hijau]],3,)</f>
        <v>#N/A</v>
      </c>
      <c r="E704" s="53" t="e">
        <f>VLOOKUP(Table13[[#This Row],[kbli5]],kata_kunci!$B:$H,4,FALSE)</f>
        <v>#N/A</v>
      </c>
      <c r="F704" s="53" t="e">
        <f>VLOOKUP(Table13[[#This Row],[kbli5]],Table1[[#All],[kbli5]:[digital_hijau]],5,)</f>
        <v>#N/A</v>
      </c>
      <c r="G704" s="53" t="e">
        <f>VLOOKUP(Table13[[#This Row],[kbli5]],Table1[[#All],[kbli5]:[digital_hijau]],6,)</f>
        <v>#N/A</v>
      </c>
      <c r="H704" s="54" t="e">
        <f>VLOOKUP(Table13[[#This Row],[kbli5]],kata_kunci!$B:$H,3,FALSE)</f>
        <v>#N/A</v>
      </c>
      <c r="I704" s="84" t="e">
        <f>VLOOKUP(Table13[[#This Row],[kbli5]],kata_kunci!$B:$H,5,FALSE)</f>
        <v>#N/A</v>
      </c>
      <c r="J704" s="84" t="e">
        <f>VLOOKUP(Table13[[#This Row],[kbli5]],kata_kunci!$B:$H,6,FALSE)</f>
        <v>#N/A</v>
      </c>
      <c r="K704" s="84" t="e">
        <f>VLOOKUP(Table13[[#This Row],[kbli5]],kata_kunci!$B:$H,7,FALSE)</f>
        <v>#N/A</v>
      </c>
    </row>
    <row r="705" spans="1:11" ht="15.75" thickBot="1" x14ac:dyDescent="0.3">
      <c r="A705" s="53" t="s">
        <v>933</v>
      </c>
      <c r="B705" s="40">
        <v>43120</v>
      </c>
      <c r="C705" s="41" t="s">
        <v>972</v>
      </c>
      <c r="D705" s="30" t="e">
        <f>VLOOKUP(Table13[[#This Row],[kbli5]],Table1[[#All],[kbli5]:[digital_hijau]],3,)</f>
        <v>#N/A</v>
      </c>
      <c r="E705" s="53" t="e">
        <f>VLOOKUP(Table13[[#This Row],[kbli5]],kata_kunci!$B:$H,4,FALSE)</f>
        <v>#N/A</v>
      </c>
      <c r="F705" s="53" t="e">
        <f>VLOOKUP(Table13[[#This Row],[kbli5]],Table1[[#All],[kbli5]:[digital_hijau]],5,)</f>
        <v>#N/A</v>
      </c>
      <c r="G705" s="53" t="e">
        <f>VLOOKUP(Table13[[#This Row],[kbli5]],Table1[[#All],[kbli5]:[digital_hijau]],6,)</f>
        <v>#N/A</v>
      </c>
      <c r="H705" s="54" t="e">
        <f>VLOOKUP(Table13[[#This Row],[kbli5]],kata_kunci!$B:$H,3,FALSE)</f>
        <v>#N/A</v>
      </c>
      <c r="I705" s="84" t="e">
        <f>VLOOKUP(Table13[[#This Row],[kbli5]],kata_kunci!$B:$H,5,FALSE)</f>
        <v>#N/A</v>
      </c>
      <c r="J705" s="84" t="e">
        <f>VLOOKUP(Table13[[#This Row],[kbli5]],kata_kunci!$B:$H,6,FALSE)</f>
        <v>#N/A</v>
      </c>
      <c r="K705" s="84" t="e">
        <f>VLOOKUP(Table13[[#This Row],[kbli5]],kata_kunci!$B:$H,7,FALSE)</f>
        <v>#N/A</v>
      </c>
    </row>
    <row r="706" spans="1:11" ht="30.75" thickBot="1" x14ac:dyDescent="0.3">
      <c r="A706" s="53" t="s">
        <v>933</v>
      </c>
      <c r="B706" s="40">
        <v>43211</v>
      </c>
      <c r="C706" s="41" t="s">
        <v>973</v>
      </c>
      <c r="D706" s="30" t="e">
        <f>VLOOKUP(Table13[[#This Row],[kbli5]],Table1[[#All],[kbli5]:[digital_hijau]],3,)</f>
        <v>#N/A</v>
      </c>
      <c r="E706" s="53" t="e">
        <f>VLOOKUP(Table13[[#This Row],[kbli5]],kata_kunci!$B:$H,4,FALSE)</f>
        <v>#N/A</v>
      </c>
      <c r="F706" s="53" t="e">
        <f>VLOOKUP(Table13[[#This Row],[kbli5]],Table1[[#All],[kbli5]:[digital_hijau]],5,)</f>
        <v>#N/A</v>
      </c>
      <c r="G706" s="53" t="e">
        <f>VLOOKUP(Table13[[#This Row],[kbli5]],Table1[[#All],[kbli5]:[digital_hijau]],6,)</f>
        <v>#N/A</v>
      </c>
      <c r="H706" s="54" t="e">
        <f>VLOOKUP(Table13[[#This Row],[kbli5]],kata_kunci!$B:$H,3,FALSE)</f>
        <v>#N/A</v>
      </c>
      <c r="I706" s="84" t="e">
        <f>VLOOKUP(Table13[[#This Row],[kbli5]],kata_kunci!$B:$H,5,FALSE)</f>
        <v>#N/A</v>
      </c>
      <c r="J706" s="84" t="e">
        <f>VLOOKUP(Table13[[#This Row],[kbli5]],kata_kunci!$B:$H,6,FALSE)</f>
        <v>#N/A</v>
      </c>
      <c r="K706" s="84" t="e">
        <f>VLOOKUP(Table13[[#This Row],[kbli5]],kata_kunci!$B:$H,7,FALSE)</f>
        <v>#N/A</v>
      </c>
    </row>
    <row r="707" spans="1:11" ht="30.75" thickBot="1" x14ac:dyDescent="0.3">
      <c r="A707" s="53" t="s">
        <v>933</v>
      </c>
      <c r="B707" s="40">
        <v>43212</v>
      </c>
      <c r="C707" s="41" t="s">
        <v>974</v>
      </c>
      <c r="D707" s="30" t="e">
        <f>VLOOKUP(Table13[[#This Row],[kbli5]],Table1[[#All],[kbli5]:[digital_hijau]],3,)</f>
        <v>#N/A</v>
      </c>
      <c r="E707" s="53" t="e">
        <f>VLOOKUP(Table13[[#This Row],[kbli5]],kata_kunci!$B:$H,4,FALSE)</f>
        <v>#N/A</v>
      </c>
      <c r="F707" s="53" t="e">
        <f>VLOOKUP(Table13[[#This Row],[kbli5]],Table1[[#All],[kbli5]:[digital_hijau]],5,)</f>
        <v>#N/A</v>
      </c>
      <c r="G707" s="53" t="e">
        <f>VLOOKUP(Table13[[#This Row],[kbli5]],Table1[[#All],[kbli5]:[digital_hijau]],6,)</f>
        <v>#N/A</v>
      </c>
      <c r="H707" s="54" t="e">
        <f>VLOOKUP(Table13[[#This Row],[kbli5]],kata_kunci!$B:$H,3,FALSE)</f>
        <v>#N/A</v>
      </c>
      <c r="I707" s="84" t="e">
        <f>VLOOKUP(Table13[[#This Row],[kbli5]],kata_kunci!$B:$H,5,FALSE)</f>
        <v>#N/A</v>
      </c>
      <c r="J707" s="84" t="e">
        <f>VLOOKUP(Table13[[#This Row],[kbli5]],kata_kunci!$B:$H,6,FALSE)</f>
        <v>#N/A</v>
      </c>
      <c r="K707" s="84" t="e">
        <f>VLOOKUP(Table13[[#This Row],[kbli5]],kata_kunci!$B:$H,7,FALSE)</f>
        <v>#N/A</v>
      </c>
    </row>
    <row r="708" spans="1:11" ht="30.75" thickBot="1" x14ac:dyDescent="0.3">
      <c r="A708" s="53" t="s">
        <v>933</v>
      </c>
      <c r="B708" s="40">
        <v>43213</v>
      </c>
      <c r="C708" s="41" t="s">
        <v>975</v>
      </c>
      <c r="D708" s="30" t="e">
        <f>VLOOKUP(Table13[[#This Row],[kbli5]],Table1[[#All],[kbli5]:[digital_hijau]],3,)</f>
        <v>#N/A</v>
      </c>
      <c r="E708" s="53" t="e">
        <f>VLOOKUP(Table13[[#This Row],[kbli5]],kata_kunci!$B:$H,4,FALSE)</f>
        <v>#N/A</v>
      </c>
      <c r="F708" s="53" t="e">
        <f>VLOOKUP(Table13[[#This Row],[kbli5]],Table1[[#All],[kbli5]:[digital_hijau]],5,)</f>
        <v>#N/A</v>
      </c>
      <c r="G708" s="53" t="e">
        <f>VLOOKUP(Table13[[#This Row],[kbli5]],Table1[[#All],[kbli5]:[digital_hijau]],6,)</f>
        <v>#N/A</v>
      </c>
      <c r="H708" s="54" t="e">
        <f>VLOOKUP(Table13[[#This Row],[kbli5]],kata_kunci!$B:$H,3,FALSE)</f>
        <v>#N/A</v>
      </c>
      <c r="I708" s="84" t="e">
        <f>VLOOKUP(Table13[[#This Row],[kbli5]],kata_kunci!$B:$H,5,FALSE)</f>
        <v>#N/A</v>
      </c>
      <c r="J708" s="84" t="e">
        <f>VLOOKUP(Table13[[#This Row],[kbli5]],kata_kunci!$B:$H,6,FALSE)</f>
        <v>#N/A</v>
      </c>
      <c r="K708" s="84" t="e">
        <f>VLOOKUP(Table13[[#This Row],[kbli5]],kata_kunci!$B:$H,7,FALSE)</f>
        <v>#N/A</v>
      </c>
    </row>
    <row r="709" spans="1:11" ht="45.75" thickBot="1" x14ac:dyDescent="0.3">
      <c r="A709" s="53" t="s">
        <v>933</v>
      </c>
      <c r="B709" s="40">
        <v>43214</v>
      </c>
      <c r="C709" s="41" t="s">
        <v>976</v>
      </c>
      <c r="D709" s="30" t="e">
        <f>VLOOKUP(Table13[[#This Row],[kbli5]],Table1[[#All],[kbli5]:[digital_hijau]],3,)</f>
        <v>#N/A</v>
      </c>
      <c r="E709" s="53" t="e">
        <f>VLOOKUP(Table13[[#This Row],[kbli5]],kata_kunci!$B:$H,4,FALSE)</f>
        <v>#N/A</v>
      </c>
      <c r="F709" s="53" t="e">
        <f>VLOOKUP(Table13[[#This Row],[kbli5]],Table1[[#All],[kbli5]:[digital_hijau]],5,)</f>
        <v>#N/A</v>
      </c>
      <c r="G709" s="53" t="e">
        <f>VLOOKUP(Table13[[#This Row],[kbli5]],Table1[[#All],[kbli5]:[digital_hijau]],6,)</f>
        <v>#N/A</v>
      </c>
      <c r="H709" s="54" t="e">
        <f>VLOOKUP(Table13[[#This Row],[kbli5]],kata_kunci!$B:$H,3,FALSE)</f>
        <v>#N/A</v>
      </c>
      <c r="I709" s="84" t="e">
        <f>VLOOKUP(Table13[[#This Row],[kbli5]],kata_kunci!$B:$H,5,FALSE)</f>
        <v>#N/A</v>
      </c>
      <c r="J709" s="84" t="e">
        <f>VLOOKUP(Table13[[#This Row],[kbli5]],kata_kunci!$B:$H,6,FALSE)</f>
        <v>#N/A</v>
      </c>
      <c r="K709" s="84" t="e">
        <f>VLOOKUP(Table13[[#This Row],[kbli5]],kata_kunci!$B:$H,7,FALSE)</f>
        <v>#N/A</v>
      </c>
    </row>
    <row r="710" spans="1:11" ht="60.75" thickBot="1" x14ac:dyDescent="0.3">
      <c r="A710" s="53" t="s">
        <v>933</v>
      </c>
      <c r="B710" s="40">
        <v>43215</v>
      </c>
      <c r="C710" s="41" t="s">
        <v>977</v>
      </c>
      <c r="D710" s="30" t="e">
        <f>VLOOKUP(Table13[[#This Row],[kbli5]],Table1[[#All],[kbli5]:[digital_hijau]],3,)</f>
        <v>#N/A</v>
      </c>
      <c r="E710" s="53" t="e">
        <f>VLOOKUP(Table13[[#This Row],[kbli5]],kata_kunci!$B:$H,4,FALSE)</f>
        <v>#N/A</v>
      </c>
      <c r="F710" s="53" t="e">
        <f>VLOOKUP(Table13[[#This Row],[kbli5]],Table1[[#All],[kbli5]:[digital_hijau]],5,)</f>
        <v>#N/A</v>
      </c>
      <c r="G710" s="53" t="e">
        <f>VLOOKUP(Table13[[#This Row],[kbli5]],Table1[[#All],[kbli5]:[digital_hijau]],6,)</f>
        <v>#N/A</v>
      </c>
      <c r="H710" s="54" t="e">
        <f>VLOOKUP(Table13[[#This Row],[kbli5]],kata_kunci!$B:$H,3,FALSE)</f>
        <v>#N/A</v>
      </c>
      <c r="I710" s="84" t="e">
        <f>VLOOKUP(Table13[[#This Row],[kbli5]],kata_kunci!$B:$H,5,FALSE)</f>
        <v>#N/A</v>
      </c>
      <c r="J710" s="84" t="e">
        <f>VLOOKUP(Table13[[#This Row],[kbli5]],kata_kunci!$B:$H,6,FALSE)</f>
        <v>#N/A</v>
      </c>
      <c r="K710" s="84" t="e">
        <f>VLOOKUP(Table13[[#This Row],[kbli5]],kata_kunci!$B:$H,7,FALSE)</f>
        <v>#N/A</v>
      </c>
    </row>
    <row r="711" spans="1:11" ht="45.75" thickBot="1" x14ac:dyDescent="0.3">
      <c r="A711" s="53" t="s">
        <v>933</v>
      </c>
      <c r="B711" s="40">
        <v>43216</v>
      </c>
      <c r="C711" s="41" t="s">
        <v>978</v>
      </c>
      <c r="D711" s="30" t="e">
        <f>VLOOKUP(Table13[[#This Row],[kbli5]],Table1[[#All],[kbli5]:[digital_hijau]],3,)</f>
        <v>#N/A</v>
      </c>
      <c r="E711" s="53" t="e">
        <f>VLOOKUP(Table13[[#This Row],[kbli5]],kata_kunci!$B:$H,4,FALSE)</f>
        <v>#N/A</v>
      </c>
      <c r="F711" s="53" t="e">
        <f>VLOOKUP(Table13[[#This Row],[kbli5]],Table1[[#All],[kbli5]:[digital_hijau]],5,)</f>
        <v>#N/A</v>
      </c>
      <c r="G711" s="53" t="e">
        <f>VLOOKUP(Table13[[#This Row],[kbli5]],Table1[[#All],[kbli5]:[digital_hijau]],6,)</f>
        <v>#N/A</v>
      </c>
      <c r="H711" s="54" t="e">
        <f>VLOOKUP(Table13[[#This Row],[kbli5]],kata_kunci!$B:$H,3,FALSE)</f>
        <v>#N/A</v>
      </c>
      <c r="I711" s="84" t="e">
        <f>VLOOKUP(Table13[[#This Row],[kbli5]],kata_kunci!$B:$H,5,FALSE)</f>
        <v>#N/A</v>
      </c>
      <c r="J711" s="84" t="e">
        <f>VLOOKUP(Table13[[#This Row],[kbli5]],kata_kunci!$B:$H,6,FALSE)</f>
        <v>#N/A</v>
      </c>
      <c r="K711" s="84" t="e">
        <f>VLOOKUP(Table13[[#This Row],[kbli5]],kata_kunci!$B:$H,7,FALSE)</f>
        <v>#N/A</v>
      </c>
    </row>
    <row r="712" spans="1:11" ht="30.75" thickBot="1" x14ac:dyDescent="0.3">
      <c r="A712" s="53" t="s">
        <v>933</v>
      </c>
      <c r="B712" s="40">
        <v>43221</v>
      </c>
      <c r="C712" s="41" t="s">
        <v>979</v>
      </c>
      <c r="D712" s="30" t="e">
        <f>VLOOKUP(Table13[[#This Row],[kbli5]],Table1[[#All],[kbli5]:[digital_hijau]],3,)</f>
        <v>#N/A</v>
      </c>
      <c r="E712" s="53" t="e">
        <f>VLOOKUP(Table13[[#This Row],[kbli5]],kata_kunci!$B:$H,4,FALSE)</f>
        <v>#N/A</v>
      </c>
      <c r="F712" s="53" t="e">
        <f>VLOOKUP(Table13[[#This Row],[kbli5]],Table1[[#All],[kbli5]:[digital_hijau]],5,)</f>
        <v>#N/A</v>
      </c>
      <c r="G712" s="53" t="e">
        <f>VLOOKUP(Table13[[#This Row],[kbli5]],Table1[[#All],[kbli5]:[digital_hijau]],6,)</f>
        <v>#N/A</v>
      </c>
      <c r="H712" s="54" t="e">
        <f>VLOOKUP(Table13[[#This Row],[kbli5]],kata_kunci!$B:$H,3,FALSE)</f>
        <v>#N/A</v>
      </c>
      <c r="I712" s="84" t="e">
        <f>VLOOKUP(Table13[[#This Row],[kbli5]],kata_kunci!$B:$H,5,FALSE)</f>
        <v>#N/A</v>
      </c>
      <c r="J712" s="84" t="e">
        <f>VLOOKUP(Table13[[#This Row],[kbli5]],kata_kunci!$B:$H,6,FALSE)</f>
        <v>#N/A</v>
      </c>
      <c r="K712" s="84" t="e">
        <f>VLOOKUP(Table13[[#This Row],[kbli5]],kata_kunci!$B:$H,7,FALSE)</f>
        <v>#N/A</v>
      </c>
    </row>
    <row r="713" spans="1:11" ht="30.75" thickBot="1" x14ac:dyDescent="0.3">
      <c r="A713" s="53" t="s">
        <v>933</v>
      </c>
      <c r="B713" s="40">
        <v>43222</v>
      </c>
      <c r="C713" s="41" t="s">
        <v>980</v>
      </c>
      <c r="D713" s="30" t="e">
        <f>VLOOKUP(Table13[[#This Row],[kbli5]],Table1[[#All],[kbli5]:[digital_hijau]],3,)</f>
        <v>#N/A</v>
      </c>
      <c r="E713" s="53" t="e">
        <f>VLOOKUP(Table13[[#This Row],[kbli5]],kata_kunci!$B:$H,4,FALSE)</f>
        <v>#N/A</v>
      </c>
      <c r="F713" s="53" t="e">
        <f>VLOOKUP(Table13[[#This Row],[kbli5]],Table1[[#All],[kbli5]:[digital_hijau]],5,)</f>
        <v>#N/A</v>
      </c>
      <c r="G713" s="53" t="e">
        <f>VLOOKUP(Table13[[#This Row],[kbli5]],Table1[[#All],[kbli5]:[digital_hijau]],6,)</f>
        <v>#N/A</v>
      </c>
      <c r="H713" s="54" t="e">
        <f>VLOOKUP(Table13[[#This Row],[kbli5]],kata_kunci!$B:$H,3,FALSE)</f>
        <v>#N/A</v>
      </c>
      <c r="I713" s="84" t="e">
        <f>VLOOKUP(Table13[[#This Row],[kbli5]],kata_kunci!$B:$H,5,FALSE)</f>
        <v>#N/A</v>
      </c>
      <c r="J713" s="84" t="e">
        <f>VLOOKUP(Table13[[#This Row],[kbli5]],kata_kunci!$B:$H,6,FALSE)</f>
        <v>#N/A</v>
      </c>
      <c r="K713" s="84" t="e">
        <f>VLOOKUP(Table13[[#This Row],[kbli5]],kata_kunci!$B:$H,7,FALSE)</f>
        <v>#N/A</v>
      </c>
    </row>
    <row r="714" spans="1:11" ht="30.75" thickBot="1" x14ac:dyDescent="0.3">
      <c r="A714" s="53" t="s">
        <v>933</v>
      </c>
      <c r="B714" s="40">
        <v>43223</v>
      </c>
      <c r="C714" s="41" t="s">
        <v>981</v>
      </c>
      <c r="D714" s="30" t="e">
        <f>VLOOKUP(Table13[[#This Row],[kbli5]],Table1[[#All],[kbli5]:[digital_hijau]],3,)</f>
        <v>#N/A</v>
      </c>
      <c r="E714" s="53" t="e">
        <f>VLOOKUP(Table13[[#This Row],[kbli5]],kata_kunci!$B:$H,4,FALSE)</f>
        <v>#N/A</v>
      </c>
      <c r="F714" s="53" t="e">
        <f>VLOOKUP(Table13[[#This Row],[kbli5]],Table1[[#All],[kbli5]:[digital_hijau]],5,)</f>
        <v>#N/A</v>
      </c>
      <c r="G714" s="53" t="e">
        <f>VLOOKUP(Table13[[#This Row],[kbli5]],Table1[[#All],[kbli5]:[digital_hijau]],6,)</f>
        <v>#N/A</v>
      </c>
      <c r="H714" s="54" t="e">
        <f>VLOOKUP(Table13[[#This Row],[kbli5]],kata_kunci!$B:$H,3,FALSE)</f>
        <v>#N/A</v>
      </c>
      <c r="I714" s="84" t="e">
        <f>VLOOKUP(Table13[[#This Row],[kbli5]],kata_kunci!$B:$H,5,FALSE)</f>
        <v>#N/A</v>
      </c>
      <c r="J714" s="84" t="e">
        <f>VLOOKUP(Table13[[#This Row],[kbli5]],kata_kunci!$B:$H,6,FALSE)</f>
        <v>#N/A</v>
      </c>
      <c r="K714" s="84" t="e">
        <f>VLOOKUP(Table13[[#This Row],[kbli5]],kata_kunci!$B:$H,7,FALSE)</f>
        <v>#N/A</v>
      </c>
    </row>
    <row r="715" spans="1:11" ht="30.75" thickBot="1" x14ac:dyDescent="0.3">
      <c r="A715" s="53" t="s">
        <v>933</v>
      </c>
      <c r="B715" s="40">
        <v>43224</v>
      </c>
      <c r="C715" s="41" t="s">
        <v>982</v>
      </c>
      <c r="D715" s="30" t="e">
        <f>VLOOKUP(Table13[[#This Row],[kbli5]],Table1[[#All],[kbli5]:[digital_hijau]],3,)</f>
        <v>#N/A</v>
      </c>
      <c r="E715" s="53" t="e">
        <f>VLOOKUP(Table13[[#This Row],[kbli5]],kata_kunci!$B:$H,4,FALSE)</f>
        <v>#N/A</v>
      </c>
      <c r="F715" s="53" t="e">
        <f>VLOOKUP(Table13[[#This Row],[kbli5]],Table1[[#All],[kbli5]:[digital_hijau]],5,)</f>
        <v>#N/A</v>
      </c>
      <c r="G715" s="53" t="e">
        <f>VLOOKUP(Table13[[#This Row],[kbli5]],Table1[[#All],[kbli5]:[digital_hijau]],6,)</f>
        <v>#N/A</v>
      </c>
      <c r="H715" s="54" t="e">
        <f>VLOOKUP(Table13[[#This Row],[kbli5]],kata_kunci!$B:$H,3,FALSE)</f>
        <v>#N/A</v>
      </c>
      <c r="I715" s="84" t="e">
        <f>VLOOKUP(Table13[[#This Row],[kbli5]],kata_kunci!$B:$H,5,FALSE)</f>
        <v>#N/A</v>
      </c>
      <c r="J715" s="84" t="e">
        <f>VLOOKUP(Table13[[#This Row],[kbli5]],kata_kunci!$B:$H,6,FALSE)</f>
        <v>#N/A</v>
      </c>
      <c r="K715" s="84" t="e">
        <f>VLOOKUP(Table13[[#This Row],[kbli5]],kata_kunci!$B:$H,7,FALSE)</f>
        <v>#N/A</v>
      </c>
    </row>
    <row r="716" spans="1:11" ht="45.75" thickBot="1" x14ac:dyDescent="0.3">
      <c r="A716" s="53" t="s">
        <v>933</v>
      </c>
      <c r="B716" s="40">
        <v>43291</v>
      </c>
      <c r="C716" s="41" t="s">
        <v>983</v>
      </c>
      <c r="D716" s="30" t="e">
        <f>VLOOKUP(Table13[[#This Row],[kbli5]],Table1[[#All],[kbli5]:[digital_hijau]],3,)</f>
        <v>#N/A</v>
      </c>
      <c r="E716" s="53" t="e">
        <f>VLOOKUP(Table13[[#This Row],[kbli5]],kata_kunci!$B:$H,4,FALSE)</f>
        <v>#N/A</v>
      </c>
      <c r="F716" s="53" t="e">
        <f>VLOOKUP(Table13[[#This Row],[kbli5]],Table1[[#All],[kbli5]:[digital_hijau]],5,)</f>
        <v>#N/A</v>
      </c>
      <c r="G716" s="53" t="e">
        <f>VLOOKUP(Table13[[#This Row],[kbli5]],Table1[[#All],[kbli5]:[digital_hijau]],6,)</f>
        <v>#N/A</v>
      </c>
      <c r="H716" s="54" t="e">
        <f>VLOOKUP(Table13[[#This Row],[kbli5]],kata_kunci!$B:$H,3,FALSE)</f>
        <v>#N/A</v>
      </c>
      <c r="I716" s="84" t="e">
        <f>VLOOKUP(Table13[[#This Row],[kbli5]],kata_kunci!$B:$H,5,FALSE)</f>
        <v>#N/A</v>
      </c>
      <c r="J716" s="84" t="e">
        <f>VLOOKUP(Table13[[#This Row],[kbli5]],kata_kunci!$B:$H,6,FALSE)</f>
        <v>#N/A</v>
      </c>
      <c r="K716" s="84" t="e">
        <f>VLOOKUP(Table13[[#This Row],[kbli5]],kata_kunci!$B:$H,7,FALSE)</f>
        <v>#N/A</v>
      </c>
    </row>
    <row r="717" spans="1:11" ht="30.75" thickBot="1" x14ac:dyDescent="0.3">
      <c r="A717" s="53" t="s">
        <v>933</v>
      </c>
      <c r="B717" s="40">
        <v>43299</v>
      </c>
      <c r="C717" s="41" t="s">
        <v>984</v>
      </c>
      <c r="D717" s="30" t="e">
        <f>VLOOKUP(Table13[[#This Row],[kbli5]],Table1[[#All],[kbli5]:[digital_hijau]],3,)</f>
        <v>#N/A</v>
      </c>
      <c r="E717" s="53" t="e">
        <f>VLOOKUP(Table13[[#This Row],[kbli5]],kata_kunci!$B:$H,4,FALSE)</f>
        <v>#N/A</v>
      </c>
      <c r="F717" s="53" t="e">
        <f>VLOOKUP(Table13[[#This Row],[kbli5]],Table1[[#All],[kbli5]:[digital_hijau]],5,)</f>
        <v>#N/A</v>
      </c>
      <c r="G717" s="53" t="e">
        <f>VLOOKUP(Table13[[#This Row],[kbli5]],Table1[[#All],[kbli5]:[digital_hijau]],6,)</f>
        <v>#N/A</v>
      </c>
      <c r="H717" s="54" t="e">
        <f>VLOOKUP(Table13[[#This Row],[kbli5]],kata_kunci!$B:$H,3,FALSE)</f>
        <v>#N/A</v>
      </c>
      <c r="I717" s="84" t="e">
        <f>VLOOKUP(Table13[[#This Row],[kbli5]],kata_kunci!$B:$H,5,FALSE)</f>
        <v>#N/A</v>
      </c>
      <c r="J717" s="84" t="e">
        <f>VLOOKUP(Table13[[#This Row],[kbli5]],kata_kunci!$B:$H,6,FALSE)</f>
        <v>#N/A</v>
      </c>
      <c r="K717" s="84" t="e">
        <f>VLOOKUP(Table13[[#This Row],[kbli5]],kata_kunci!$B:$H,7,FALSE)</f>
        <v>#N/A</v>
      </c>
    </row>
    <row r="718" spans="1:11" ht="45.75" thickBot="1" x14ac:dyDescent="0.3">
      <c r="A718" s="53" t="s">
        <v>933</v>
      </c>
      <c r="B718" s="40">
        <v>43301</v>
      </c>
      <c r="C718" s="41" t="s">
        <v>985</v>
      </c>
      <c r="D718" s="30" t="e">
        <f>VLOOKUP(Table13[[#This Row],[kbli5]],Table1[[#All],[kbli5]:[digital_hijau]],3,)</f>
        <v>#N/A</v>
      </c>
      <c r="E718" s="53" t="e">
        <f>VLOOKUP(Table13[[#This Row],[kbli5]],kata_kunci!$B:$H,4,FALSE)</f>
        <v>#N/A</v>
      </c>
      <c r="F718" s="53" t="e">
        <f>VLOOKUP(Table13[[#This Row],[kbli5]],Table1[[#All],[kbli5]:[digital_hijau]],5,)</f>
        <v>#N/A</v>
      </c>
      <c r="G718" s="53" t="e">
        <f>VLOOKUP(Table13[[#This Row],[kbli5]],Table1[[#All],[kbli5]:[digital_hijau]],6,)</f>
        <v>#N/A</v>
      </c>
      <c r="H718" s="54" t="e">
        <f>VLOOKUP(Table13[[#This Row],[kbli5]],kata_kunci!$B:$H,3,FALSE)</f>
        <v>#N/A</v>
      </c>
      <c r="I718" s="84" t="e">
        <f>VLOOKUP(Table13[[#This Row],[kbli5]],kata_kunci!$B:$H,5,FALSE)</f>
        <v>#N/A</v>
      </c>
      <c r="J718" s="84" t="e">
        <f>VLOOKUP(Table13[[#This Row],[kbli5]],kata_kunci!$B:$H,6,FALSE)</f>
        <v>#N/A</v>
      </c>
      <c r="K718" s="84" t="e">
        <f>VLOOKUP(Table13[[#This Row],[kbli5]],kata_kunci!$B:$H,7,FALSE)</f>
        <v>#N/A</v>
      </c>
    </row>
    <row r="719" spans="1:11" ht="30.75" thickBot="1" x14ac:dyDescent="0.3">
      <c r="A719" s="53" t="s">
        <v>933</v>
      </c>
      <c r="B719" s="40">
        <v>43302</v>
      </c>
      <c r="C719" s="41" t="s">
        <v>986</v>
      </c>
      <c r="D719" s="30" t="e">
        <f>VLOOKUP(Table13[[#This Row],[kbli5]],Table1[[#All],[kbli5]:[digital_hijau]],3,)</f>
        <v>#N/A</v>
      </c>
      <c r="E719" s="53" t="e">
        <f>VLOOKUP(Table13[[#This Row],[kbli5]],kata_kunci!$B:$H,4,FALSE)</f>
        <v>#N/A</v>
      </c>
      <c r="F719" s="53" t="e">
        <f>VLOOKUP(Table13[[#This Row],[kbli5]],Table1[[#All],[kbli5]:[digital_hijau]],5,)</f>
        <v>#N/A</v>
      </c>
      <c r="G719" s="53" t="e">
        <f>VLOOKUP(Table13[[#This Row],[kbli5]],Table1[[#All],[kbli5]:[digital_hijau]],6,)</f>
        <v>#N/A</v>
      </c>
      <c r="H719" s="54" t="e">
        <f>VLOOKUP(Table13[[#This Row],[kbli5]],kata_kunci!$B:$H,3,FALSE)</f>
        <v>#N/A</v>
      </c>
      <c r="I719" s="84" t="e">
        <f>VLOOKUP(Table13[[#This Row],[kbli5]],kata_kunci!$B:$H,5,FALSE)</f>
        <v>#N/A</v>
      </c>
      <c r="J719" s="84" t="e">
        <f>VLOOKUP(Table13[[#This Row],[kbli5]],kata_kunci!$B:$H,6,FALSE)</f>
        <v>#N/A</v>
      </c>
      <c r="K719" s="84" t="e">
        <f>VLOOKUP(Table13[[#This Row],[kbli5]],kata_kunci!$B:$H,7,FALSE)</f>
        <v>#N/A</v>
      </c>
    </row>
    <row r="720" spans="1:11" ht="15.75" thickBot="1" x14ac:dyDescent="0.3">
      <c r="A720" s="53" t="s">
        <v>933</v>
      </c>
      <c r="B720" s="40">
        <v>43303</v>
      </c>
      <c r="C720" s="41" t="s">
        <v>987</v>
      </c>
      <c r="D720" s="30" t="e">
        <f>VLOOKUP(Table13[[#This Row],[kbli5]],Table1[[#All],[kbli5]:[digital_hijau]],3,)</f>
        <v>#N/A</v>
      </c>
      <c r="E720" s="53" t="e">
        <f>VLOOKUP(Table13[[#This Row],[kbli5]],kata_kunci!$B:$H,4,FALSE)</f>
        <v>#N/A</v>
      </c>
      <c r="F720" s="53" t="e">
        <f>VLOOKUP(Table13[[#This Row],[kbli5]],Table1[[#All],[kbli5]:[digital_hijau]],5,)</f>
        <v>#N/A</v>
      </c>
      <c r="G720" s="53" t="e">
        <f>VLOOKUP(Table13[[#This Row],[kbli5]],Table1[[#All],[kbli5]:[digital_hijau]],6,)</f>
        <v>#N/A</v>
      </c>
      <c r="H720" s="54" t="e">
        <f>VLOOKUP(Table13[[#This Row],[kbli5]],kata_kunci!$B:$H,3,FALSE)</f>
        <v>#N/A</v>
      </c>
      <c r="I720" s="84" t="e">
        <f>VLOOKUP(Table13[[#This Row],[kbli5]],kata_kunci!$B:$H,5,FALSE)</f>
        <v>#N/A</v>
      </c>
      <c r="J720" s="84" t="e">
        <f>VLOOKUP(Table13[[#This Row],[kbli5]],kata_kunci!$B:$H,6,FALSE)</f>
        <v>#N/A</v>
      </c>
      <c r="K720" s="84" t="e">
        <f>VLOOKUP(Table13[[#This Row],[kbli5]],kata_kunci!$B:$H,7,FALSE)</f>
        <v>#N/A</v>
      </c>
    </row>
    <row r="721" spans="1:11" ht="30.75" thickBot="1" x14ac:dyDescent="0.3">
      <c r="A721" s="53" t="s">
        <v>933</v>
      </c>
      <c r="B721" s="40">
        <v>43309</v>
      </c>
      <c r="C721" s="41" t="s">
        <v>988</v>
      </c>
      <c r="D721" s="30" t="e">
        <f>VLOOKUP(Table13[[#This Row],[kbli5]],Table1[[#All],[kbli5]:[digital_hijau]],3,)</f>
        <v>#N/A</v>
      </c>
      <c r="E721" s="53" t="e">
        <f>VLOOKUP(Table13[[#This Row],[kbli5]],kata_kunci!$B:$H,4,FALSE)</f>
        <v>#N/A</v>
      </c>
      <c r="F721" s="53" t="e">
        <f>VLOOKUP(Table13[[#This Row],[kbli5]],Table1[[#All],[kbli5]:[digital_hijau]],5,)</f>
        <v>#N/A</v>
      </c>
      <c r="G721" s="53" t="e">
        <f>VLOOKUP(Table13[[#This Row],[kbli5]],Table1[[#All],[kbli5]:[digital_hijau]],6,)</f>
        <v>#N/A</v>
      </c>
      <c r="H721" s="54" t="e">
        <f>VLOOKUP(Table13[[#This Row],[kbli5]],kata_kunci!$B:$H,3,FALSE)</f>
        <v>#N/A</v>
      </c>
      <c r="I721" s="84" t="e">
        <f>VLOOKUP(Table13[[#This Row],[kbli5]],kata_kunci!$B:$H,5,FALSE)</f>
        <v>#N/A</v>
      </c>
      <c r="J721" s="84" t="e">
        <f>VLOOKUP(Table13[[#This Row],[kbli5]],kata_kunci!$B:$H,6,FALSE)</f>
        <v>#N/A</v>
      </c>
      <c r="K721" s="84" t="e">
        <f>VLOOKUP(Table13[[#This Row],[kbli5]],kata_kunci!$B:$H,7,FALSE)</f>
        <v>#N/A</v>
      </c>
    </row>
    <row r="722" spans="1:11" ht="30.75" thickBot="1" x14ac:dyDescent="0.3">
      <c r="A722" s="53" t="s">
        <v>933</v>
      </c>
      <c r="B722" s="40">
        <v>43400</v>
      </c>
      <c r="C722" s="41" t="s">
        <v>989</v>
      </c>
      <c r="D722" s="30" t="e">
        <f>VLOOKUP(Table13[[#This Row],[kbli5]],Table1[[#All],[kbli5]:[digital_hijau]],3,)</f>
        <v>#N/A</v>
      </c>
      <c r="E722" s="53" t="e">
        <f>VLOOKUP(Table13[[#This Row],[kbli5]],kata_kunci!$B:$H,4,FALSE)</f>
        <v>#N/A</v>
      </c>
      <c r="F722" s="53" t="e">
        <f>VLOOKUP(Table13[[#This Row],[kbli5]],Table1[[#All],[kbli5]:[digital_hijau]],5,)</f>
        <v>#N/A</v>
      </c>
      <c r="G722" s="35" t="s">
        <v>2090</v>
      </c>
      <c r="H722" s="89" t="e">
        <f>VLOOKUP(Table13[[#This Row],[kbli5]],kata_kunci!$B:$H,3,FALSE)</f>
        <v>#N/A</v>
      </c>
      <c r="I722" s="84" t="e">
        <f>VLOOKUP(Table13[[#This Row],[kbli5]],kata_kunci!$B:$H,5,FALSE)</f>
        <v>#N/A</v>
      </c>
      <c r="J722" s="84" t="e">
        <f>VLOOKUP(Table13[[#This Row],[kbli5]],kata_kunci!$B:$H,6,FALSE)</f>
        <v>#N/A</v>
      </c>
      <c r="K722" s="84" t="e">
        <f>VLOOKUP(Table13[[#This Row],[kbli5]],kata_kunci!$B:$H,7,FALSE)</f>
        <v>#N/A</v>
      </c>
    </row>
    <row r="723" spans="1:11" ht="45.75" thickBot="1" x14ac:dyDescent="0.3">
      <c r="A723" s="53" t="s">
        <v>933</v>
      </c>
      <c r="B723" s="40">
        <v>43901</v>
      </c>
      <c r="C723" s="41" t="s">
        <v>990</v>
      </c>
      <c r="D723" s="30" t="e">
        <f>VLOOKUP(Table13[[#This Row],[kbli5]],Table1[[#All],[kbli5]:[digital_hijau]],3,)</f>
        <v>#N/A</v>
      </c>
      <c r="E723" s="53" t="e">
        <f>VLOOKUP(Table13[[#This Row],[kbli5]],kata_kunci!$B:$H,4,FALSE)</f>
        <v>#N/A</v>
      </c>
      <c r="F723" s="53" t="e">
        <f>VLOOKUP(Table13[[#This Row],[kbli5]],Table1[[#All],[kbli5]:[digital_hijau]],5,)</f>
        <v>#N/A</v>
      </c>
      <c r="G723" s="53" t="e">
        <f>VLOOKUP(Table13[[#This Row],[kbli5]],Table1[[#All],[kbli5]:[digital_hijau]],6,)</f>
        <v>#N/A</v>
      </c>
      <c r="H723" s="54" t="e">
        <f>VLOOKUP(Table13[[#This Row],[kbli5]],kata_kunci!$B:$H,3,FALSE)</f>
        <v>#N/A</v>
      </c>
      <c r="I723" s="84" t="e">
        <f>VLOOKUP(Table13[[#This Row],[kbli5]],kata_kunci!$B:$H,5,FALSE)</f>
        <v>#N/A</v>
      </c>
      <c r="J723" s="84" t="e">
        <f>VLOOKUP(Table13[[#This Row],[kbli5]],kata_kunci!$B:$H,6,FALSE)</f>
        <v>#N/A</v>
      </c>
      <c r="K723" s="84" t="e">
        <f>VLOOKUP(Table13[[#This Row],[kbli5]],kata_kunci!$B:$H,7,FALSE)</f>
        <v>#N/A</v>
      </c>
    </row>
    <row r="724" spans="1:11" ht="30.75" thickBot="1" x14ac:dyDescent="0.3">
      <c r="A724" s="53" t="s">
        <v>933</v>
      </c>
      <c r="B724" s="40">
        <v>43902</v>
      </c>
      <c r="C724" s="41" t="s">
        <v>991</v>
      </c>
      <c r="D724" s="30" t="e">
        <f>VLOOKUP(Table13[[#This Row],[kbli5]],Table1[[#All],[kbli5]:[digital_hijau]],3,)</f>
        <v>#N/A</v>
      </c>
      <c r="E724" s="53" t="e">
        <f>VLOOKUP(Table13[[#This Row],[kbli5]],kata_kunci!$B:$H,4,FALSE)</f>
        <v>#N/A</v>
      </c>
      <c r="F724" s="53" t="e">
        <f>VLOOKUP(Table13[[#This Row],[kbli5]],Table1[[#All],[kbli5]:[digital_hijau]],5,)</f>
        <v>#N/A</v>
      </c>
      <c r="G724" s="53" t="e">
        <f>VLOOKUP(Table13[[#This Row],[kbli5]],Table1[[#All],[kbli5]:[digital_hijau]],6,)</f>
        <v>#N/A</v>
      </c>
      <c r="H724" s="54" t="e">
        <f>VLOOKUP(Table13[[#This Row],[kbli5]],kata_kunci!$B:$H,3,FALSE)</f>
        <v>#N/A</v>
      </c>
      <c r="I724" s="84" t="e">
        <f>VLOOKUP(Table13[[#This Row],[kbli5]],kata_kunci!$B:$H,5,FALSE)</f>
        <v>#N/A</v>
      </c>
      <c r="J724" s="84" t="e">
        <f>VLOOKUP(Table13[[#This Row],[kbli5]],kata_kunci!$B:$H,6,FALSE)</f>
        <v>#N/A</v>
      </c>
      <c r="K724" s="84" t="e">
        <f>VLOOKUP(Table13[[#This Row],[kbli5]],kata_kunci!$B:$H,7,FALSE)</f>
        <v>#N/A</v>
      </c>
    </row>
    <row r="725" spans="1:11" ht="30.75" thickBot="1" x14ac:dyDescent="0.3">
      <c r="A725" s="53" t="s">
        <v>933</v>
      </c>
      <c r="B725" s="40">
        <v>43903</v>
      </c>
      <c r="C725" s="41" t="s">
        <v>992</v>
      </c>
      <c r="D725" s="30" t="e">
        <f>VLOOKUP(Table13[[#This Row],[kbli5]],Table1[[#All],[kbli5]:[digital_hijau]],3,)</f>
        <v>#N/A</v>
      </c>
      <c r="E725" s="53" t="e">
        <f>VLOOKUP(Table13[[#This Row],[kbli5]],kata_kunci!$B:$H,4,FALSE)</f>
        <v>#N/A</v>
      </c>
      <c r="F725" s="53" t="e">
        <f>VLOOKUP(Table13[[#This Row],[kbli5]],Table1[[#All],[kbli5]:[digital_hijau]],5,)</f>
        <v>#N/A</v>
      </c>
      <c r="G725" s="53" t="e">
        <f>VLOOKUP(Table13[[#This Row],[kbli5]],Table1[[#All],[kbli5]:[digital_hijau]],6,)</f>
        <v>#N/A</v>
      </c>
      <c r="H725" s="54" t="e">
        <f>VLOOKUP(Table13[[#This Row],[kbli5]],kata_kunci!$B:$H,3,FALSE)</f>
        <v>#N/A</v>
      </c>
      <c r="I725" s="84" t="e">
        <f>VLOOKUP(Table13[[#This Row],[kbli5]],kata_kunci!$B:$H,5,FALSE)</f>
        <v>#N/A</v>
      </c>
      <c r="J725" s="84" t="e">
        <f>VLOOKUP(Table13[[#This Row],[kbli5]],kata_kunci!$B:$H,6,FALSE)</f>
        <v>#N/A</v>
      </c>
      <c r="K725" s="84" t="e">
        <f>VLOOKUP(Table13[[#This Row],[kbli5]],kata_kunci!$B:$H,7,FALSE)</f>
        <v>#N/A</v>
      </c>
    </row>
    <row r="726" spans="1:11" ht="30.75" thickBot="1" x14ac:dyDescent="0.3">
      <c r="A726" s="53" t="s">
        <v>933</v>
      </c>
      <c r="B726" s="40">
        <v>43904</v>
      </c>
      <c r="C726" s="41" t="s">
        <v>993</v>
      </c>
      <c r="D726" s="30" t="e">
        <f>VLOOKUP(Table13[[#This Row],[kbli5]],Table1[[#All],[kbli5]:[digital_hijau]],3,)</f>
        <v>#N/A</v>
      </c>
      <c r="E726" s="53" t="e">
        <f>VLOOKUP(Table13[[#This Row],[kbli5]],kata_kunci!$B:$H,4,FALSE)</f>
        <v>#N/A</v>
      </c>
      <c r="F726" s="53" t="e">
        <f>VLOOKUP(Table13[[#This Row],[kbli5]],Table1[[#All],[kbli5]:[digital_hijau]],5,)</f>
        <v>#N/A</v>
      </c>
      <c r="G726" s="53" t="e">
        <f>VLOOKUP(Table13[[#This Row],[kbli5]],Table1[[#All],[kbli5]:[digital_hijau]],6,)</f>
        <v>#N/A</v>
      </c>
      <c r="H726" s="54" t="e">
        <f>VLOOKUP(Table13[[#This Row],[kbli5]],kata_kunci!$B:$H,3,FALSE)</f>
        <v>#N/A</v>
      </c>
      <c r="I726" s="84" t="e">
        <f>VLOOKUP(Table13[[#This Row],[kbli5]],kata_kunci!$B:$H,5,FALSE)</f>
        <v>#N/A</v>
      </c>
      <c r="J726" s="84" t="e">
        <f>VLOOKUP(Table13[[#This Row],[kbli5]],kata_kunci!$B:$H,6,FALSE)</f>
        <v>#N/A</v>
      </c>
      <c r="K726" s="84" t="e">
        <f>VLOOKUP(Table13[[#This Row],[kbli5]],kata_kunci!$B:$H,7,FALSE)</f>
        <v>#N/A</v>
      </c>
    </row>
    <row r="727" spans="1:11" ht="45.75" thickBot="1" x14ac:dyDescent="0.3">
      <c r="A727" s="53" t="s">
        <v>933</v>
      </c>
      <c r="B727" s="40">
        <v>43905</v>
      </c>
      <c r="C727" s="41" t="s">
        <v>994</v>
      </c>
      <c r="D727" s="30" t="e">
        <f>VLOOKUP(Table13[[#This Row],[kbli5]],Table1[[#All],[kbli5]:[digital_hijau]],3,)</f>
        <v>#N/A</v>
      </c>
      <c r="E727" s="53" t="e">
        <f>VLOOKUP(Table13[[#This Row],[kbli5]],kata_kunci!$B:$H,4,FALSE)</f>
        <v>#N/A</v>
      </c>
      <c r="F727" s="53" t="e">
        <f>VLOOKUP(Table13[[#This Row],[kbli5]],Table1[[#All],[kbli5]:[digital_hijau]],5,)</f>
        <v>#N/A</v>
      </c>
      <c r="G727" s="53" t="e">
        <f>VLOOKUP(Table13[[#This Row],[kbli5]],Table1[[#All],[kbli5]:[digital_hijau]],6,)</f>
        <v>#N/A</v>
      </c>
      <c r="H727" s="54" t="e">
        <f>VLOOKUP(Table13[[#This Row],[kbli5]],kata_kunci!$B:$H,3,FALSE)</f>
        <v>#N/A</v>
      </c>
      <c r="I727" s="84" t="e">
        <f>VLOOKUP(Table13[[#This Row],[kbli5]],kata_kunci!$B:$H,5,FALSE)</f>
        <v>#N/A</v>
      </c>
      <c r="J727" s="84" t="e">
        <f>VLOOKUP(Table13[[#This Row],[kbli5]],kata_kunci!$B:$H,6,FALSE)</f>
        <v>#N/A</v>
      </c>
      <c r="K727" s="84" t="e">
        <f>VLOOKUP(Table13[[#This Row],[kbli5]],kata_kunci!$B:$H,7,FALSE)</f>
        <v>#N/A</v>
      </c>
    </row>
    <row r="728" spans="1:11" ht="30.75" thickBot="1" x14ac:dyDescent="0.3">
      <c r="A728" s="53" t="s">
        <v>933</v>
      </c>
      <c r="B728" s="40">
        <v>43909</v>
      </c>
      <c r="C728" s="41" t="s">
        <v>995</v>
      </c>
      <c r="D728" s="30" t="e">
        <f>VLOOKUP(Table13[[#This Row],[kbli5]],Table1[[#All],[kbli5]:[digital_hijau]],3,)</f>
        <v>#N/A</v>
      </c>
      <c r="E728" s="53" t="e">
        <f>VLOOKUP(Table13[[#This Row],[kbli5]],kata_kunci!$B:$H,4,FALSE)</f>
        <v>#N/A</v>
      </c>
      <c r="F728" s="53" t="e">
        <f>VLOOKUP(Table13[[#This Row],[kbli5]],Table1[[#All],[kbli5]:[digital_hijau]],5,)</f>
        <v>#N/A</v>
      </c>
      <c r="G728" s="53" t="e">
        <f>VLOOKUP(Table13[[#This Row],[kbli5]],Table1[[#All],[kbli5]:[digital_hijau]],6,)</f>
        <v>#N/A</v>
      </c>
      <c r="H728" s="54" t="e">
        <f>VLOOKUP(Table13[[#This Row],[kbli5]],kata_kunci!$B:$H,3,FALSE)</f>
        <v>#N/A</v>
      </c>
      <c r="I728" s="84" t="e">
        <f>VLOOKUP(Table13[[#This Row],[kbli5]],kata_kunci!$B:$H,5,FALSE)</f>
        <v>#N/A</v>
      </c>
      <c r="J728" s="84" t="e">
        <f>VLOOKUP(Table13[[#This Row],[kbli5]],kata_kunci!$B:$H,6,FALSE)</f>
        <v>#N/A</v>
      </c>
      <c r="K728" s="84" t="e">
        <f>VLOOKUP(Table13[[#This Row],[kbli5]],kata_kunci!$B:$H,7,FALSE)</f>
        <v>#N/A</v>
      </c>
    </row>
    <row r="729" spans="1:11" ht="45.75" thickBot="1" x14ac:dyDescent="0.3">
      <c r="A729" s="53" t="s">
        <v>996</v>
      </c>
      <c r="B729" s="40">
        <v>46100</v>
      </c>
      <c r="C729" s="41" t="s">
        <v>997</v>
      </c>
      <c r="D729" s="30" t="e">
        <f>VLOOKUP(Table13[[#This Row],[kbli5]],Table1[[#All],[kbli5]:[digital_hijau]],3,)</f>
        <v>#N/A</v>
      </c>
      <c r="E729" s="53" t="e">
        <f>VLOOKUP(Table13[[#This Row],[kbli5]],kata_kunci!$B:$H,4,FALSE)</f>
        <v>#N/A</v>
      </c>
      <c r="F729" s="53" t="e">
        <f>VLOOKUP(Table13[[#This Row],[kbli5]],Table1[[#All],[kbli5]:[digital_hijau]],5,)</f>
        <v>#N/A</v>
      </c>
      <c r="G729" s="35" t="s">
        <v>2090</v>
      </c>
      <c r="H729" s="89" t="e">
        <f>VLOOKUP(Table13[[#This Row],[kbli5]],kata_kunci!$B:$H,3,FALSE)</f>
        <v>#N/A</v>
      </c>
      <c r="I729" s="84" t="e">
        <f>VLOOKUP(Table13[[#This Row],[kbli5]],kata_kunci!$B:$H,5,FALSE)</f>
        <v>#N/A</v>
      </c>
      <c r="J729" s="84" t="e">
        <f>VLOOKUP(Table13[[#This Row],[kbli5]],kata_kunci!$B:$H,6,FALSE)</f>
        <v>#N/A</v>
      </c>
      <c r="K729" s="84" t="e">
        <f>VLOOKUP(Table13[[#This Row],[kbli5]],kata_kunci!$B:$H,7,FALSE)</f>
        <v>#N/A</v>
      </c>
    </row>
    <row r="730" spans="1:11" ht="30.75" thickBot="1" x14ac:dyDescent="0.3">
      <c r="A730" s="53" t="s">
        <v>996</v>
      </c>
      <c r="B730" s="40">
        <v>46201</v>
      </c>
      <c r="C730" s="41" t="s">
        <v>998</v>
      </c>
      <c r="D730" s="30" t="e">
        <f>VLOOKUP(Table13[[#This Row],[kbli5]],Table1[[#All],[kbli5]:[digital_hijau]],3,)</f>
        <v>#N/A</v>
      </c>
      <c r="E730" s="53" t="e">
        <f>VLOOKUP(Table13[[#This Row],[kbli5]],kata_kunci!$B:$H,4,FALSE)</f>
        <v>#N/A</v>
      </c>
      <c r="F730" s="53" t="e">
        <f>VLOOKUP(Table13[[#This Row],[kbli5]],Table1[[#All],[kbli5]:[digital_hijau]],5,)</f>
        <v>#N/A</v>
      </c>
      <c r="G730" s="53" t="e">
        <f>VLOOKUP(Table13[[#This Row],[kbli5]],Table1[[#All],[kbli5]:[digital_hijau]],6,)</f>
        <v>#N/A</v>
      </c>
      <c r="H730" s="54" t="e">
        <f>VLOOKUP(Table13[[#This Row],[kbli5]],kata_kunci!$B:$H,3,FALSE)</f>
        <v>#N/A</v>
      </c>
      <c r="I730" s="84" t="e">
        <f>VLOOKUP(Table13[[#This Row],[kbli5]],kata_kunci!$B:$H,5,FALSE)</f>
        <v>#N/A</v>
      </c>
      <c r="J730" s="84" t="e">
        <f>VLOOKUP(Table13[[#This Row],[kbli5]],kata_kunci!$B:$H,6,FALSE)</f>
        <v>#N/A</v>
      </c>
      <c r="K730" s="84" t="e">
        <f>VLOOKUP(Table13[[#This Row],[kbli5]],kata_kunci!$B:$H,7,FALSE)</f>
        <v>#N/A</v>
      </c>
    </row>
    <row r="731" spans="1:11" ht="45.75" thickBot="1" x14ac:dyDescent="0.3">
      <c r="A731" s="53" t="s">
        <v>996</v>
      </c>
      <c r="B731" s="40">
        <v>46202</v>
      </c>
      <c r="C731" s="41" t="s">
        <v>999</v>
      </c>
      <c r="D731" s="30" t="e">
        <f>VLOOKUP(Table13[[#This Row],[kbli5]],Table1[[#All],[kbli5]:[digital_hijau]],3,)</f>
        <v>#N/A</v>
      </c>
      <c r="E731" s="53" t="e">
        <f>VLOOKUP(Table13[[#This Row],[kbli5]],kata_kunci!$B:$H,4,FALSE)</f>
        <v>#N/A</v>
      </c>
      <c r="F731" s="53" t="e">
        <f>VLOOKUP(Table13[[#This Row],[kbli5]],Table1[[#All],[kbli5]:[digital_hijau]],5,)</f>
        <v>#N/A</v>
      </c>
      <c r="G731" s="53" t="e">
        <f>VLOOKUP(Table13[[#This Row],[kbli5]],Table1[[#All],[kbli5]:[digital_hijau]],6,)</f>
        <v>#N/A</v>
      </c>
      <c r="H731" s="54" t="e">
        <f>VLOOKUP(Table13[[#This Row],[kbli5]],kata_kunci!$B:$H,3,FALSE)</f>
        <v>#N/A</v>
      </c>
      <c r="I731" s="84" t="e">
        <f>VLOOKUP(Table13[[#This Row],[kbli5]],kata_kunci!$B:$H,5,FALSE)</f>
        <v>#N/A</v>
      </c>
      <c r="J731" s="84" t="e">
        <f>VLOOKUP(Table13[[#This Row],[kbli5]],kata_kunci!$B:$H,6,FALSE)</f>
        <v>#N/A</v>
      </c>
      <c r="K731" s="84" t="e">
        <f>VLOOKUP(Table13[[#This Row],[kbli5]],kata_kunci!$B:$H,7,FALSE)</f>
        <v>#N/A</v>
      </c>
    </row>
    <row r="732" spans="1:11" ht="45.75" thickBot="1" x14ac:dyDescent="0.3">
      <c r="A732" s="53" t="s">
        <v>996</v>
      </c>
      <c r="B732" s="40">
        <v>46203</v>
      </c>
      <c r="C732" s="41" t="s">
        <v>1000</v>
      </c>
      <c r="D732" s="30" t="e">
        <f>VLOOKUP(Table13[[#This Row],[kbli5]],Table1[[#All],[kbli5]:[digital_hijau]],3,)</f>
        <v>#N/A</v>
      </c>
      <c r="E732" s="53" t="e">
        <f>VLOOKUP(Table13[[#This Row],[kbli5]],kata_kunci!$B:$H,4,FALSE)</f>
        <v>#N/A</v>
      </c>
      <c r="F732" s="53" t="e">
        <f>VLOOKUP(Table13[[#This Row],[kbli5]],Table1[[#All],[kbli5]:[digital_hijau]],5,)</f>
        <v>#N/A</v>
      </c>
      <c r="G732" s="53" t="e">
        <f>VLOOKUP(Table13[[#This Row],[kbli5]],Table1[[#All],[kbli5]:[digital_hijau]],6,)</f>
        <v>#N/A</v>
      </c>
      <c r="H732" s="54" t="e">
        <f>VLOOKUP(Table13[[#This Row],[kbli5]],kata_kunci!$B:$H,3,FALSE)</f>
        <v>#N/A</v>
      </c>
      <c r="I732" s="84" t="e">
        <f>VLOOKUP(Table13[[#This Row],[kbli5]],kata_kunci!$B:$H,5,FALSE)</f>
        <v>#N/A</v>
      </c>
      <c r="J732" s="84" t="e">
        <f>VLOOKUP(Table13[[#This Row],[kbli5]],kata_kunci!$B:$H,6,FALSE)</f>
        <v>#N/A</v>
      </c>
      <c r="K732" s="84" t="e">
        <f>VLOOKUP(Table13[[#This Row],[kbli5]],kata_kunci!$B:$H,7,FALSE)</f>
        <v>#N/A</v>
      </c>
    </row>
    <row r="733" spans="1:11" ht="30.75" thickBot="1" x14ac:dyDescent="0.3">
      <c r="A733" s="53" t="s">
        <v>996</v>
      </c>
      <c r="B733" s="40">
        <v>46204</v>
      </c>
      <c r="C733" s="41" t="s">
        <v>1001</v>
      </c>
      <c r="D733" s="30" t="e">
        <f>VLOOKUP(Table13[[#This Row],[kbli5]],Table1[[#All],[kbli5]:[digital_hijau]],3,)</f>
        <v>#N/A</v>
      </c>
      <c r="E733" s="53" t="e">
        <f>VLOOKUP(Table13[[#This Row],[kbli5]],kata_kunci!$B:$H,4,FALSE)</f>
        <v>#N/A</v>
      </c>
      <c r="F733" s="53" t="e">
        <f>VLOOKUP(Table13[[#This Row],[kbli5]],Table1[[#All],[kbli5]:[digital_hijau]],5,)</f>
        <v>#N/A</v>
      </c>
      <c r="G733" s="53" t="e">
        <f>VLOOKUP(Table13[[#This Row],[kbli5]],Table1[[#All],[kbli5]:[digital_hijau]],6,)</f>
        <v>#N/A</v>
      </c>
      <c r="H733" s="54" t="e">
        <f>VLOOKUP(Table13[[#This Row],[kbli5]],kata_kunci!$B:$H,3,FALSE)</f>
        <v>#N/A</v>
      </c>
      <c r="I733" s="84" t="e">
        <f>VLOOKUP(Table13[[#This Row],[kbli5]],kata_kunci!$B:$H,5,FALSE)</f>
        <v>#N/A</v>
      </c>
      <c r="J733" s="84" t="e">
        <f>VLOOKUP(Table13[[#This Row],[kbli5]],kata_kunci!$B:$H,6,FALSE)</f>
        <v>#N/A</v>
      </c>
      <c r="K733" s="84" t="e">
        <f>VLOOKUP(Table13[[#This Row],[kbli5]],kata_kunci!$B:$H,7,FALSE)</f>
        <v>#N/A</v>
      </c>
    </row>
    <row r="734" spans="1:11" ht="30.75" thickBot="1" x14ac:dyDescent="0.3">
      <c r="A734" s="53" t="s">
        <v>996</v>
      </c>
      <c r="B734" s="40">
        <v>46205</v>
      </c>
      <c r="C734" s="41" t="s">
        <v>1002</v>
      </c>
      <c r="D734" s="30" t="e">
        <f>VLOOKUP(Table13[[#This Row],[kbli5]],Table1[[#All],[kbli5]:[digital_hijau]],3,)</f>
        <v>#N/A</v>
      </c>
      <c r="E734" s="53" t="e">
        <f>VLOOKUP(Table13[[#This Row],[kbli5]],kata_kunci!$B:$H,4,FALSE)</f>
        <v>#N/A</v>
      </c>
      <c r="F734" s="53" t="e">
        <f>VLOOKUP(Table13[[#This Row],[kbli5]],Table1[[#All],[kbli5]:[digital_hijau]],5,)</f>
        <v>#N/A</v>
      </c>
      <c r="G734" s="53" t="e">
        <f>VLOOKUP(Table13[[#This Row],[kbli5]],Table1[[#All],[kbli5]:[digital_hijau]],6,)</f>
        <v>#N/A</v>
      </c>
      <c r="H734" s="54" t="e">
        <f>VLOOKUP(Table13[[#This Row],[kbli5]],kata_kunci!$B:$H,3,FALSE)</f>
        <v>#N/A</v>
      </c>
      <c r="I734" s="84" t="e">
        <f>VLOOKUP(Table13[[#This Row],[kbli5]],kata_kunci!$B:$H,5,FALSE)</f>
        <v>#N/A</v>
      </c>
      <c r="J734" s="84" t="e">
        <f>VLOOKUP(Table13[[#This Row],[kbli5]],kata_kunci!$B:$H,6,FALSE)</f>
        <v>#N/A</v>
      </c>
      <c r="K734" s="84" t="e">
        <f>VLOOKUP(Table13[[#This Row],[kbli5]],kata_kunci!$B:$H,7,FALSE)</f>
        <v>#N/A</v>
      </c>
    </row>
    <row r="735" spans="1:11" ht="45.75" thickBot="1" x14ac:dyDescent="0.3">
      <c r="A735" s="53" t="s">
        <v>996</v>
      </c>
      <c r="B735" s="40">
        <v>46206</v>
      </c>
      <c r="C735" s="41" t="s">
        <v>1003</v>
      </c>
      <c r="D735" s="30" t="e">
        <f>VLOOKUP(Table13[[#This Row],[kbli5]],Table1[[#All],[kbli5]:[digital_hijau]],3,)</f>
        <v>#N/A</v>
      </c>
      <c r="E735" s="53" t="e">
        <f>VLOOKUP(Table13[[#This Row],[kbli5]],kata_kunci!$B:$H,4,FALSE)</f>
        <v>#N/A</v>
      </c>
      <c r="F735" s="53" t="e">
        <f>VLOOKUP(Table13[[#This Row],[kbli5]],Table1[[#All],[kbli5]:[digital_hijau]],5,)</f>
        <v>#N/A</v>
      </c>
      <c r="G735" s="53" t="e">
        <f>VLOOKUP(Table13[[#This Row],[kbli5]],Table1[[#All],[kbli5]:[digital_hijau]],6,)</f>
        <v>#N/A</v>
      </c>
      <c r="H735" s="54" t="e">
        <f>VLOOKUP(Table13[[#This Row],[kbli5]],kata_kunci!$B:$H,3,FALSE)</f>
        <v>#N/A</v>
      </c>
      <c r="I735" s="84" t="e">
        <f>VLOOKUP(Table13[[#This Row],[kbli5]],kata_kunci!$B:$H,5,FALSE)</f>
        <v>#N/A</v>
      </c>
      <c r="J735" s="84" t="e">
        <f>VLOOKUP(Table13[[#This Row],[kbli5]],kata_kunci!$B:$H,6,FALSE)</f>
        <v>#N/A</v>
      </c>
      <c r="K735" s="84" t="e">
        <f>VLOOKUP(Table13[[#This Row],[kbli5]],kata_kunci!$B:$H,7,FALSE)</f>
        <v>#N/A</v>
      </c>
    </row>
    <row r="736" spans="1:11" ht="45.75" thickBot="1" x14ac:dyDescent="0.3">
      <c r="A736" s="53" t="s">
        <v>996</v>
      </c>
      <c r="B736" s="40">
        <v>46207</v>
      </c>
      <c r="C736" s="41" t="s">
        <v>1004</v>
      </c>
      <c r="D736" s="30" t="e">
        <f>VLOOKUP(Table13[[#This Row],[kbli5]],Table1[[#All],[kbli5]:[digital_hijau]],3,)</f>
        <v>#N/A</v>
      </c>
      <c r="E736" s="53" t="e">
        <f>VLOOKUP(Table13[[#This Row],[kbli5]],kata_kunci!$B:$H,4,FALSE)</f>
        <v>#N/A</v>
      </c>
      <c r="F736" s="53" t="e">
        <f>VLOOKUP(Table13[[#This Row],[kbli5]],Table1[[#All],[kbli5]:[digital_hijau]],5,)</f>
        <v>#N/A</v>
      </c>
      <c r="G736" s="53" t="e">
        <f>VLOOKUP(Table13[[#This Row],[kbli5]],Table1[[#All],[kbli5]:[digital_hijau]],6,)</f>
        <v>#N/A</v>
      </c>
      <c r="H736" s="54" t="e">
        <f>VLOOKUP(Table13[[#This Row],[kbli5]],kata_kunci!$B:$H,3,FALSE)</f>
        <v>#N/A</v>
      </c>
      <c r="I736" s="84" t="e">
        <f>VLOOKUP(Table13[[#This Row],[kbli5]],kata_kunci!$B:$H,5,FALSE)</f>
        <v>#N/A</v>
      </c>
      <c r="J736" s="84" t="e">
        <f>VLOOKUP(Table13[[#This Row],[kbli5]],kata_kunci!$B:$H,6,FALSE)</f>
        <v>#N/A</v>
      </c>
      <c r="K736" s="84" t="e">
        <f>VLOOKUP(Table13[[#This Row],[kbli5]],kata_kunci!$B:$H,7,FALSE)</f>
        <v>#N/A</v>
      </c>
    </row>
    <row r="737" spans="1:11" ht="30.75" thickBot="1" x14ac:dyDescent="0.3">
      <c r="A737" s="53" t="s">
        <v>996</v>
      </c>
      <c r="B737" s="40">
        <v>46208</v>
      </c>
      <c r="C737" s="41" t="s">
        <v>1005</v>
      </c>
      <c r="D737" s="30" t="e">
        <f>VLOOKUP(Table13[[#This Row],[kbli5]],Table1[[#All],[kbli5]:[digital_hijau]],3,)</f>
        <v>#N/A</v>
      </c>
      <c r="E737" s="53" t="e">
        <f>VLOOKUP(Table13[[#This Row],[kbli5]],kata_kunci!$B:$H,4,FALSE)</f>
        <v>#N/A</v>
      </c>
      <c r="F737" s="53" t="e">
        <f>VLOOKUP(Table13[[#This Row],[kbli5]],Table1[[#All],[kbli5]:[digital_hijau]],5,)</f>
        <v>#N/A</v>
      </c>
      <c r="G737" s="53" t="e">
        <f>VLOOKUP(Table13[[#This Row],[kbli5]],Table1[[#All],[kbli5]:[digital_hijau]],6,)</f>
        <v>#N/A</v>
      </c>
      <c r="H737" s="54" t="e">
        <f>VLOOKUP(Table13[[#This Row],[kbli5]],kata_kunci!$B:$H,3,FALSE)</f>
        <v>#N/A</v>
      </c>
      <c r="I737" s="84" t="e">
        <f>VLOOKUP(Table13[[#This Row],[kbli5]],kata_kunci!$B:$H,5,FALSE)</f>
        <v>#N/A</v>
      </c>
      <c r="J737" s="84" t="e">
        <f>VLOOKUP(Table13[[#This Row],[kbli5]],kata_kunci!$B:$H,6,FALSE)</f>
        <v>#N/A</v>
      </c>
      <c r="K737" s="84" t="e">
        <f>VLOOKUP(Table13[[#This Row],[kbli5]],kata_kunci!$B:$H,7,FALSE)</f>
        <v>#N/A</v>
      </c>
    </row>
    <row r="738" spans="1:11" ht="45.75" thickBot="1" x14ac:dyDescent="0.3">
      <c r="A738" s="53" t="s">
        <v>996</v>
      </c>
      <c r="B738" s="40">
        <v>46209</v>
      </c>
      <c r="C738" s="41" t="s">
        <v>1006</v>
      </c>
      <c r="D738" s="30" t="e">
        <f>VLOOKUP(Table13[[#This Row],[kbli5]],Table1[[#All],[kbli5]:[digital_hijau]],3,)</f>
        <v>#N/A</v>
      </c>
      <c r="E738" s="53" t="e">
        <f>VLOOKUP(Table13[[#This Row],[kbli5]],kata_kunci!$B:$H,4,FALSE)</f>
        <v>#N/A</v>
      </c>
      <c r="F738" s="53" t="e">
        <f>VLOOKUP(Table13[[#This Row],[kbli5]],Table1[[#All],[kbli5]:[digital_hijau]],5,)</f>
        <v>#N/A</v>
      </c>
      <c r="G738" s="53" t="e">
        <f>VLOOKUP(Table13[[#This Row],[kbli5]],Table1[[#All],[kbli5]:[digital_hijau]],6,)</f>
        <v>#N/A</v>
      </c>
      <c r="H738" s="54" t="e">
        <f>VLOOKUP(Table13[[#This Row],[kbli5]],kata_kunci!$B:$H,3,FALSE)</f>
        <v>#N/A</v>
      </c>
      <c r="I738" s="84" t="e">
        <f>VLOOKUP(Table13[[#This Row],[kbli5]],kata_kunci!$B:$H,5,FALSE)</f>
        <v>#N/A</v>
      </c>
      <c r="J738" s="84" t="e">
        <f>VLOOKUP(Table13[[#This Row],[kbli5]],kata_kunci!$B:$H,6,FALSE)</f>
        <v>#N/A</v>
      </c>
      <c r="K738" s="84" t="e">
        <f>VLOOKUP(Table13[[#This Row],[kbli5]],kata_kunci!$B:$H,7,FALSE)</f>
        <v>#N/A</v>
      </c>
    </row>
    <row r="739" spans="1:11" ht="30.75" thickBot="1" x14ac:dyDescent="0.3">
      <c r="A739" s="53" t="s">
        <v>996</v>
      </c>
      <c r="B739" s="40">
        <v>46311</v>
      </c>
      <c r="C739" s="41" t="s">
        <v>1007</v>
      </c>
      <c r="D739" s="30" t="e">
        <f>VLOOKUP(Table13[[#This Row],[kbli5]],Table1[[#All],[kbli5]:[digital_hijau]],3,)</f>
        <v>#N/A</v>
      </c>
      <c r="E739" s="53" t="e">
        <f>VLOOKUP(Table13[[#This Row],[kbli5]],kata_kunci!$B:$H,4,FALSE)</f>
        <v>#N/A</v>
      </c>
      <c r="F739" s="53" t="e">
        <f>VLOOKUP(Table13[[#This Row],[kbli5]],Table1[[#All],[kbli5]:[digital_hijau]],5,)</f>
        <v>#N/A</v>
      </c>
      <c r="G739" s="53" t="e">
        <f>VLOOKUP(Table13[[#This Row],[kbli5]],Table1[[#All],[kbli5]:[digital_hijau]],6,)</f>
        <v>#N/A</v>
      </c>
      <c r="H739" s="54" t="e">
        <f>VLOOKUP(Table13[[#This Row],[kbli5]],kata_kunci!$B:$H,3,FALSE)</f>
        <v>#N/A</v>
      </c>
      <c r="I739" s="84" t="e">
        <f>VLOOKUP(Table13[[#This Row],[kbli5]],kata_kunci!$B:$H,5,FALSE)</f>
        <v>#N/A</v>
      </c>
      <c r="J739" s="84" t="e">
        <f>VLOOKUP(Table13[[#This Row],[kbli5]],kata_kunci!$B:$H,6,FALSE)</f>
        <v>#N/A</v>
      </c>
      <c r="K739" s="84" t="e">
        <f>VLOOKUP(Table13[[#This Row],[kbli5]],kata_kunci!$B:$H,7,FALSE)</f>
        <v>#N/A</v>
      </c>
    </row>
    <row r="740" spans="1:11" ht="30.75" thickBot="1" x14ac:dyDescent="0.3">
      <c r="A740" s="53" t="s">
        <v>996</v>
      </c>
      <c r="B740" s="40">
        <v>46312</v>
      </c>
      <c r="C740" s="41" t="s">
        <v>1008</v>
      </c>
      <c r="D740" s="30" t="e">
        <f>VLOOKUP(Table13[[#This Row],[kbli5]],Table1[[#All],[kbli5]:[digital_hijau]],3,)</f>
        <v>#N/A</v>
      </c>
      <c r="E740" s="53" t="e">
        <f>VLOOKUP(Table13[[#This Row],[kbli5]],kata_kunci!$B:$H,4,FALSE)</f>
        <v>#N/A</v>
      </c>
      <c r="F740" s="53" t="e">
        <f>VLOOKUP(Table13[[#This Row],[kbli5]],Table1[[#All],[kbli5]:[digital_hijau]],5,)</f>
        <v>#N/A</v>
      </c>
      <c r="G740" s="53" t="e">
        <f>VLOOKUP(Table13[[#This Row],[kbli5]],Table1[[#All],[kbli5]:[digital_hijau]],6,)</f>
        <v>#N/A</v>
      </c>
      <c r="H740" s="54" t="e">
        <f>VLOOKUP(Table13[[#This Row],[kbli5]],kata_kunci!$B:$H,3,FALSE)</f>
        <v>#N/A</v>
      </c>
      <c r="I740" s="84" t="e">
        <f>VLOOKUP(Table13[[#This Row],[kbli5]],kata_kunci!$B:$H,5,FALSE)</f>
        <v>#N/A</v>
      </c>
      <c r="J740" s="84" t="e">
        <f>VLOOKUP(Table13[[#This Row],[kbli5]],kata_kunci!$B:$H,6,FALSE)</f>
        <v>#N/A</v>
      </c>
      <c r="K740" s="84" t="e">
        <f>VLOOKUP(Table13[[#This Row],[kbli5]],kata_kunci!$B:$H,7,FALSE)</f>
        <v>#N/A</v>
      </c>
    </row>
    <row r="741" spans="1:11" ht="30.75" thickBot="1" x14ac:dyDescent="0.3">
      <c r="A741" s="53" t="s">
        <v>996</v>
      </c>
      <c r="B741" s="40">
        <v>46313</v>
      </c>
      <c r="C741" s="41" t="s">
        <v>1009</v>
      </c>
      <c r="D741" s="30" t="e">
        <f>VLOOKUP(Table13[[#This Row],[kbli5]],Table1[[#All],[kbli5]:[digital_hijau]],3,)</f>
        <v>#N/A</v>
      </c>
      <c r="E741" s="53" t="e">
        <f>VLOOKUP(Table13[[#This Row],[kbli5]],kata_kunci!$B:$H,4,FALSE)</f>
        <v>#N/A</v>
      </c>
      <c r="F741" s="53" t="e">
        <f>VLOOKUP(Table13[[#This Row],[kbli5]],Table1[[#All],[kbli5]:[digital_hijau]],5,)</f>
        <v>#N/A</v>
      </c>
      <c r="G741" s="53" t="e">
        <f>VLOOKUP(Table13[[#This Row],[kbli5]],Table1[[#All],[kbli5]:[digital_hijau]],6,)</f>
        <v>#N/A</v>
      </c>
      <c r="H741" s="54" t="e">
        <f>VLOOKUP(Table13[[#This Row],[kbli5]],kata_kunci!$B:$H,3,FALSE)</f>
        <v>#N/A</v>
      </c>
      <c r="I741" s="84" t="e">
        <f>VLOOKUP(Table13[[#This Row],[kbli5]],kata_kunci!$B:$H,5,FALSE)</f>
        <v>#N/A</v>
      </c>
      <c r="J741" s="84" t="e">
        <f>VLOOKUP(Table13[[#This Row],[kbli5]],kata_kunci!$B:$H,6,FALSE)</f>
        <v>#N/A</v>
      </c>
      <c r="K741" s="84" t="e">
        <f>VLOOKUP(Table13[[#This Row],[kbli5]],kata_kunci!$B:$H,7,FALSE)</f>
        <v>#N/A</v>
      </c>
    </row>
    <row r="742" spans="1:11" ht="30.75" thickBot="1" x14ac:dyDescent="0.3">
      <c r="A742" s="53" t="s">
        <v>996</v>
      </c>
      <c r="B742" s="40">
        <v>46314</v>
      </c>
      <c r="C742" s="41" t="s">
        <v>1010</v>
      </c>
      <c r="D742" s="30" t="e">
        <f>VLOOKUP(Table13[[#This Row],[kbli5]],Table1[[#All],[kbli5]:[digital_hijau]],3,)</f>
        <v>#N/A</v>
      </c>
      <c r="E742" s="53" t="e">
        <f>VLOOKUP(Table13[[#This Row],[kbli5]],kata_kunci!$B:$H,4,FALSE)</f>
        <v>#N/A</v>
      </c>
      <c r="F742" s="53" t="e">
        <f>VLOOKUP(Table13[[#This Row],[kbli5]],Table1[[#All],[kbli5]:[digital_hijau]],5,)</f>
        <v>#N/A</v>
      </c>
      <c r="G742" s="53" t="e">
        <f>VLOOKUP(Table13[[#This Row],[kbli5]],Table1[[#All],[kbli5]:[digital_hijau]],6,)</f>
        <v>#N/A</v>
      </c>
      <c r="H742" s="54" t="e">
        <f>VLOOKUP(Table13[[#This Row],[kbli5]],kata_kunci!$B:$H,3,FALSE)</f>
        <v>#N/A</v>
      </c>
      <c r="I742" s="84" t="e">
        <f>VLOOKUP(Table13[[#This Row],[kbli5]],kata_kunci!$B:$H,5,FALSE)</f>
        <v>#N/A</v>
      </c>
      <c r="J742" s="84" t="e">
        <f>VLOOKUP(Table13[[#This Row],[kbli5]],kata_kunci!$B:$H,6,FALSE)</f>
        <v>#N/A</v>
      </c>
      <c r="K742" s="84" t="e">
        <f>VLOOKUP(Table13[[#This Row],[kbli5]],kata_kunci!$B:$H,7,FALSE)</f>
        <v>#N/A</v>
      </c>
    </row>
    <row r="743" spans="1:11" ht="45.75" thickBot="1" x14ac:dyDescent="0.3">
      <c r="A743" s="53" t="s">
        <v>996</v>
      </c>
      <c r="B743" s="40">
        <v>46315</v>
      </c>
      <c r="C743" s="41" t="s">
        <v>1011</v>
      </c>
      <c r="D743" s="30" t="e">
        <f>VLOOKUP(Table13[[#This Row],[kbli5]],Table1[[#All],[kbli5]:[digital_hijau]],3,)</f>
        <v>#N/A</v>
      </c>
      <c r="E743" s="53" t="e">
        <f>VLOOKUP(Table13[[#This Row],[kbli5]],kata_kunci!$B:$H,4,FALSE)</f>
        <v>#N/A</v>
      </c>
      <c r="F743" s="53" t="e">
        <f>VLOOKUP(Table13[[#This Row],[kbli5]],Table1[[#All],[kbli5]:[digital_hijau]],5,)</f>
        <v>#N/A</v>
      </c>
      <c r="G743" s="53" t="e">
        <f>VLOOKUP(Table13[[#This Row],[kbli5]],Table1[[#All],[kbli5]:[digital_hijau]],6,)</f>
        <v>#N/A</v>
      </c>
      <c r="H743" s="54" t="e">
        <f>VLOOKUP(Table13[[#This Row],[kbli5]],kata_kunci!$B:$H,3,FALSE)</f>
        <v>#N/A</v>
      </c>
      <c r="I743" s="84" t="e">
        <f>VLOOKUP(Table13[[#This Row],[kbli5]],kata_kunci!$B:$H,5,FALSE)</f>
        <v>#N/A</v>
      </c>
      <c r="J743" s="84" t="e">
        <f>VLOOKUP(Table13[[#This Row],[kbli5]],kata_kunci!$B:$H,6,FALSE)</f>
        <v>#N/A</v>
      </c>
      <c r="K743" s="84" t="e">
        <f>VLOOKUP(Table13[[#This Row],[kbli5]],kata_kunci!$B:$H,7,FALSE)</f>
        <v>#N/A</v>
      </c>
    </row>
    <row r="744" spans="1:11" ht="45.75" thickBot="1" x14ac:dyDescent="0.3">
      <c r="A744" s="53" t="s">
        <v>996</v>
      </c>
      <c r="B744" s="40">
        <v>46319</v>
      </c>
      <c r="C744" s="41" t="s">
        <v>1012</v>
      </c>
      <c r="D744" s="30" t="e">
        <f>VLOOKUP(Table13[[#This Row],[kbli5]],Table1[[#All],[kbli5]:[digital_hijau]],3,)</f>
        <v>#N/A</v>
      </c>
      <c r="E744" s="53" t="e">
        <f>VLOOKUP(Table13[[#This Row],[kbli5]],kata_kunci!$B:$H,4,FALSE)</f>
        <v>#N/A</v>
      </c>
      <c r="F744" s="53" t="e">
        <f>VLOOKUP(Table13[[#This Row],[kbli5]],Table1[[#All],[kbli5]:[digital_hijau]],5,)</f>
        <v>#N/A</v>
      </c>
      <c r="G744" s="53" t="e">
        <f>VLOOKUP(Table13[[#This Row],[kbli5]],Table1[[#All],[kbli5]:[digital_hijau]],6,)</f>
        <v>#N/A</v>
      </c>
      <c r="H744" s="54" t="e">
        <f>VLOOKUP(Table13[[#This Row],[kbli5]],kata_kunci!$B:$H,3,FALSE)</f>
        <v>#N/A</v>
      </c>
      <c r="I744" s="84" t="e">
        <f>VLOOKUP(Table13[[#This Row],[kbli5]],kata_kunci!$B:$H,5,FALSE)</f>
        <v>#N/A</v>
      </c>
      <c r="J744" s="84" t="e">
        <f>VLOOKUP(Table13[[#This Row],[kbli5]],kata_kunci!$B:$H,6,FALSE)</f>
        <v>#N/A</v>
      </c>
      <c r="K744" s="84" t="e">
        <f>VLOOKUP(Table13[[#This Row],[kbli5]],kata_kunci!$B:$H,7,FALSE)</f>
        <v>#N/A</v>
      </c>
    </row>
    <row r="745" spans="1:11" ht="45.75" thickBot="1" x14ac:dyDescent="0.3">
      <c r="A745" s="53" t="s">
        <v>996</v>
      </c>
      <c r="B745" s="40">
        <v>46321</v>
      </c>
      <c r="C745" s="41" t="s">
        <v>1013</v>
      </c>
      <c r="D745" s="30" t="e">
        <f>VLOOKUP(Table13[[#This Row],[kbli5]],Table1[[#All],[kbli5]:[digital_hijau]],3,)</f>
        <v>#N/A</v>
      </c>
      <c r="E745" s="53" t="e">
        <f>VLOOKUP(Table13[[#This Row],[kbli5]],kata_kunci!$B:$H,4,FALSE)</f>
        <v>#N/A</v>
      </c>
      <c r="F745" s="53" t="e">
        <f>VLOOKUP(Table13[[#This Row],[kbli5]],Table1[[#All],[kbli5]:[digital_hijau]],5,)</f>
        <v>#N/A</v>
      </c>
      <c r="G745" s="53" t="e">
        <f>VLOOKUP(Table13[[#This Row],[kbli5]],Table1[[#All],[kbli5]:[digital_hijau]],6,)</f>
        <v>#N/A</v>
      </c>
      <c r="H745" s="54" t="e">
        <f>VLOOKUP(Table13[[#This Row],[kbli5]],kata_kunci!$B:$H,3,FALSE)</f>
        <v>#N/A</v>
      </c>
      <c r="I745" s="84" t="e">
        <f>VLOOKUP(Table13[[#This Row],[kbli5]],kata_kunci!$B:$H,5,FALSE)</f>
        <v>#N/A</v>
      </c>
      <c r="J745" s="84" t="e">
        <f>VLOOKUP(Table13[[#This Row],[kbli5]],kata_kunci!$B:$H,6,FALSE)</f>
        <v>#N/A</v>
      </c>
      <c r="K745" s="84" t="e">
        <f>VLOOKUP(Table13[[#This Row],[kbli5]],kata_kunci!$B:$H,7,FALSE)</f>
        <v>#N/A</v>
      </c>
    </row>
    <row r="746" spans="1:11" ht="45.75" thickBot="1" x14ac:dyDescent="0.3">
      <c r="A746" s="53" t="s">
        <v>996</v>
      </c>
      <c r="B746" s="40">
        <v>46322</v>
      </c>
      <c r="C746" s="41" t="s">
        <v>1014</v>
      </c>
      <c r="D746" s="30" t="e">
        <f>VLOOKUP(Table13[[#This Row],[kbli5]],Table1[[#All],[kbli5]:[digital_hijau]],3,)</f>
        <v>#N/A</v>
      </c>
      <c r="E746" s="53" t="e">
        <f>VLOOKUP(Table13[[#This Row],[kbli5]],kata_kunci!$B:$H,4,FALSE)</f>
        <v>#N/A</v>
      </c>
      <c r="F746" s="53" t="e">
        <f>VLOOKUP(Table13[[#This Row],[kbli5]],Table1[[#All],[kbli5]:[digital_hijau]],5,)</f>
        <v>#N/A</v>
      </c>
      <c r="G746" s="53" t="e">
        <f>VLOOKUP(Table13[[#This Row],[kbli5]],Table1[[#All],[kbli5]:[digital_hijau]],6,)</f>
        <v>#N/A</v>
      </c>
      <c r="H746" s="54" t="e">
        <f>VLOOKUP(Table13[[#This Row],[kbli5]],kata_kunci!$B:$H,3,FALSE)</f>
        <v>#N/A</v>
      </c>
      <c r="I746" s="84" t="e">
        <f>VLOOKUP(Table13[[#This Row],[kbli5]],kata_kunci!$B:$H,5,FALSE)</f>
        <v>#N/A</v>
      </c>
      <c r="J746" s="84" t="e">
        <f>VLOOKUP(Table13[[#This Row],[kbli5]],kata_kunci!$B:$H,6,FALSE)</f>
        <v>#N/A</v>
      </c>
      <c r="K746" s="84" t="e">
        <f>VLOOKUP(Table13[[#This Row],[kbli5]],kata_kunci!$B:$H,7,FALSE)</f>
        <v>#N/A</v>
      </c>
    </row>
    <row r="747" spans="1:11" ht="45.75" thickBot="1" x14ac:dyDescent="0.3">
      <c r="A747" s="53" t="s">
        <v>996</v>
      </c>
      <c r="B747" s="40">
        <v>46323</v>
      </c>
      <c r="C747" s="41" t="s">
        <v>1015</v>
      </c>
      <c r="D747" s="30" t="e">
        <f>VLOOKUP(Table13[[#This Row],[kbli5]],Table1[[#All],[kbli5]:[digital_hijau]],3,)</f>
        <v>#N/A</v>
      </c>
      <c r="E747" s="53" t="e">
        <f>VLOOKUP(Table13[[#This Row],[kbli5]],kata_kunci!$B:$H,4,FALSE)</f>
        <v>#N/A</v>
      </c>
      <c r="F747" s="53" t="e">
        <f>VLOOKUP(Table13[[#This Row],[kbli5]],Table1[[#All],[kbli5]:[digital_hijau]],5,)</f>
        <v>#N/A</v>
      </c>
      <c r="G747" s="53" t="e">
        <f>VLOOKUP(Table13[[#This Row],[kbli5]],Table1[[#All],[kbli5]:[digital_hijau]],6,)</f>
        <v>#N/A</v>
      </c>
      <c r="H747" s="54" t="e">
        <f>VLOOKUP(Table13[[#This Row],[kbli5]],kata_kunci!$B:$H,3,FALSE)</f>
        <v>#N/A</v>
      </c>
      <c r="I747" s="84" t="e">
        <f>VLOOKUP(Table13[[#This Row],[kbli5]],kata_kunci!$B:$H,5,FALSE)</f>
        <v>#N/A</v>
      </c>
      <c r="J747" s="84" t="e">
        <f>VLOOKUP(Table13[[#This Row],[kbli5]],kata_kunci!$B:$H,6,FALSE)</f>
        <v>#N/A</v>
      </c>
      <c r="K747" s="84" t="e">
        <f>VLOOKUP(Table13[[#This Row],[kbli5]],kata_kunci!$B:$H,7,FALSE)</f>
        <v>#N/A</v>
      </c>
    </row>
    <row r="748" spans="1:11" ht="45.75" thickBot="1" x14ac:dyDescent="0.3">
      <c r="A748" s="53" t="s">
        <v>996</v>
      </c>
      <c r="B748" s="40">
        <v>46324</v>
      </c>
      <c r="C748" s="41" t="s">
        <v>1016</v>
      </c>
      <c r="D748" s="30" t="e">
        <f>VLOOKUP(Table13[[#This Row],[kbli5]],Table1[[#All],[kbli5]:[digital_hijau]],3,)</f>
        <v>#N/A</v>
      </c>
      <c r="E748" s="53" t="e">
        <f>VLOOKUP(Table13[[#This Row],[kbli5]],kata_kunci!$B:$H,4,FALSE)</f>
        <v>#N/A</v>
      </c>
      <c r="F748" s="53" t="e">
        <f>VLOOKUP(Table13[[#This Row],[kbli5]],Table1[[#All],[kbli5]:[digital_hijau]],5,)</f>
        <v>#N/A</v>
      </c>
      <c r="G748" s="53" t="e">
        <f>VLOOKUP(Table13[[#This Row],[kbli5]],Table1[[#All],[kbli5]:[digital_hijau]],6,)</f>
        <v>#N/A</v>
      </c>
      <c r="H748" s="54" t="e">
        <f>VLOOKUP(Table13[[#This Row],[kbli5]],kata_kunci!$B:$H,3,FALSE)</f>
        <v>#N/A</v>
      </c>
      <c r="I748" s="84" t="e">
        <f>VLOOKUP(Table13[[#This Row],[kbli5]],kata_kunci!$B:$H,5,FALSE)</f>
        <v>#N/A</v>
      </c>
      <c r="J748" s="84" t="e">
        <f>VLOOKUP(Table13[[#This Row],[kbli5]],kata_kunci!$B:$H,6,FALSE)</f>
        <v>#N/A</v>
      </c>
      <c r="K748" s="84" t="e">
        <f>VLOOKUP(Table13[[#This Row],[kbli5]],kata_kunci!$B:$H,7,FALSE)</f>
        <v>#N/A</v>
      </c>
    </row>
    <row r="749" spans="1:11" ht="45.75" thickBot="1" x14ac:dyDescent="0.3">
      <c r="A749" s="53" t="s">
        <v>996</v>
      </c>
      <c r="B749" s="40">
        <v>46325</v>
      </c>
      <c r="C749" s="41" t="s">
        <v>1017</v>
      </c>
      <c r="D749" s="30" t="e">
        <f>VLOOKUP(Table13[[#This Row],[kbli5]],Table1[[#All],[kbli5]:[digital_hijau]],3,)</f>
        <v>#N/A</v>
      </c>
      <c r="E749" s="53" t="e">
        <f>VLOOKUP(Table13[[#This Row],[kbli5]],kata_kunci!$B:$H,4,FALSE)</f>
        <v>#N/A</v>
      </c>
      <c r="F749" s="53" t="e">
        <f>VLOOKUP(Table13[[#This Row],[kbli5]],Table1[[#All],[kbli5]:[digital_hijau]],5,)</f>
        <v>#N/A</v>
      </c>
      <c r="G749" s="53" t="e">
        <f>VLOOKUP(Table13[[#This Row],[kbli5]],Table1[[#All],[kbli5]:[digital_hijau]],6,)</f>
        <v>#N/A</v>
      </c>
      <c r="H749" s="54" t="e">
        <f>VLOOKUP(Table13[[#This Row],[kbli5]],kata_kunci!$B:$H,3,FALSE)</f>
        <v>#N/A</v>
      </c>
      <c r="I749" s="84" t="e">
        <f>VLOOKUP(Table13[[#This Row],[kbli5]],kata_kunci!$B:$H,5,FALSE)</f>
        <v>#N/A</v>
      </c>
      <c r="J749" s="84" t="e">
        <f>VLOOKUP(Table13[[#This Row],[kbli5]],kata_kunci!$B:$H,6,FALSE)</f>
        <v>#N/A</v>
      </c>
      <c r="K749" s="84" t="e">
        <f>VLOOKUP(Table13[[#This Row],[kbli5]],kata_kunci!$B:$H,7,FALSE)</f>
        <v>#N/A</v>
      </c>
    </row>
    <row r="750" spans="1:11" ht="30.75" thickBot="1" x14ac:dyDescent="0.3">
      <c r="A750" s="53" t="s">
        <v>996</v>
      </c>
      <c r="B750" s="40">
        <v>46326</v>
      </c>
      <c r="C750" s="41" t="s">
        <v>1018</v>
      </c>
      <c r="D750" s="30" t="e">
        <f>VLOOKUP(Table13[[#This Row],[kbli5]],Table1[[#All],[kbli5]:[digital_hijau]],3,)</f>
        <v>#N/A</v>
      </c>
      <c r="E750" s="53" t="e">
        <f>VLOOKUP(Table13[[#This Row],[kbli5]],kata_kunci!$B:$H,4,FALSE)</f>
        <v>#N/A</v>
      </c>
      <c r="F750" s="53" t="e">
        <f>VLOOKUP(Table13[[#This Row],[kbli5]],Table1[[#All],[kbli5]:[digital_hijau]],5,)</f>
        <v>#N/A</v>
      </c>
      <c r="G750" s="53" t="e">
        <f>VLOOKUP(Table13[[#This Row],[kbli5]],Table1[[#All],[kbli5]:[digital_hijau]],6,)</f>
        <v>#N/A</v>
      </c>
      <c r="H750" s="54" t="e">
        <f>VLOOKUP(Table13[[#This Row],[kbli5]],kata_kunci!$B:$H,3,FALSE)</f>
        <v>#N/A</v>
      </c>
      <c r="I750" s="84" t="e">
        <f>VLOOKUP(Table13[[#This Row],[kbli5]],kata_kunci!$B:$H,5,FALSE)</f>
        <v>#N/A</v>
      </c>
      <c r="J750" s="84" t="e">
        <f>VLOOKUP(Table13[[#This Row],[kbli5]],kata_kunci!$B:$H,6,FALSE)</f>
        <v>#N/A</v>
      </c>
      <c r="K750" s="84" t="e">
        <f>VLOOKUP(Table13[[#This Row],[kbli5]],kata_kunci!$B:$H,7,FALSE)</f>
        <v>#N/A</v>
      </c>
    </row>
    <row r="751" spans="1:11" ht="45.75" thickBot="1" x14ac:dyDescent="0.3">
      <c r="A751" s="53" t="s">
        <v>996</v>
      </c>
      <c r="B751" s="40">
        <v>46327</v>
      </c>
      <c r="C751" s="41" t="s">
        <v>1019</v>
      </c>
      <c r="D751" s="30" t="e">
        <f>VLOOKUP(Table13[[#This Row],[kbli5]],Table1[[#All],[kbli5]:[digital_hijau]],3,)</f>
        <v>#N/A</v>
      </c>
      <c r="E751" s="53" t="e">
        <f>VLOOKUP(Table13[[#This Row],[kbli5]],kata_kunci!$B:$H,4,FALSE)</f>
        <v>#N/A</v>
      </c>
      <c r="F751" s="53" t="e">
        <f>VLOOKUP(Table13[[#This Row],[kbli5]],Table1[[#All],[kbli5]:[digital_hijau]],5,)</f>
        <v>#N/A</v>
      </c>
      <c r="G751" s="53" t="e">
        <f>VLOOKUP(Table13[[#This Row],[kbli5]],Table1[[#All],[kbli5]:[digital_hijau]],6,)</f>
        <v>#N/A</v>
      </c>
      <c r="H751" s="54" t="e">
        <f>VLOOKUP(Table13[[#This Row],[kbli5]],kata_kunci!$B:$H,3,FALSE)</f>
        <v>#N/A</v>
      </c>
      <c r="I751" s="84" t="e">
        <f>VLOOKUP(Table13[[#This Row],[kbli5]],kata_kunci!$B:$H,5,FALSE)</f>
        <v>#N/A</v>
      </c>
      <c r="J751" s="84" t="e">
        <f>VLOOKUP(Table13[[#This Row],[kbli5]],kata_kunci!$B:$H,6,FALSE)</f>
        <v>#N/A</v>
      </c>
      <c r="K751" s="84" t="e">
        <f>VLOOKUP(Table13[[#This Row],[kbli5]],kata_kunci!$B:$H,7,FALSE)</f>
        <v>#N/A</v>
      </c>
    </row>
    <row r="752" spans="1:11" ht="45.75" thickBot="1" x14ac:dyDescent="0.3">
      <c r="A752" s="53" t="s">
        <v>996</v>
      </c>
      <c r="B752" s="40">
        <v>46329</v>
      </c>
      <c r="C752" s="41" t="s">
        <v>1012</v>
      </c>
      <c r="D752" s="30" t="e">
        <f>VLOOKUP(Table13[[#This Row],[kbli5]],Table1[[#All],[kbli5]:[digital_hijau]],3,)</f>
        <v>#N/A</v>
      </c>
      <c r="E752" s="53" t="e">
        <f>VLOOKUP(Table13[[#This Row],[kbli5]],kata_kunci!$B:$H,4,FALSE)</f>
        <v>#N/A</v>
      </c>
      <c r="F752" s="53" t="e">
        <f>VLOOKUP(Table13[[#This Row],[kbli5]],Table1[[#All],[kbli5]:[digital_hijau]],5,)</f>
        <v>#N/A</v>
      </c>
      <c r="G752" s="53" t="e">
        <f>VLOOKUP(Table13[[#This Row],[kbli5]],Table1[[#All],[kbli5]:[digital_hijau]],6,)</f>
        <v>#N/A</v>
      </c>
      <c r="H752" s="54" t="e">
        <f>VLOOKUP(Table13[[#This Row],[kbli5]],kata_kunci!$B:$H,3,FALSE)</f>
        <v>#N/A</v>
      </c>
      <c r="I752" s="84" t="e">
        <f>VLOOKUP(Table13[[#This Row],[kbli5]],kata_kunci!$B:$H,5,FALSE)</f>
        <v>#N/A</v>
      </c>
      <c r="J752" s="84" t="e">
        <f>VLOOKUP(Table13[[#This Row],[kbli5]],kata_kunci!$B:$H,6,FALSE)</f>
        <v>#N/A</v>
      </c>
      <c r="K752" s="84" t="e">
        <f>VLOOKUP(Table13[[#This Row],[kbli5]],kata_kunci!$B:$H,7,FALSE)</f>
        <v>#N/A</v>
      </c>
    </row>
    <row r="753" spans="1:11" ht="45.75" thickBot="1" x14ac:dyDescent="0.3">
      <c r="A753" s="53" t="s">
        <v>996</v>
      </c>
      <c r="B753" s="40">
        <v>46331</v>
      </c>
      <c r="C753" s="41" t="s">
        <v>1020</v>
      </c>
      <c r="D753" s="30" t="e">
        <f>VLOOKUP(Table13[[#This Row],[kbli5]],Table1[[#All],[kbli5]:[digital_hijau]],3,)</f>
        <v>#N/A</v>
      </c>
      <c r="E753" s="53" t="e">
        <f>VLOOKUP(Table13[[#This Row],[kbli5]],kata_kunci!$B:$H,4,FALSE)</f>
        <v>#N/A</v>
      </c>
      <c r="F753" s="53" t="e">
        <f>VLOOKUP(Table13[[#This Row],[kbli5]],Table1[[#All],[kbli5]:[digital_hijau]],5,)</f>
        <v>#N/A</v>
      </c>
      <c r="G753" s="53" t="e">
        <f>VLOOKUP(Table13[[#This Row],[kbli5]],Table1[[#All],[kbli5]:[digital_hijau]],6,)</f>
        <v>#N/A</v>
      </c>
      <c r="H753" s="54" t="e">
        <f>VLOOKUP(Table13[[#This Row],[kbli5]],kata_kunci!$B:$H,3,FALSE)</f>
        <v>#N/A</v>
      </c>
      <c r="I753" s="84" t="e">
        <f>VLOOKUP(Table13[[#This Row],[kbli5]],kata_kunci!$B:$H,5,FALSE)</f>
        <v>#N/A</v>
      </c>
      <c r="J753" s="84" t="e">
        <f>VLOOKUP(Table13[[#This Row],[kbli5]],kata_kunci!$B:$H,6,FALSE)</f>
        <v>#N/A</v>
      </c>
      <c r="K753" s="84" t="e">
        <f>VLOOKUP(Table13[[#This Row],[kbli5]],kata_kunci!$B:$H,7,FALSE)</f>
        <v>#N/A</v>
      </c>
    </row>
    <row r="754" spans="1:11" ht="30.75" thickBot="1" x14ac:dyDescent="0.3">
      <c r="A754" s="53" t="s">
        <v>996</v>
      </c>
      <c r="B754" s="40">
        <v>46332</v>
      </c>
      <c r="C754" s="41" t="s">
        <v>1021</v>
      </c>
      <c r="D754" s="30" t="e">
        <f>VLOOKUP(Table13[[#This Row],[kbli5]],Table1[[#All],[kbli5]:[digital_hijau]],3,)</f>
        <v>#N/A</v>
      </c>
      <c r="E754" s="53" t="e">
        <f>VLOOKUP(Table13[[#This Row],[kbli5]],kata_kunci!$B:$H,4,FALSE)</f>
        <v>#N/A</v>
      </c>
      <c r="F754" s="53" t="e">
        <f>VLOOKUP(Table13[[#This Row],[kbli5]],Table1[[#All],[kbli5]:[digital_hijau]],5,)</f>
        <v>#N/A</v>
      </c>
      <c r="G754" s="53" t="e">
        <f>VLOOKUP(Table13[[#This Row],[kbli5]],Table1[[#All],[kbli5]:[digital_hijau]],6,)</f>
        <v>#N/A</v>
      </c>
      <c r="H754" s="54" t="e">
        <f>VLOOKUP(Table13[[#This Row],[kbli5]],kata_kunci!$B:$H,3,FALSE)</f>
        <v>#N/A</v>
      </c>
      <c r="I754" s="84" t="e">
        <f>VLOOKUP(Table13[[#This Row],[kbli5]],kata_kunci!$B:$H,5,FALSE)</f>
        <v>#N/A</v>
      </c>
      <c r="J754" s="84" t="e">
        <f>VLOOKUP(Table13[[#This Row],[kbli5]],kata_kunci!$B:$H,6,FALSE)</f>
        <v>#N/A</v>
      </c>
      <c r="K754" s="84" t="e">
        <f>VLOOKUP(Table13[[#This Row],[kbli5]],kata_kunci!$B:$H,7,FALSE)</f>
        <v>#N/A</v>
      </c>
    </row>
    <row r="755" spans="1:11" ht="30.75" thickBot="1" x14ac:dyDescent="0.3">
      <c r="A755" s="53" t="s">
        <v>996</v>
      </c>
      <c r="B755" s="40">
        <v>46333</v>
      </c>
      <c r="C755" s="41" t="s">
        <v>1022</v>
      </c>
      <c r="D755" s="30" t="e">
        <f>VLOOKUP(Table13[[#This Row],[kbli5]],Table1[[#All],[kbli5]:[digital_hijau]],3,)</f>
        <v>#N/A</v>
      </c>
      <c r="E755" s="53" t="e">
        <f>VLOOKUP(Table13[[#This Row],[kbli5]],kata_kunci!$B:$H,4,FALSE)</f>
        <v>#N/A</v>
      </c>
      <c r="F755" s="53" t="e">
        <f>VLOOKUP(Table13[[#This Row],[kbli5]],Table1[[#All],[kbli5]:[digital_hijau]],5,)</f>
        <v>#N/A</v>
      </c>
      <c r="G755" s="53" t="e">
        <f>VLOOKUP(Table13[[#This Row],[kbli5]],Table1[[#All],[kbli5]:[digital_hijau]],6,)</f>
        <v>#N/A</v>
      </c>
      <c r="H755" s="54" t="e">
        <f>VLOOKUP(Table13[[#This Row],[kbli5]],kata_kunci!$B:$H,3,FALSE)</f>
        <v>#N/A</v>
      </c>
      <c r="I755" s="84" t="e">
        <f>VLOOKUP(Table13[[#This Row],[kbli5]],kata_kunci!$B:$H,5,FALSE)</f>
        <v>#N/A</v>
      </c>
      <c r="J755" s="84" t="e">
        <f>VLOOKUP(Table13[[#This Row],[kbli5]],kata_kunci!$B:$H,6,FALSE)</f>
        <v>#N/A</v>
      </c>
      <c r="K755" s="84" t="e">
        <f>VLOOKUP(Table13[[#This Row],[kbli5]],kata_kunci!$B:$H,7,FALSE)</f>
        <v>#N/A</v>
      </c>
    </row>
    <row r="756" spans="1:11" ht="45.75" thickBot="1" x14ac:dyDescent="0.3">
      <c r="A756" s="53" t="s">
        <v>996</v>
      </c>
      <c r="B756" s="40">
        <v>46334</v>
      </c>
      <c r="C756" s="41" t="s">
        <v>1023</v>
      </c>
      <c r="D756" s="30" t="e">
        <f>VLOOKUP(Table13[[#This Row],[kbli5]],Table1[[#All],[kbli5]:[digital_hijau]],3,)</f>
        <v>#N/A</v>
      </c>
      <c r="E756" s="53" t="e">
        <f>VLOOKUP(Table13[[#This Row],[kbli5]],kata_kunci!$B:$H,4,FALSE)</f>
        <v>#N/A</v>
      </c>
      <c r="F756" s="53" t="e">
        <f>VLOOKUP(Table13[[#This Row],[kbli5]],Table1[[#All],[kbli5]:[digital_hijau]],5,)</f>
        <v>#N/A</v>
      </c>
      <c r="G756" s="53" t="e">
        <f>VLOOKUP(Table13[[#This Row],[kbli5]],Table1[[#All],[kbli5]:[digital_hijau]],6,)</f>
        <v>#N/A</v>
      </c>
      <c r="H756" s="54" t="e">
        <f>VLOOKUP(Table13[[#This Row],[kbli5]],kata_kunci!$B:$H,3,FALSE)</f>
        <v>#N/A</v>
      </c>
      <c r="I756" s="84" t="e">
        <f>VLOOKUP(Table13[[#This Row],[kbli5]],kata_kunci!$B:$H,5,FALSE)</f>
        <v>#N/A</v>
      </c>
      <c r="J756" s="84" t="e">
        <f>VLOOKUP(Table13[[#This Row],[kbli5]],kata_kunci!$B:$H,6,FALSE)</f>
        <v>#N/A</v>
      </c>
      <c r="K756" s="84" t="e">
        <f>VLOOKUP(Table13[[#This Row],[kbli5]],kata_kunci!$B:$H,7,FALSE)</f>
        <v>#N/A</v>
      </c>
    </row>
    <row r="757" spans="1:11" ht="30.75" thickBot="1" x14ac:dyDescent="0.3">
      <c r="A757" s="53" t="s">
        <v>996</v>
      </c>
      <c r="B757" s="40">
        <v>46335</v>
      </c>
      <c r="C757" s="41" t="s">
        <v>1024</v>
      </c>
      <c r="D757" s="30" t="e">
        <f>VLOOKUP(Table13[[#This Row],[kbli5]],Table1[[#All],[kbli5]:[digital_hijau]],3,)</f>
        <v>#N/A</v>
      </c>
      <c r="E757" s="53" t="e">
        <f>VLOOKUP(Table13[[#This Row],[kbli5]],kata_kunci!$B:$H,4,FALSE)</f>
        <v>#N/A</v>
      </c>
      <c r="F757" s="53" t="e">
        <f>VLOOKUP(Table13[[#This Row],[kbli5]],Table1[[#All],[kbli5]:[digital_hijau]],5,)</f>
        <v>#N/A</v>
      </c>
      <c r="G757" s="53" t="e">
        <f>VLOOKUP(Table13[[#This Row],[kbli5]],Table1[[#All],[kbli5]:[digital_hijau]],6,)</f>
        <v>#N/A</v>
      </c>
      <c r="H757" s="54" t="e">
        <f>VLOOKUP(Table13[[#This Row],[kbli5]],kata_kunci!$B:$H,3,FALSE)</f>
        <v>#N/A</v>
      </c>
      <c r="I757" s="84" t="e">
        <f>VLOOKUP(Table13[[#This Row],[kbli5]],kata_kunci!$B:$H,5,FALSE)</f>
        <v>#N/A</v>
      </c>
      <c r="J757" s="84" t="e">
        <f>VLOOKUP(Table13[[#This Row],[kbli5]],kata_kunci!$B:$H,6,FALSE)</f>
        <v>#N/A</v>
      </c>
      <c r="K757" s="84" t="e">
        <f>VLOOKUP(Table13[[#This Row],[kbli5]],kata_kunci!$B:$H,7,FALSE)</f>
        <v>#N/A</v>
      </c>
    </row>
    <row r="758" spans="1:11" ht="45.75" thickBot="1" x14ac:dyDescent="0.3">
      <c r="A758" s="53" t="s">
        <v>996</v>
      </c>
      <c r="B758" s="40">
        <v>46339</v>
      </c>
      <c r="C758" s="41" t="s">
        <v>1025</v>
      </c>
      <c r="D758" s="30" t="e">
        <f>VLOOKUP(Table13[[#This Row],[kbli5]],Table1[[#All],[kbli5]:[digital_hijau]],3,)</f>
        <v>#N/A</v>
      </c>
      <c r="E758" s="53" t="e">
        <f>VLOOKUP(Table13[[#This Row],[kbli5]],kata_kunci!$B:$H,4,FALSE)</f>
        <v>#N/A</v>
      </c>
      <c r="F758" s="53" t="e">
        <f>VLOOKUP(Table13[[#This Row],[kbli5]],Table1[[#All],[kbli5]:[digital_hijau]],5,)</f>
        <v>#N/A</v>
      </c>
      <c r="G758" s="53" t="e">
        <f>VLOOKUP(Table13[[#This Row],[kbli5]],Table1[[#All],[kbli5]:[digital_hijau]],6,)</f>
        <v>#N/A</v>
      </c>
      <c r="H758" s="54" t="e">
        <f>VLOOKUP(Table13[[#This Row],[kbli5]],kata_kunci!$B:$H,3,FALSE)</f>
        <v>#N/A</v>
      </c>
      <c r="I758" s="84" t="e">
        <f>VLOOKUP(Table13[[#This Row],[kbli5]],kata_kunci!$B:$H,5,FALSE)</f>
        <v>#N/A</v>
      </c>
      <c r="J758" s="84" t="e">
        <f>VLOOKUP(Table13[[#This Row],[kbli5]],kata_kunci!$B:$H,6,FALSE)</f>
        <v>#N/A</v>
      </c>
      <c r="K758" s="84" t="e">
        <f>VLOOKUP(Table13[[#This Row],[kbli5]],kata_kunci!$B:$H,7,FALSE)</f>
        <v>#N/A</v>
      </c>
    </row>
    <row r="759" spans="1:11" ht="30.75" thickBot="1" x14ac:dyDescent="0.3">
      <c r="A759" s="53" t="s">
        <v>996</v>
      </c>
      <c r="B759" s="40">
        <v>46411</v>
      </c>
      <c r="C759" s="41" t="s">
        <v>1026</v>
      </c>
      <c r="D759" s="30" t="e">
        <f>VLOOKUP(Table13[[#This Row],[kbli5]],Table1[[#All],[kbli5]:[digital_hijau]],3,)</f>
        <v>#N/A</v>
      </c>
      <c r="E759" s="53" t="e">
        <f>VLOOKUP(Table13[[#This Row],[kbli5]],kata_kunci!$B:$H,4,FALSE)</f>
        <v>#N/A</v>
      </c>
      <c r="F759" s="53" t="e">
        <f>VLOOKUP(Table13[[#This Row],[kbli5]],Table1[[#All],[kbli5]:[digital_hijau]],5,)</f>
        <v>#N/A</v>
      </c>
      <c r="G759" s="53" t="e">
        <f>VLOOKUP(Table13[[#This Row],[kbli5]],Table1[[#All],[kbli5]:[digital_hijau]],6,)</f>
        <v>#N/A</v>
      </c>
      <c r="H759" s="54" t="e">
        <f>VLOOKUP(Table13[[#This Row],[kbli5]],kata_kunci!$B:$H,3,FALSE)</f>
        <v>#N/A</v>
      </c>
      <c r="I759" s="84" t="e">
        <f>VLOOKUP(Table13[[#This Row],[kbli5]],kata_kunci!$B:$H,5,FALSE)</f>
        <v>#N/A</v>
      </c>
      <c r="J759" s="84" t="e">
        <f>VLOOKUP(Table13[[#This Row],[kbli5]],kata_kunci!$B:$H,6,FALSE)</f>
        <v>#N/A</v>
      </c>
      <c r="K759" s="84" t="e">
        <f>VLOOKUP(Table13[[#This Row],[kbli5]],kata_kunci!$B:$H,7,FALSE)</f>
        <v>#N/A</v>
      </c>
    </row>
    <row r="760" spans="1:11" ht="30.75" thickBot="1" x14ac:dyDescent="0.3">
      <c r="A760" s="53" t="s">
        <v>996</v>
      </c>
      <c r="B760" s="40">
        <v>46412</v>
      </c>
      <c r="C760" s="41" t="s">
        <v>1027</v>
      </c>
      <c r="D760" s="30" t="e">
        <f>VLOOKUP(Table13[[#This Row],[kbli5]],Table1[[#All],[kbli5]:[digital_hijau]],3,)</f>
        <v>#N/A</v>
      </c>
      <c r="E760" s="53" t="e">
        <f>VLOOKUP(Table13[[#This Row],[kbli5]],kata_kunci!$B:$H,4,FALSE)</f>
        <v>#N/A</v>
      </c>
      <c r="F760" s="53" t="e">
        <f>VLOOKUP(Table13[[#This Row],[kbli5]],Table1[[#All],[kbli5]:[digital_hijau]],5,)</f>
        <v>#N/A</v>
      </c>
      <c r="G760" s="53" t="e">
        <f>VLOOKUP(Table13[[#This Row],[kbli5]],Table1[[#All],[kbli5]:[digital_hijau]],6,)</f>
        <v>#N/A</v>
      </c>
      <c r="H760" s="54" t="e">
        <f>VLOOKUP(Table13[[#This Row],[kbli5]],kata_kunci!$B:$H,3,FALSE)</f>
        <v>#N/A</v>
      </c>
      <c r="I760" s="84" t="e">
        <f>VLOOKUP(Table13[[#This Row],[kbli5]],kata_kunci!$B:$H,5,FALSE)</f>
        <v>#N/A</v>
      </c>
      <c r="J760" s="84" t="e">
        <f>VLOOKUP(Table13[[#This Row],[kbli5]],kata_kunci!$B:$H,6,FALSE)</f>
        <v>#N/A</v>
      </c>
      <c r="K760" s="84" t="e">
        <f>VLOOKUP(Table13[[#This Row],[kbli5]],kata_kunci!$B:$H,7,FALSE)</f>
        <v>#N/A</v>
      </c>
    </row>
    <row r="761" spans="1:11" ht="30.75" thickBot="1" x14ac:dyDescent="0.3">
      <c r="A761" s="53" t="s">
        <v>996</v>
      </c>
      <c r="B761" s="40">
        <v>46413</v>
      </c>
      <c r="C761" s="41" t="s">
        <v>1028</v>
      </c>
      <c r="D761" s="30" t="e">
        <f>VLOOKUP(Table13[[#This Row],[kbli5]],Table1[[#All],[kbli5]:[digital_hijau]],3,)</f>
        <v>#N/A</v>
      </c>
      <c r="E761" s="53" t="e">
        <f>VLOOKUP(Table13[[#This Row],[kbli5]],kata_kunci!$B:$H,4,FALSE)</f>
        <v>#N/A</v>
      </c>
      <c r="F761" s="53" t="e">
        <f>VLOOKUP(Table13[[#This Row],[kbli5]],Table1[[#All],[kbli5]:[digital_hijau]],5,)</f>
        <v>#N/A</v>
      </c>
      <c r="G761" s="53" t="e">
        <f>VLOOKUP(Table13[[#This Row],[kbli5]],Table1[[#All],[kbli5]:[digital_hijau]],6,)</f>
        <v>#N/A</v>
      </c>
      <c r="H761" s="54" t="e">
        <f>VLOOKUP(Table13[[#This Row],[kbli5]],kata_kunci!$B:$H,3,FALSE)</f>
        <v>#N/A</v>
      </c>
      <c r="I761" s="84" t="e">
        <f>VLOOKUP(Table13[[#This Row],[kbli5]],kata_kunci!$B:$H,5,FALSE)</f>
        <v>#N/A</v>
      </c>
      <c r="J761" s="84" t="e">
        <f>VLOOKUP(Table13[[#This Row],[kbli5]],kata_kunci!$B:$H,6,FALSE)</f>
        <v>#N/A</v>
      </c>
      <c r="K761" s="84" t="e">
        <f>VLOOKUP(Table13[[#This Row],[kbli5]],kata_kunci!$B:$H,7,FALSE)</f>
        <v>#N/A</v>
      </c>
    </row>
    <row r="762" spans="1:11" ht="30.75" thickBot="1" x14ac:dyDescent="0.3">
      <c r="A762" s="53" t="s">
        <v>996</v>
      </c>
      <c r="B762" s="40">
        <v>46414</v>
      </c>
      <c r="C762" s="41" t="s">
        <v>1029</v>
      </c>
      <c r="D762" s="30" t="e">
        <f>VLOOKUP(Table13[[#This Row],[kbli5]],Table1[[#All],[kbli5]:[digital_hijau]],3,)</f>
        <v>#N/A</v>
      </c>
      <c r="E762" s="53" t="e">
        <f>VLOOKUP(Table13[[#This Row],[kbli5]],kata_kunci!$B:$H,4,FALSE)</f>
        <v>#N/A</v>
      </c>
      <c r="F762" s="53" t="e">
        <f>VLOOKUP(Table13[[#This Row],[kbli5]],Table1[[#All],[kbli5]:[digital_hijau]],5,)</f>
        <v>#N/A</v>
      </c>
      <c r="G762" s="53" t="e">
        <f>VLOOKUP(Table13[[#This Row],[kbli5]],Table1[[#All],[kbli5]:[digital_hijau]],6,)</f>
        <v>#N/A</v>
      </c>
      <c r="H762" s="54" t="e">
        <f>VLOOKUP(Table13[[#This Row],[kbli5]],kata_kunci!$B:$H,3,FALSE)</f>
        <v>#N/A</v>
      </c>
      <c r="I762" s="84" t="e">
        <f>VLOOKUP(Table13[[#This Row],[kbli5]],kata_kunci!$B:$H,5,FALSE)</f>
        <v>#N/A</v>
      </c>
      <c r="J762" s="84" t="e">
        <f>VLOOKUP(Table13[[#This Row],[kbli5]],kata_kunci!$B:$H,6,FALSE)</f>
        <v>#N/A</v>
      </c>
      <c r="K762" s="84" t="e">
        <f>VLOOKUP(Table13[[#This Row],[kbli5]],kata_kunci!$B:$H,7,FALSE)</f>
        <v>#N/A</v>
      </c>
    </row>
    <row r="763" spans="1:11" ht="30.75" thickBot="1" x14ac:dyDescent="0.3">
      <c r="A763" s="53" t="s">
        <v>996</v>
      </c>
      <c r="B763" s="40">
        <v>46415</v>
      </c>
      <c r="C763" s="41" t="s">
        <v>1030</v>
      </c>
      <c r="D763" s="30" t="e">
        <f>VLOOKUP(Table13[[#This Row],[kbli5]],Table1[[#All],[kbli5]:[digital_hijau]],3,)</f>
        <v>#N/A</v>
      </c>
      <c r="E763" s="53" t="e">
        <f>VLOOKUP(Table13[[#This Row],[kbli5]],kata_kunci!$B:$H,4,FALSE)</f>
        <v>#N/A</v>
      </c>
      <c r="F763" s="53" t="e">
        <f>VLOOKUP(Table13[[#This Row],[kbli5]],Table1[[#All],[kbli5]:[digital_hijau]],5,)</f>
        <v>#N/A</v>
      </c>
      <c r="G763" s="53" t="e">
        <f>VLOOKUP(Table13[[#This Row],[kbli5]],Table1[[#All],[kbli5]:[digital_hijau]],6,)</f>
        <v>#N/A</v>
      </c>
      <c r="H763" s="54" t="e">
        <f>VLOOKUP(Table13[[#This Row],[kbli5]],kata_kunci!$B:$H,3,FALSE)</f>
        <v>#N/A</v>
      </c>
      <c r="I763" s="84" t="e">
        <f>VLOOKUP(Table13[[#This Row],[kbli5]],kata_kunci!$B:$H,5,FALSE)</f>
        <v>#N/A</v>
      </c>
      <c r="J763" s="84" t="e">
        <f>VLOOKUP(Table13[[#This Row],[kbli5]],kata_kunci!$B:$H,6,FALSE)</f>
        <v>#N/A</v>
      </c>
      <c r="K763" s="84" t="e">
        <f>VLOOKUP(Table13[[#This Row],[kbli5]],kata_kunci!$B:$H,7,FALSE)</f>
        <v>#N/A</v>
      </c>
    </row>
    <row r="764" spans="1:11" ht="45.75" thickBot="1" x14ac:dyDescent="0.3">
      <c r="A764" s="53" t="s">
        <v>996</v>
      </c>
      <c r="B764" s="40">
        <v>46420</v>
      </c>
      <c r="C764" s="41" t="s">
        <v>1031</v>
      </c>
      <c r="D764" s="30" t="e">
        <f>VLOOKUP(Table13[[#This Row],[kbli5]],Table1[[#All],[kbli5]:[digital_hijau]],3,)</f>
        <v>#N/A</v>
      </c>
      <c r="E764" s="53" t="e">
        <f>VLOOKUP(Table13[[#This Row],[kbli5]],kata_kunci!$B:$H,4,FALSE)</f>
        <v>#N/A</v>
      </c>
      <c r="F764" s="53" t="e">
        <f>VLOOKUP(Table13[[#This Row],[kbli5]],Table1[[#All],[kbli5]:[digital_hijau]],5,)</f>
        <v>#N/A</v>
      </c>
      <c r="G764" s="53" t="e">
        <f>VLOOKUP(Table13[[#This Row],[kbli5]],Table1[[#All],[kbli5]:[digital_hijau]],6,)</f>
        <v>#N/A</v>
      </c>
      <c r="H764" s="54" t="e">
        <f>VLOOKUP(Table13[[#This Row],[kbli5]],kata_kunci!$B:$H,3,FALSE)</f>
        <v>#N/A</v>
      </c>
      <c r="I764" s="84" t="e">
        <f>VLOOKUP(Table13[[#This Row],[kbli5]],kata_kunci!$B:$H,5,FALSE)</f>
        <v>#N/A</v>
      </c>
      <c r="J764" s="84" t="e">
        <f>VLOOKUP(Table13[[#This Row],[kbli5]],kata_kunci!$B:$H,6,FALSE)</f>
        <v>#N/A</v>
      </c>
      <c r="K764" s="84" t="e">
        <f>VLOOKUP(Table13[[#This Row],[kbli5]],kata_kunci!$B:$H,7,FALSE)</f>
        <v>#N/A</v>
      </c>
    </row>
    <row r="765" spans="1:11" ht="45.75" thickBot="1" x14ac:dyDescent="0.3">
      <c r="A765" s="53" t="s">
        <v>996</v>
      </c>
      <c r="B765" s="40">
        <v>46430</v>
      </c>
      <c r="C765" s="41" t="s">
        <v>1032</v>
      </c>
      <c r="D765" s="30" t="e">
        <f>VLOOKUP(Table13[[#This Row],[kbli5]],Table1[[#All],[kbli5]:[digital_hijau]],3,)</f>
        <v>#N/A</v>
      </c>
      <c r="E765" s="53" t="e">
        <f>VLOOKUP(Table13[[#This Row],[kbli5]],kata_kunci!$B:$H,4,FALSE)</f>
        <v>#N/A</v>
      </c>
      <c r="F765" s="53" t="e">
        <f>VLOOKUP(Table13[[#This Row],[kbli5]],Table1[[#All],[kbli5]:[digital_hijau]],5,)</f>
        <v>#N/A</v>
      </c>
      <c r="G765" s="53" t="e">
        <f>VLOOKUP(Table13[[#This Row],[kbli5]],Table1[[#All],[kbli5]:[digital_hijau]],6,)</f>
        <v>#N/A</v>
      </c>
      <c r="H765" s="54" t="e">
        <f>VLOOKUP(Table13[[#This Row],[kbli5]],kata_kunci!$B:$H,3,FALSE)</f>
        <v>#N/A</v>
      </c>
      <c r="I765" s="84" t="e">
        <f>VLOOKUP(Table13[[#This Row],[kbli5]],kata_kunci!$B:$H,5,FALSE)</f>
        <v>#N/A</v>
      </c>
      <c r="J765" s="84" t="e">
        <f>VLOOKUP(Table13[[#This Row],[kbli5]],kata_kunci!$B:$H,6,FALSE)</f>
        <v>#N/A</v>
      </c>
      <c r="K765" s="84" t="e">
        <f>VLOOKUP(Table13[[#This Row],[kbli5]],kata_kunci!$B:$H,7,FALSE)</f>
        <v>#N/A</v>
      </c>
    </row>
    <row r="766" spans="1:11" ht="45.75" thickBot="1" x14ac:dyDescent="0.3">
      <c r="A766" s="53" t="s">
        <v>996</v>
      </c>
      <c r="B766" s="40">
        <v>46441</v>
      </c>
      <c r="C766" s="41" t="s">
        <v>1033</v>
      </c>
      <c r="D766" s="30" t="e">
        <f>VLOOKUP(Table13[[#This Row],[kbli5]],Table1[[#All],[kbli5]:[digital_hijau]],3,)</f>
        <v>#N/A</v>
      </c>
      <c r="E766" s="53" t="e">
        <f>VLOOKUP(Table13[[#This Row],[kbli5]],kata_kunci!$B:$H,4,FALSE)</f>
        <v>#N/A</v>
      </c>
      <c r="F766" s="53" t="e">
        <f>VLOOKUP(Table13[[#This Row],[kbli5]],Table1[[#All],[kbli5]:[digital_hijau]],5,)</f>
        <v>#N/A</v>
      </c>
      <c r="G766" s="53" t="e">
        <f>VLOOKUP(Table13[[#This Row],[kbli5]],Table1[[#All],[kbli5]:[digital_hijau]],6,)</f>
        <v>#N/A</v>
      </c>
      <c r="H766" s="54" t="e">
        <f>VLOOKUP(Table13[[#This Row],[kbli5]],kata_kunci!$B:$H,3,FALSE)</f>
        <v>#N/A</v>
      </c>
      <c r="I766" s="84" t="e">
        <f>VLOOKUP(Table13[[#This Row],[kbli5]],kata_kunci!$B:$H,5,FALSE)</f>
        <v>#N/A</v>
      </c>
      <c r="J766" s="84" t="e">
        <f>VLOOKUP(Table13[[#This Row],[kbli5]],kata_kunci!$B:$H,6,FALSE)</f>
        <v>#N/A</v>
      </c>
      <c r="K766" s="84" t="e">
        <f>VLOOKUP(Table13[[#This Row],[kbli5]],kata_kunci!$B:$H,7,FALSE)</f>
        <v>#N/A</v>
      </c>
    </row>
    <row r="767" spans="1:11" ht="45.75" thickBot="1" x14ac:dyDescent="0.3">
      <c r="A767" s="53" t="s">
        <v>996</v>
      </c>
      <c r="B767" s="40">
        <v>46442</v>
      </c>
      <c r="C767" s="41" t="s">
        <v>1034</v>
      </c>
      <c r="D767" s="30" t="e">
        <f>VLOOKUP(Table13[[#This Row],[kbli5]],Table1[[#All],[kbli5]:[digital_hijau]],3,)</f>
        <v>#N/A</v>
      </c>
      <c r="E767" s="53" t="e">
        <f>VLOOKUP(Table13[[#This Row],[kbli5]],kata_kunci!$B:$H,4,FALSE)</f>
        <v>#N/A</v>
      </c>
      <c r="F767" s="53" t="e">
        <f>VLOOKUP(Table13[[#This Row],[kbli5]],Table1[[#All],[kbli5]:[digital_hijau]],5,)</f>
        <v>#N/A</v>
      </c>
      <c r="G767" s="53" t="e">
        <f>VLOOKUP(Table13[[#This Row],[kbli5]],Table1[[#All],[kbli5]:[digital_hijau]],6,)</f>
        <v>#N/A</v>
      </c>
      <c r="H767" s="54" t="e">
        <f>VLOOKUP(Table13[[#This Row],[kbli5]],kata_kunci!$B:$H,3,FALSE)</f>
        <v>#N/A</v>
      </c>
      <c r="I767" s="84" t="e">
        <f>VLOOKUP(Table13[[#This Row],[kbli5]],kata_kunci!$B:$H,5,FALSE)</f>
        <v>#N/A</v>
      </c>
      <c r="J767" s="84" t="e">
        <f>VLOOKUP(Table13[[#This Row],[kbli5]],kata_kunci!$B:$H,6,FALSE)</f>
        <v>#N/A</v>
      </c>
      <c r="K767" s="84" t="e">
        <f>VLOOKUP(Table13[[#This Row],[kbli5]],kata_kunci!$B:$H,7,FALSE)</f>
        <v>#N/A</v>
      </c>
    </row>
    <row r="768" spans="1:11" ht="30.75" thickBot="1" x14ac:dyDescent="0.3">
      <c r="A768" s="53" t="s">
        <v>996</v>
      </c>
      <c r="B768" s="40">
        <v>46451</v>
      </c>
      <c r="C768" s="41" t="s">
        <v>1035</v>
      </c>
      <c r="D768" s="30" t="e">
        <f>VLOOKUP(Table13[[#This Row],[kbli5]],Table1[[#All],[kbli5]:[digital_hijau]],3,)</f>
        <v>#N/A</v>
      </c>
      <c r="E768" s="53" t="e">
        <f>VLOOKUP(Table13[[#This Row],[kbli5]],kata_kunci!$B:$H,4,FALSE)</f>
        <v>#N/A</v>
      </c>
      <c r="F768" s="53" t="e">
        <f>VLOOKUP(Table13[[#This Row],[kbli5]],Table1[[#All],[kbli5]:[digital_hijau]],5,)</f>
        <v>#N/A</v>
      </c>
      <c r="G768" s="53" t="e">
        <f>VLOOKUP(Table13[[#This Row],[kbli5]],Table1[[#All],[kbli5]:[digital_hijau]],6,)</f>
        <v>#N/A</v>
      </c>
      <c r="H768" s="54" t="e">
        <f>VLOOKUP(Table13[[#This Row],[kbli5]],kata_kunci!$B:$H,3,FALSE)</f>
        <v>#N/A</v>
      </c>
      <c r="I768" s="84" t="e">
        <f>VLOOKUP(Table13[[#This Row],[kbli5]],kata_kunci!$B:$H,5,FALSE)</f>
        <v>#N/A</v>
      </c>
      <c r="J768" s="84" t="e">
        <f>VLOOKUP(Table13[[#This Row],[kbli5]],kata_kunci!$B:$H,6,FALSE)</f>
        <v>#N/A</v>
      </c>
      <c r="K768" s="84" t="e">
        <f>VLOOKUP(Table13[[#This Row],[kbli5]],kata_kunci!$B:$H,7,FALSE)</f>
        <v>#N/A</v>
      </c>
    </row>
    <row r="769" spans="1:11" ht="45.75" thickBot="1" x14ac:dyDescent="0.3">
      <c r="A769" s="53" t="s">
        <v>996</v>
      </c>
      <c r="B769" s="40">
        <v>46452</v>
      </c>
      <c r="C769" s="41" t="s">
        <v>1036</v>
      </c>
      <c r="D769" s="30" t="e">
        <f>VLOOKUP(Table13[[#This Row],[kbli5]],Table1[[#All],[kbli5]:[digital_hijau]],3,)</f>
        <v>#N/A</v>
      </c>
      <c r="E769" s="53" t="e">
        <f>VLOOKUP(Table13[[#This Row],[kbli5]],kata_kunci!$B:$H,4,FALSE)</f>
        <v>#N/A</v>
      </c>
      <c r="F769" s="53" t="e">
        <f>VLOOKUP(Table13[[#This Row],[kbli5]],Table1[[#All],[kbli5]:[digital_hijau]],5,)</f>
        <v>#N/A</v>
      </c>
      <c r="G769" s="53" t="e">
        <f>VLOOKUP(Table13[[#This Row],[kbli5]],Table1[[#All],[kbli5]:[digital_hijau]],6,)</f>
        <v>#N/A</v>
      </c>
      <c r="H769" s="54" t="e">
        <f>VLOOKUP(Table13[[#This Row],[kbli5]],kata_kunci!$B:$H,3,FALSE)</f>
        <v>#N/A</v>
      </c>
      <c r="I769" s="84" t="e">
        <f>VLOOKUP(Table13[[#This Row],[kbli5]],kata_kunci!$B:$H,5,FALSE)</f>
        <v>#N/A</v>
      </c>
      <c r="J769" s="84" t="e">
        <f>VLOOKUP(Table13[[#This Row],[kbli5]],kata_kunci!$B:$H,6,FALSE)</f>
        <v>#N/A</v>
      </c>
      <c r="K769" s="84" t="e">
        <f>VLOOKUP(Table13[[#This Row],[kbli5]],kata_kunci!$B:$H,7,FALSE)</f>
        <v>#N/A</v>
      </c>
    </row>
    <row r="770" spans="1:11" ht="45.75" thickBot="1" x14ac:dyDescent="0.3">
      <c r="A770" s="53" t="s">
        <v>996</v>
      </c>
      <c r="B770" s="40">
        <v>46491</v>
      </c>
      <c r="C770" s="41" t="s">
        <v>1037</v>
      </c>
      <c r="D770" s="30" t="e">
        <f>VLOOKUP(Table13[[#This Row],[kbli5]],Table1[[#All],[kbli5]:[digital_hijau]],3,)</f>
        <v>#N/A</v>
      </c>
      <c r="E770" s="53" t="e">
        <f>VLOOKUP(Table13[[#This Row],[kbli5]],kata_kunci!$B:$H,4,FALSE)</f>
        <v>#N/A</v>
      </c>
      <c r="F770" s="53" t="e">
        <f>VLOOKUP(Table13[[#This Row],[kbli5]],Table1[[#All],[kbli5]:[digital_hijau]],5,)</f>
        <v>#N/A</v>
      </c>
      <c r="G770" s="53" t="e">
        <f>VLOOKUP(Table13[[#This Row],[kbli5]],Table1[[#All],[kbli5]:[digital_hijau]],6,)</f>
        <v>#N/A</v>
      </c>
      <c r="H770" s="54" t="e">
        <f>VLOOKUP(Table13[[#This Row],[kbli5]],kata_kunci!$B:$H,3,FALSE)</f>
        <v>#N/A</v>
      </c>
      <c r="I770" s="84" t="e">
        <f>VLOOKUP(Table13[[#This Row],[kbli5]],kata_kunci!$B:$H,5,FALSE)</f>
        <v>#N/A</v>
      </c>
      <c r="J770" s="84" t="e">
        <f>VLOOKUP(Table13[[#This Row],[kbli5]],kata_kunci!$B:$H,6,FALSE)</f>
        <v>#N/A</v>
      </c>
      <c r="K770" s="84" t="e">
        <f>VLOOKUP(Table13[[#This Row],[kbli5]],kata_kunci!$B:$H,7,FALSE)</f>
        <v>#N/A</v>
      </c>
    </row>
    <row r="771" spans="1:11" ht="45.75" thickBot="1" x14ac:dyDescent="0.3">
      <c r="A771" s="53" t="s">
        <v>996</v>
      </c>
      <c r="B771" s="40">
        <v>46492</v>
      </c>
      <c r="C771" s="41" t="s">
        <v>1038</v>
      </c>
      <c r="D771" s="30" t="e">
        <f>VLOOKUP(Table13[[#This Row],[kbli5]],Table1[[#All],[kbli5]:[digital_hijau]],3,)</f>
        <v>#N/A</v>
      </c>
      <c r="E771" s="53" t="e">
        <f>VLOOKUP(Table13[[#This Row],[kbli5]],kata_kunci!$B:$H,4,FALSE)</f>
        <v>#N/A</v>
      </c>
      <c r="F771" s="53" t="e">
        <f>VLOOKUP(Table13[[#This Row],[kbli5]],Table1[[#All],[kbli5]:[digital_hijau]],5,)</f>
        <v>#N/A</v>
      </c>
      <c r="G771" s="53" t="e">
        <f>VLOOKUP(Table13[[#This Row],[kbli5]],Table1[[#All],[kbli5]:[digital_hijau]],6,)</f>
        <v>#N/A</v>
      </c>
      <c r="H771" s="54" t="e">
        <f>VLOOKUP(Table13[[#This Row],[kbli5]],kata_kunci!$B:$H,3,FALSE)</f>
        <v>#N/A</v>
      </c>
      <c r="I771" s="84" t="e">
        <f>VLOOKUP(Table13[[#This Row],[kbli5]],kata_kunci!$B:$H,5,FALSE)</f>
        <v>#N/A</v>
      </c>
      <c r="J771" s="84" t="e">
        <f>VLOOKUP(Table13[[#This Row],[kbli5]],kata_kunci!$B:$H,6,FALSE)</f>
        <v>#N/A</v>
      </c>
      <c r="K771" s="84" t="e">
        <f>VLOOKUP(Table13[[#This Row],[kbli5]],kata_kunci!$B:$H,7,FALSE)</f>
        <v>#N/A</v>
      </c>
    </row>
    <row r="772" spans="1:11" ht="30.75" thickBot="1" x14ac:dyDescent="0.3">
      <c r="A772" s="53" t="s">
        <v>996</v>
      </c>
      <c r="B772" s="40">
        <v>46493</v>
      </c>
      <c r="C772" s="41" t="s">
        <v>1039</v>
      </c>
      <c r="D772" s="30" t="e">
        <f>VLOOKUP(Table13[[#This Row],[kbli5]],Table1[[#All],[kbli5]:[digital_hijau]],3,)</f>
        <v>#N/A</v>
      </c>
      <c r="E772" s="53" t="e">
        <f>VLOOKUP(Table13[[#This Row],[kbli5]],kata_kunci!$B:$H,4,FALSE)</f>
        <v>#N/A</v>
      </c>
      <c r="F772" s="53" t="e">
        <f>VLOOKUP(Table13[[#This Row],[kbli5]],Table1[[#All],[kbli5]:[digital_hijau]],5,)</f>
        <v>#N/A</v>
      </c>
      <c r="G772" s="53" t="e">
        <f>VLOOKUP(Table13[[#This Row],[kbli5]],Table1[[#All],[kbli5]:[digital_hijau]],6,)</f>
        <v>#N/A</v>
      </c>
      <c r="H772" s="54" t="e">
        <f>VLOOKUP(Table13[[#This Row],[kbli5]],kata_kunci!$B:$H,3,FALSE)</f>
        <v>#N/A</v>
      </c>
      <c r="I772" s="84" t="e">
        <f>VLOOKUP(Table13[[#This Row],[kbli5]],kata_kunci!$B:$H,5,FALSE)</f>
        <v>#N/A</v>
      </c>
      <c r="J772" s="84" t="e">
        <f>VLOOKUP(Table13[[#This Row],[kbli5]],kata_kunci!$B:$H,6,FALSE)</f>
        <v>#N/A</v>
      </c>
      <c r="K772" s="84" t="e">
        <f>VLOOKUP(Table13[[#This Row],[kbli5]],kata_kunci!$B:$H,7,FALSE)</f>
        <v>#N/A</v>
      </c>
    </row>
    <row r="773" spans="1:11" ht="30.75" thickBot="1" x14ac:dyDescent="0.3">
      <c r="A773" s="53" t="s">
        <v>996</v>
      </c>
      <c r="B773" s="40">
        <v>46494</v>
      </c>
      <c r="C773" s="41" t="s">
        <v>1040</v>
      </c>
      <c r="D773" s="30" t="e">
        <f>VLOOKUP(Table13[[#This Row],[kbli5]],Table1[[#All],[kbli5]:[digital_hijau]],3,)</f>
        <v>#N/A</v>
      </c>
      <c r="E773" s="53" t="e">
        <f>VLOOKUP(Table13[[#This Row],[kbli5]],kata_kunci!$B:$H,4,FALSE)</f>
        <v>#N/A</v>
      </c>
      <c r="F773" s="53" t="e">
        <f>VLOOKUP(Table13[[#This Row],[kbli5]],Table1[[#All],[kbli5]:[digital_hijau]],5,)</f>
        <v>#N/A</v>
      </c>
      <c r="G773" s="53" t="e">
        <f>VLOOKUP(Table13[[#This Row],[kbli5]],Table1[[#All],[kbli5]:[digital_hijau]],6,)</f>
        <v>#N/A</v>
      </c>
      <c r="H773" s="54" t="e">
        <f>VLOOKUP(Table13[[#This Row],[kbli5]],kata_kunci!$B:$H,3,FALSE)</f>
        <v>#N/A</v>
      </c>
      <c r="I773" s="84" t="e">
        <f>VLOOKUP(Table13[[#This Row],[kbli5]],kata_kunci!$B:$H,5,FALSE)</f>
        <v>#N/A</v>
      </c>
      <c r="J773" s="84" t="e">
        <f>VLOOKUP(Table13[[#This Row],[kbli5]],kata_kunci!$B:$H,6,FALSE)</f>
        <v>#N/A</v>
      </c>
      <c r="K773" s="84" t="e">
        <f>VLOOKUP(Table13[[#This Row],[kbli5]],kata_kunci!$B:$H,7,FALSE)</f>
        <v>#N/A</v>
      </c>
    </row>
    <row r="774" spans="1:11" ht="45.75" thickBot="1" x14ac:dyDescent="0.3">
      <c r="A774" s="53" t="s">
        <v>996</v>
      </c>
      <c r="B774" s="40">
        <v>46495</v>
      </c>
      <c r="C774" s="41" t="s">
        <v>1041</v>
      </c>
      <c r="D774" s="30" t="e">
        <f>VLOOKUP(Table13[[#This Row],[kbli5]],Table1[[#All],[kbli5]:[digital_hijau]],3,)</f>
        <v>#N/A</v>
      </c>
      <c r="E774" s="53" t="e">
        <f>VLOOKUP(Table13[[#This Row],[kbli5]],kata_kunci!$B:$H,4,FALSE)</f>
        <v>#N/A</v>
      </c>
      <c r="F774" s="53" t="e">
        <f>VLOOKUP(Table13[[#This Row],[kbli5]],Table1[[#All],[kbli5]:[digital_hijau]],5,)</f>
        <v>#N/A</v>
      </c>
      <c r="G774" s="53" t="e">
        <f>VLOOKUP(Table13[[#This Row],[kbli5]],Table1[[#All],[kbli5]:[digital_hijau]],6,)</f>
        <v>#N/A</v>
      </c>
      <c r="H774" s="54" t="e">
        <f>VLOOKUP(Table13[[#This Row],[kbli5]],kata_kunci!$B:$H,3,FALSE)</f>
        <v>#N/A</v>
      </c>
      <c r="I774" s="84" t="e">
        <f>VLOOKUP(Table13[[#This Row],[kbli5]],kata_kunci!$B:$H,5,FALSE)</f>
        <v>#N/A</v>
      </c>
      <c r="J774" s="84" t="e">
        <f>VLOOKUP(Table13[[#This Row],[kbli5]],kata_kunci!$B:$H,6,FALSE)</f>
        <v>#N/A</v>
      </c>
      <c r="K774" s="84" t="e">
        <f>VLOOKUP(Table13[[#This Row],[kbli5]],kata_kunci!$B:$H,7,FALSE)</f>
        <v>#N/A</v>
      </c>
    </row>
    <row r="775" spans="1:11" ht="45.75" thickBot="1" x14ac:dyDescent="0.3">
      <c r="A775" s="53" t="s">
        <v>996</v>
      </c>
      <c r="B775" s="40">
        <v>46496</v>
      </c>
      <c r="C775" s="41" t="s">
        <v>1042</v>
      </c>
      <c r="D775" s="30" t="e">
        <f>VLOOKUP(Table13[[#This Row],[kbli5]],Table1[[#All],[kbli5]:[digital_hijau]],3,)</f>
        <v>#N/A</v>
      </c>
      <c r="E775" s="53" t="e">
        <f>VLOOKUP(Table13[[#This Row],[kbli5]],kata_kunci!$B:$H,4,FALSE)</f>
        <v>#N/A</v>
      </c>
      <c r="F775" s="53" t="e">
        <f>VLOOKUP(Table13[[#This Row],[kbli5]],Table1[[#All],[kbli5]:[digital_hijau]],5,)</f>
        <v>#N/A</v>
      </c>
      <c r="G775" s="53" t="e">
        <f>VLOOKUP(Table13[[#This Row],[kbli5]],Table1[[#All],[kbli5]:[digital_hijau]],6,)</f>
        <v>#N/A</v>
      </c>
      <c r="H775" s="54" t="e">
        <f>VLOOKUP(Table13[[#This Row],[kbli5]],kata_kunci!$B:$H,3,FALSE)</f>
        <v>#N/A</v>
      </c>
      <c r="I775" s="84" t="e">
        <f>VLOOKUP(Table13[[#This Row],[kbli5]],kata_kunci!$B:$H,5,FALSE)</f>
        <v>#N/A</v>
      </c>
      <c r="J775" s="84" t="e">
        <f>VLOOKUP(Table13[[#This Row],[kbli5]],kata_kunci!$B:$H,6,FALSE)</f>
        <v>#N/A</v>
      </c>
      <c r="K775" s="84" t="e">
        <f>VLOOKUP(Table13[[#This Row],[kbli5]],kata_kunci!$B:$H,7,FALSE)</f>
        <v>#N/A</v>
      </c>
    </row>
    <row r="776" spans="1:11" ht="45.75" thickBot="1" x14ac:dyDescent="0.3">
      <c r="A776" s="53" t="s">
        <v>996</v>
      </c>
      <c r="B776" s="40">
        <v>46499</v>
      </c>
      <c r="C776" s="41" t="s">
        <v>1043</v>
      </c>
      <c r="D776" s="30" t="e">
        <f>VLOOKUP(Table13[[#This Row],[kbli5]],Table1[[#All],[kbli5]:[digital_hijau]],3,)</f>
        <v>#N/A</v>
      </c>
      <c r="E776" s="53" t="e">
        <f>VLOOKUP(Table13[[#This Row],[kbli5]],kata_kunci!$B:$H,4,FALSE)</f>
        <v>#N/A</v>
      </c>
      <c r="F776" s="53" t="e">
        <f>VLOOKUP(Table13[[#This Row],[kbli5]],Table1[[#All],[kbli5]:[digital_hijau]],5,)</f>
        <v>#N/A</v>
      </c>
      <c r="G776" s="53" t="e">
        <f>VLOOKUP(Table13[[#This Row],[kbli5]],Table1[[#All],[kbli5]:[digital_hijau]],6,)</f>
        <v>#N/A</v>
      </c>
      <c r="H776" s="54" t="e">
        <f>VLOOKUP(Table13[[#This Row],[kbli5]],kata_kunci!$B:$H,3,FALSE)</f>
        <v>#N/A</v>
      </c>
      <c r="I776" s="84" t="e">
        <f>VLOOKUP(Table13[[#This Row],[kbli5]],kata_kunci!$B:$H,5,FALSE)</f>
        <v>#N/A</v>
      </c>
      <c r="J776" s="84" t="e">
        <f>VLOOKUP(Table13[[#This Row],[kbli5]],kata_kunci!$B:$H,6,FALSE)</f>
        <v>#N/A</v>
      </c>
      <c r="K776" s="84" t="e">
        <f>VLOOKUP(Table13[[#This Row],[kbli5]],kata_kunci!$B:$H,7,FALSE)</f>
        <v>#N/A</v>
      </c>
    </row>
    <row r="777" spans="1:11" ht="45.75" thickBot="1" x14ac:dyDescent="0.3">
      <c r="A777" s="53" t="s">
        <v>996</v>
      </c>
      <c r="B777" s="40">
        <v>46511</v>
      </c>
      <c r="C777" s="41" t="s">
        <v>1044</v>
      </c>
      <c r="D777" s="30" t="e">
        <f>VLOOKUP(Table13[[#This Row],[kbli5]],Table1[[#All],[kbli5]:[digital_hijau]],3,)</f>
        <v>#N/A</v>
      </c>
      <c r="E777" s="53" t="e">
        <f>VLOOKUP(Table13[[#This Row],[kbli5]],kata_kunci!$B:$H,4,FALSE)</f>
        <v>#N/A</v>
      </c>
      <c r="F777" s="53" t="e">
        <f>VLOOKUP(Table13[[#This Row],[kbli5]],Table1[[#All],[kbli5]:[digital_hijau]],5,)</f>
        <v>#N/A</v>
      </c>
      <c r="G777" s="35" t="s">
        <v>2090</v>
      </c>
      <c r="H777" s="89" t="e">
        <f>VLOOKUP(Table13[[#This Row],[kbli5]],kata_kunci!$B:$H,3,FALSE)</f>
        <v>#N/A</v>
      </c>
      <c r="I777" s="84" t="e">
        <f>VLOOKUP(Table13[[#This Row],[kbli5]],kata_kunci!$B:$H,5,FALSE)</f>
        <v>#N/A</v>
      </c>
      <c r="J777" s="84" t="e">
        <f>VLOOKUP(Table13[[#This Row],[kbli5]],kata_kunci!$B:$H,6,FALSE)</f>
        <v>#N/A</v>
      </c>
      <c r="K777" s="84" t="e">
        <f>VLOOKUP(Table13[[#This Row],[kbli5]],kata_kunci!$B:$H,7,FALSE)</f>
        <v>#N/A</v>
      </c>
    </row>
    <row r="778" spans="1:11" ht="30.75" thickBot="1" x14ac:dyDescent="0.3">
      <c r="A778" s="53" t="s">
        <v>996</v>
      </c>
      <c r="B778" s="40">
        <v>46512</v>
      </c>
      <c r="C778" s="41" t="s">
        <v>1045</v>
      </c>
      <c r="D778" s="30" t="e">
        <f>VLOOKUP(Table13[[#This Row],[kbli5]],Table1[[#All],[kbli5]:[digital_hijau]],3,)</f>
        <v>#N/A</v>
      </c>
      <c r="E778" s="53" t="e">
        <f>VLOOKUP(Table13[[#This Row],[kbli5]],kata_kunci!$B:$H,4,FALSE)</f>
        <v>#N/A</v>
      </c>
      <c r="F778" s="53" t="e">
        <f>VLOOKUP(Table13[[#This Row],[kbli5]],Table1[[#All],[kbli5]:[digital_hijau]],5,)</f>
        <v>#N/A</v>
      </c>
      <c r="G778" s="35" t="s">
        <v>2090</v>
      </c>
      <c r="H778" s="89" t="e">
        <f>VLOOKUP(Table13[[#This Row],[kbli5]],kata_kunci!$B:$H,3,FALSE)</f>
        <v>#N/A</v>
      </c>
      <c r="I778" s="84" t="e">
        <f>VLOOKUP(Table13[[#This Row],[kbli5]],kata_kunci!$B:$H,5,FALSE)</f>
        <v>#N/A</v>
      </c>
      <c r="J778" s="84" t="e">
        <f>VLOOKUP(Table13[[#This Row],[kbli5]],kata_kunci!$B:$H,6,FALSE)</f>
        <v>#N/A</v>
      </c>
      <c r="K778" s="84" t="e">
        <f>VLOOKUP(Table13[[#This Row],[kbli5]],kata_kunci!$B:$H,7,FALSE)</f>
        <v>#N/A</v>
      </c>
    </row>
    <row r="779" spans="1:11" ht="30.75" thickBot="1" x14ac:dyDescent="0.3">
      <c r="A779" s="53" t="s">
        <v>996</v>
      </c>
      <c r="B779" s="40">
        <v>46521</v>
      </c>
      <c r="C779" s="41" t="s">
        <v>1046</v>
      </c>
      <c r="D779" s="30" t="e">
        <f>VLOOKUP(Table13[[#This Row],[kbli5]],Table1[[#All],[kbli5]:[digital_hijau]],3,)</f>
        <v>#N/A</v>
      </c>
      <c r="E779" s="53" t="e">
        <f>VLOOKUP(Table13[[#This Row],[kbli5]],kata_kunci!$B:$H,4,FALSE)</f>
        <v>#N/A</v>
      </c>
      <c r="F779" s="53" t="e">
        <f>VLOOKUP(Table13[[#This Row],[kbli5]],Table1[[#All],[kbli5]:[digital_hijau]],5,)</f>
        <v>#N/A</v>
      </c>
      <c r="G779" s="53" t="e">
        <f>VLOOKUP(Table13[[#This Row],[kbli5]],Table1[[#All],[kbli5]:[digital_hijau]],6,)</f>
        <v>#N/A</v>
      </c>
      <c r="H779" s="54" t="e">
        <f>VLOOKUP(Table13[[#This Row],[kbli5]],kata_kunci!$B:$H,3,FALSE)</f>
        <v>#N/A</v>
      </c>
      <c r="I779" s="84" t="e">
        <f>VLOOKUP(Table13[[#This Row],[kbli5]],kata_kunci!$B:$H,5,FALSE)</f>
        <v>#N/A</v>
      </c>
      <c r="J779" s="84" t="e">
        <f>VLOOKUP(Table13[[#This Row],[kbli5]],kata_kunci!$B:$H,6,FALSE)</f>
        <v>#N/A</v>
      </c>
      <c r="K779" s="84" t="e">
        <f>VLOOKUP(Table13[[#This Row],[kbli5]],kata_kunci!$B:$H,7,FALSE)</f>
        <v>#N/A</v>
      </c>
    </row>
    <row r="780" spans="1:11" ht="45.75" thickBot="1" x14ac:dyDescent="0.3">
      <c r="A780" s="53" t="s">
        <v>996</v>
      </c>
      <c r="B780" s="40">
        <v>46522</v>
      </c>
      <c r="C780" s="41" t="s">
        <v>1047</v>
      </c>
      <c r="D780" s="30" t="e">
        <f>VLOOKUP(Table13[[#This Row],[kbli5]],Table1[[#All],[kbli5]:[digital_hijau]],3,)</f>
        <v>#N/A</v>
      </c>
      <c r="E780" s="53" t="e">
        <f>VLOOKUP(Table13[[#This Row],[kbli5]],kata_kunci!$B:$H,4,FALSE)</f>
        <v>#N/A</v>
      </c>
      <c r="F780" s="53" t="e">
        <f>VLOOKUP(Table13[[#This Row],[kbli5]],Table1[[#All],[kbli5]:[digital_hijau]],5,)</f>
        <v>#N/A</v>
      </c>
      <c r="G780" s="53" t="e">
        <f>VLOOKUP(Table13[[#This Row],[kbli5]],Table1[[#All],[kbli5]:[digital_hijau]],6,)</f>
        <v>#N/A</v>
      </c>
      <c r="H780" s="54" t="e">
        <f>VLOOKUP(Table13[[#This Row],[kbli5]],kata_kunci!$B:$H,3,FALSE)</f>
        <v>#N/A</v>
      </c>
      <c r="I780" s="84" t="e">
        <f>VLOOKUP(Table13[[#This Row],[kbli5]],kata_kunci!$B:$H,5,FALSE)</f>
        <v>#N/A</v>
      </c>
      <c r="J780" s="84" t="e">
        <f>VLOOKUP(Table13[[#This Row],[kbli5]],kata_kunci!$B:$H,6,FALSE)</f>
        <v>#N/A</v>
      </c>
      <c r="K780" s="84" t="e">
        <f>VLOOKUP(Table13[[#This Row],[kbli5]],kata_kunci!$B:$H,7,FALSE)</f>
        <v>#N/A</v>
      </c>
    </row>
    <row r="781" spans="1:11" ht="45.75" thickBot="1" x14ac:dyDescent="0.3">
      <c r="A781" s="53" t="s">
        <v>996</v>
      </c>
      <c r="B781" s="40">
        <v>46523</v>
      </c>
      <c r="C781" s="41" t="s">
        <v>1048</v>
      </c>
      <c r="D781" s="30" t="e">
        <f>VLOOKUP(Table13[[#This Row],[kbli5]],Table1[[#All],[kbli5]:[digital_hijau]],3,)</f>
        <v>#N/A</v>
      </c>
      <c r="E781" s="53" t="e">
        <f>VLOOKUP(Table13[[#This Row],[kbli5]],kata_kunci!$B:$H,4,FALSE)</f>
        <v>#N/A</v>
      </c>
      <c r="F781" s="53" t="e">
        <f>VLOOKUP(Table13[[#This Row],[kbli5]],Table1[[#All],[kbli5]:[digital_hijau]],5,)</f>
        <v>#N/A</v>
      </c>
      <c r="G781" s="35" t="s">
        <v>2090</v>
      </c>
      <c r="H781" s="89" t="e">
        <f>VLOOKUP(Table13[[#This Row],[kbli5]],kata_kunci!$B:$H,3,FALSE)</f>
        <v>#N/A</v>
      </c>
      <c r="I781" s="84" t="e">
        <f>VLOOKUP(Table13[[#This Row],[kbli5]],kata_kunci!$B:$H,5,FALSE)</f>
        <v>#N/A</v>
      </c>
      <c r="J781" s="84" t="e">
        <f>VLOOKUP(Table13[[#This Row],[kbli5]],kata_kunci!$B:$H,6,FALSE)</f>
        <v>#N/A</v>
      </c>
      <c r="K781" s="84" t="e">
        <f>VLOOKUP(Table13[[#This Row],[kbli5]],kata_kunci!$B:$H,7,FALSE)</f>
        <v>#N/A</v>
      </c>
    </row>
    <row r="782" spans="1:11" ht="45.75" thickBot="1" x14ac:dyDescent="0.3">
      <c r="A782" s="53" t="s">
        <v>996</v>
      </c>
      <c r="B782" s="40">
        <v>46530</v>
      </c>
      <c r="C782" s="41" t="s">
        <v>1049</v>
      </c>
      <c r="D782" s="30" t="e">
        <f>VLOOKUP(Table13[[#This Row],[kbli5]],Table1[[#All],[kbli5]:[digital_hijau]],3,)</f>
        <v>#N/A</v>
      </c>
      <c r="E782" s="53" t="e">
        <f>VLOOKUP(Table13[[#This Row],[kbli5]],kata_kunci!$B:$H,4,FALSE)</f>
        <v>#N/A</v>
      </c>
      <c r="F782" s="53" t="e">
        <f>VLOOKUP(Table13[[#This Row],[kbli5]],Table1[[#All],[kbli5]:[digital_hijau]],5,)</f>
        <v>#N/A</v>
      </c>
      <c r="G782" s="53" t="e">
        <f>VLOOKUP(Table13[[#This Row],[kbli5]],Table1[[#All],[kbli5]:[digital_hijau]],6,)</f>
        <v>#N/A</v>
      </c>
      <c r="H782" s="54" t="e">
        <f>VLOOKUP(Table13[[#This Row],[kbli5]],kata_kunci!$B:$H,3,FALSE)</f>
        <v>#N/A</v>
      </c>
      <c r="I782" s="84" t="e">
        <f>VLOOKUP(Table13[[#This Row],[kbli5]],kata_kunci!$B:$H,5,FALSE)</f>
        <v>#N/A</v>
      </c>
      <c r="J782" s="84" t="e">
        <f>VLOOKUP(Table13[[#This Row],[kbli5]],kata_kunci!$B:$H,6,FALSE)</f>
        <v>#N/A</v>
      </c>
      <c r="K782" s="84" t="e">
        <f>VLOOKUP(Table13[[#This Row],[kbli5]],kata_kunci!$B:$H,7,FALSE)</f>
        <v>#N/A</v>
      </c>
    </row>
    <row r="783" spans="1:11" ht="45.75" thickBot="1" x14ac:dyDescent="0.3">
      <c r="A783" s="53" t="s">
        <v>996</v>
      </c>
      <c r="B783" s="40">
        <v>46591</v>
      </c>
      <c r="C783" s="41" t="s">
        <v>1050</v>
      </c>
      <c r="D783" s="30" t="e">
        <f>VLOOKUP(Table13[[#This Row],[kbli5]],Table1[[#All],[kbli5]:[digital_hijau]],3,)</f>
        <v>#N/A</v>
      </c>
      <c r="E783" s="53" t="e">
        <f>VLOOKUP(Table13[[#This Row],[kbli5]],kata_kunci!$B:$H,4,FALSE)</f>
        <v>#N/A</v>
      </c>
      <c r="F783" s="53" t="e">
        <f>VLOOKUP(Table13[[#This Row],[kbli5]],Table1[[#All],[kbli5]:[digital_hijau]],5,)</f>
        <v>#N/A</v>
      </c>
      <c r="G783" s="53" t="e">
        <f>VLOOKUP(Table13[[#This Row],[kbli5]],Table1[[#All],[kbli5]:[digital_hijau]],6,)</f>
        <v>#N/A</v>
      </c>
      <c r="H783" s="54" t="e">
        <f>VLOOKUP(Table13[[#This Row],[kbli5]],kata_kunci!$B:$H,3,FALSE)</f>
        <v>#N/A</v>
      </c>
      <c r="I783" s="84" t="e">
        <f>VLOOKUP(Table13[[#This Row],[kbli5]],kata_kunci!$B:$H,5,FALSE)</f>
        <v>#N/A</v>
      </c>
      <c r="J783" s="84" t="e">
        <f>VLOOKUP(Table13[[#This Row],[kbli5]],kata_kunci!$B:$H,6,FALSE)</f>
        <v>#N/A</v>
      </c>
      <c r="K783" s="84" t="e">
        <f>VLOOKUP(Table13[[#This Row],[kbli5]],kata_kunci!$B:$H,7,FALSE)</f>
        <v>#N/A</v>
      </c>
    </row>
    <row r="784" spans="1:11" ht="45.75" thickBot="1" x14ac:dyDescent="0.3">
      <c r="A784" s="53" t="s">
        <v>996</v>
      </c>
      <c r="B784" s="40">
        <v>46592</v>
      </c>
      <c r="C784" s="41" t="s">
        <v>1051</v>
      </c>
      <c r="D784" s="30" t="e">
        <f>VLOOKUP(Table13[[#This Row],[kbli5]],Table1[[#All],[kbli5]:[digital_hijau]],3,)</f>
        <v>#N/A</v>
      </c>
      <c r="E784" s="53" t="e">
        <f>VLOOKUP(Table13[[#This Row],[kbli5]],kata_kunci!$B:$H,4,FALSE)</f>
        <v>#N/A</v>
      </c>
      <c r="F784" s="53" t="e">
        <f>VLOOKUP(Table13[[#This Row],[kbli5]],Table1[[#All],[kbli5]:[digital_hijau]],5,)</f>
        <v>#N/A</v>
      </c>
      <c r="G784" s="53" t="e">
        <f>VLOOKUP(Table13[[#This Row],[kbli5]],Table1[[#All],[kbli5]:[digital_hijau]],6,)</f>
        <v>#N/A</v>
      </c>
      <c r="H784" s="54" t="e">
        <f>VLOOKUP(Table13[[#This Row],[kbli5]],kata_kunci!$B:$H,3,FALSE)</f>
        <v>#N/A</v>
      </c>
      <c r="I784" s="84" t="e">
        <f>VLOOKUP(Table13[[#This Row],[kbli5]],kata_kunci!$B:$H,5,FALSE)</f>
        <v>#N/A</v>
      </c>
      <c r="J784" s="84" t="e">
        <f>VLOOKUP(Table13[[#This Row],[kbli5]],kata_kunci!$B:$H,6,FALSE)</f>
        <v>#N/A</v>
      </c>
      <c r="K784" s="84" t="e">
        <f>VLOOKUP(Table13[[#This Row],[kbli5]],kata_kunci!$B:$H,7,FALSE)</f>
        <v>#N/A</v>
      </c>
    </row>
    <row r="785" spans="1:11" ht="45.75" thickBot="1" x14ac:dyDescent="0.3">
      <c r="A785" s="53" t="s">
        <v>996</v>
      </c>
      <c r="B785" s="40">
        <v>46593</v>
      </c>
      <c r="C785" s="41" t="s">
        <v>1052</v>
      </c>
      <c r="D785" s="30" t="e">
        <f>VLOOKUP(Table13[[#This Row],[kbli5]],Table1[[#All],[kbli5]:[digital_hijau]],3,)</f>
        <v>#N/A</v>
      </c>
      <c r="E785" s="53" t="e">
        <f>VLOOKUP(Table13[[#This Row],[kbli5]],kata_kunci!$B:$H,4,FALSE)</f>
        <v>#N/A</v>
      </c>
      <c r="F785" s="53" t="e">
        <f>VLOOKUP(Table13[[#This Row],[kbli5]],Table1[[#All],[kbli5]:[digital_hijau]],5,)</f>
        <v>#N/A</v>
      </c>
      <c r="G785" s="53" t="e">
        <f>VLOOKUP(Table13[[#This Row],[kbli5]],Table1[[#All],[kbli5]:[digital_hijau]],6,)</f>
        <v>#N/A</v>
      </c>
      <c r="H785" s="54" t="e">
        <f>VLOOKUP(Table13[[#This Row],[kbli5]],kata_kunci!$B:$H,3,FALSE)</f>
        <v>#N/A</v>
      </c>
      <c r="I785" s="84" t="e">
        <f>VLOOKUP(Table13[[#This Row],[kbli5]],kata_kunci!$B:$H,5,FALSE)</f>
        <v>#N/A</v>
      </c>
      <c r="J785" s="84" t="e">
        <f>VLOOKUP(Table13[[#This Row],[kbli5]],kata_kunci!$B:$H,6,FALSE)</f>
        <v>#N/A</v>
      </c>
      <c r="K785" s="84" t="e">
        <f>VLOOKUP(Table13[[#This Row],[kbli5]],kata_kunci!$B:$H,7,FALSE)</f>
        <v>#N/A</v>
      </c>
    </row>
    <row r="786" spans="1:11" ht="45.75" thickBot="1" x14ac:dyDescent="0.3">
      <c r="A786" s="53" t="s">
        <v>996</v>
      </c>
      <c r="B786" s="40">
        <v>46594</v>
      </c>
      <c r="C786" s="41" t="s">
        <v>1053</v>
      </c>
      <c r="D786" s="30" t="e">
        <f>VLOOKUP(Table13[[#This Row],[kbli5]],Table1[[#All],[kbli5]:[digital_hijau]],3,)</f>
        <v>#N/A</v>
      </c>
      <c r="E786" s="53" t="e">
        <f>VLOOKUP(Table13[[#This Row],[kbli5]],kata_kunci!$B:$H,4,FALSE)</f>
        <v>#N/A</v>
      </c>
      <c r="F786" s="53" t="e">
        <f>VLOOKUP(Table13[[#This Row],[kbli5]],Table1[[#All],[kbli5]:[digital_hijau]],5,)</f>
        <v>#N/A</v>
      </c>
      <c r="G786" s="53" t="e">
        <f>VLOOKUP(Table13[[#This Row],[kbli5]],Table1[[#All],[kbli5]:[digital_hijau]],6,)</f>
        <v>#N/A</v>
      </c>
      <c r="H786" s="54" t="e">
        <f>VLOOKUP(Table13[[#This Row],[kbli5]],kata_kunci!$B:$H,3,FALSE)</f>
        <v>#N/A</v>
      </c>
      <c r="I786" s="84" t="e">
        <f>VLOOKUP(Table13[[#This Row],[kbli5]],kata_kunci!$B:$H,5,FALSE)</f>
        <v>#N/A</v>
      </c>
      <c r="J786" s="84" t="e">
        <f>VLOOKUP(Table13[[#This Row],[kbli5]],kata_kunci!$B:$H,6,FALSE)</f>
        <v>#N/A</v>
      </c>
      <c r="K786" s="84" t="e">
        <f>VLOOKUP(Table13[[#This Row],[kbli5]],kata_kunci!$B:$H,7,FALSE)</f>
        <v>#N/A</v>
      </c>
    </row>
    <row r="787" spans="1:11" ht="45.75" thickBot="1" x14ac:dyDescent="0.3">
      <c r="A787" s="53" t="s">
        <v>996</v>
      </c>
      <c r="B787" s="40">
        <v>46599</v>
      </c>
      <c r="C787" s="41" t="s">
        <v>1054</v>
      </c>
      <c r="D787" s="30" t="e">
        <f>VLOOKUP(Table13[[#This Row],[kbli5]],Table1[[#All],[kbli5]:[digital_hijau]],3,)</f>
        <v>#N/A</v>
      </c>
      <c r="E787" s="53" t="e">
        <f>VLOOKUP(Table13[[#This Row],[kbli5]],kata_kunci!$B:$H,4,FALSE)</f>
        <v>#N/A</v>
      </c>
      <c r="F787" s="53" t="e">
        <f>VLOOKUP(Table13[[#This Row],[kbli5]],Table1[[#All],[kbli5]:[digital_hijau]],5,)</f>
        <v>#N/A</v>
      </c>
      <c r="G787" s="53" t="e">
        <f>VLOOKUP(Table13[[#This Row],[kbli5]],Table1[[#All],[kbli5]:[digital_hijau]],6,)</f>
        <v>#N/A</v>
      </c>
      <c r="H787" s="54" t="e">
        <f>VLOOKUP(Table13[[#This Row],[kbli5]],kata_kunci!$B:$H,3,FALSE)</f>
        <v>#N/A</v>
      </c>
      <c r="I787" s="84" t="e">
        <f>VLOOKUP(Table13[[#This Row],[kbli5]],kata_kunci!$B:$H,5,FALSE)</f>
        <v>#N/A</v>
      </c>
      <c r="J787" s="84" t="e">
        <f>VLOOKUP(Table13[[#This Row],[kbli5]],kata_kunci!$B:$H,6,FALSE)</f>
        <v>#N/A</v>
      </c>
      <c r="K787" s="84" t="e">
        <f>VLOOKUP(Table13[[#This Row],[kbli5]],kata_kunci!$B:$H,7,FALSE)</f>
        <v>#N/A</v>
      </c>
    </row>
    <row r="788" spans="1:11" ht="30.75" thickBot="1" x14ac:dyDescent="0.3">
      <c r="A788" s="53" t="s">
        <v>996</v>
      </c>
      <c r="B788" s="40">
        <v>46611</v>
      </c>
      <c r="C788" s="41" t="s">
        <v>1055</v>
      </c>
      <c r="D788" s="30" t="e">
        <f>VLOOKUP(Table13[[#This Row],[kbli5]],Table1[[#All],[kbli5]:[digital_hijau]],3,)</f>
        <v>#N/A</v>
      </c>
      <c r="E788" s="53" t="e">
        <f>VLOOKUP(Table13[[#This Row],[kbli5]],kata_kunci!$B:$H,4,FALSE)</f>
        <v>#N/A</v>
      </c>
      <c r="F788" s="53" t="e">
        <f>VLOOKUP(Table13[[#This Row],[kbli5]],Table1[[#All],[kbli5]:[digital_hijau]],5,)</f>
        <v>#N/A</v>
      </c>
      <c r="G788" s="53" t="e">
        <f>VLOOKUP(Table13[[#This Row],[kbli5]],Table1[[#All],[kbli5]:[digital_hijau]],6,)</f>
        <v>#N/A</v>
      </c>
      <c r="H788" s="54" t="e">
        <f>VLOOKUP(Table13[[#This Row],[kbli5]],kata_kunci!$B:$H,3,FALSE)</f>
        <v>#N/A</v>
      </c>
      <c r="I788" s="84" t="e">
        <f>VLOOKUP(Table13[[#This Row],[kbli5]],kata_kunci!$B:$H,5,FALSE)</f>
        <v>#N/A</v>
      </c>
      <c r="J788" s="84" t="e">
        <f>VLOOKUP(Table13[[#This Row],[kbli5]],kata_kunci!$B:$H,6,FALSE)</f>
        <v>#N/A</v>
      </c>
      <c r="K788" s="84" t="e">
        <f>VLOOKUP(Table13[[#This Row],[kbli5]],kata_kunci!$B:$H,7,FALSE)</f>
        <v>#N/A</v>
      </c>
    </row>
    <row r="789" spans="1:11" ht="30.75" thickBot="1" x14ac:dyDescent="0.3">
      <c r="A789" s="53" t="s">
        <v>996</v>
      </c>
      <c r="B789" s="40">
        <v>46612</v>
      </c>
      <c r="C789" s="41" t="s">
        <v>1056</v>
      </c>
      <c r="D789" s="30" t="e">
        <f>VLOOKUP(Table13[[#This Row],[kbli5]],Table1[[#All],[kbli5]:[digital_hijau]],3,)</f>
        <v>#N/A</v>
      </c>
      <c r="E789" s="53" t="e">
        <f>VLOOKUP(Table13[[#This Row],[kbli5]],kata_kunci!$B:$H,4,FALSE)</f>
        <v>#N/A</v>
      </c>
      <c r="F789" s="53" t="e">
        <f>VLOOKUP(Table13[[#This Row],[kbli5]],Table1[[#All],[kbli5]:[digital_hijau]],5,)</f>
        <v>#N/A</v>
      </c>
      <c r="G789" s="53" t="e">
        <f>VLOOKUP(Table13[[#This Row],[kbli5]],Table1[[#All],[kbli5]:[digital_hijau]],6,)</f>
        <v>#N/A</v>
      </c>
      <c r="H789" s="54" t="e">
        <f>VLOOKUP(Table13[[#This Row],[kbli5]],kata_kunci!$B:$H,3,FALSE)</f>
        <v>#N/A</v>
      </c>
      <c r="I789" s="84" t="e">
        <f>VLOOKUP(Table13[[#This Row],[kbli5]],kata_kunci!$B:$H,5,FALSE)</f>
        <v>#N/A</v>
      </c>
      <c r="J789" s="84" t="e">
        <f>VLOOKUP(Table13[[#This Row],[kbli5]],kata_kunci!$B:$H,6,FALSE)</f>
        <v>#N/A</v>
      </c>
      <c r="K789" s="84" t="e">
        <f>VLOOKUP(Table13[[#This Row],[kbli5]],kata_kunci!$B:$H,7,FALSE)</f>
        <v>#N/A</v>
      </c>
    </row>
    <row r="790" spans="1:11" ht="45.75" thickBot="1" x14ac:dyDescent="0.3">
      <c r="A790" s="53" t="s">
        <v>996</v>
      </c>
      <c r="B790" s="40">
        <v>46620</v>
      </c>
      <c r="C790" s="41" t="s">
        <v>1057</v>
      </c>
      <c r="D790" s="30" t="e">
        <f>VLOOKUP(Table13[[#This Row],[kbli5]],Table1[[#All],[kbli5]:[digital_hijau]],3,)</f>
        <v>#N/A</v>
      </c>
      <c r="E790" s="53" t="e">
        <f>VLOOKUP(Table13[[#This Row],[kbli5]],kata_kunci!$B:$H,4,FALSE)</f>
        <v>#N/A</v>
      </c>
      <c r="F790" s="53" t="e">
        <f>VLOOKUP(Table13[[#This Row],[kbli5]],Table1[[#All],[kbli5]:[digital_hijau]],5,)</f>
        <v>#N/A</v>
      </c>
      <c r="G790" s="53" t="e">
        <f>VLOOKUP(Table13[[#This Row],[kbli5]],Table1[[#All],[kbli5]:[digital_hijau]],6,)</f>
        <v>#N/A</v>
      </c>
      <c r="H790" s="54" t="e">
        <f>VLOOKUP(Table13[[#This Row],[kbli5]],kata_kunci!$B:$H,3,FALSE)</f>
        <v>#N/A</v>
      </c>
      <c r="I790" s="84" t="e">
        <f>VLOOKUP(Table13[[#This Row],[kbli5]],kata_kunci!$B:$H,5,FALSE)</f>
        <v>#N/A</v>
      </c>
      <c r="J790" s="84" t="e">
        <f>VLOOKUP(Table13[[#This Row],[kbli5]],kata_kunci!$B:$H,6,FALSE)</f>
        <v>#N/A</v>
      </c>
      <c r="K790" s="84" t="e">
        <f>VLOOKUP(Table13[[#This Row],[kbli5]],kata_kunci!$B:$H,7,FALSE)</f>
        <v>#N/A</v>
      </c>
    </row>
    <row r="791" spans="1:11" ht="30.75" thickBot="1" x14ac:dyDescent="0.3">
      <c r="A791" s="53" t="s">
        <v>996</v>
      </c>
      <c r="B791" s="40">
        <v>46631</v>
      </c>
      <c r="C791" s="41" t="s">
        <v>1058</v>
      </c>
      <c r="D791" s="30" t="e">
        <f>VLOOKUP(Table13[[#This Row],[kbli5]],Table1[[#All],[kbli5]:[digital_hijau]],3,)</f>
        <v>#N/A</v>
      </c>
      <c r="E791" s="53" t="e">
        <f>VLOOKUP(Table13[[#This Row],[kbli5]],kata_kunci!$B:$H,4,FALSE)</f>
        <v>#N/A</v>
      </c>
      <c r="F791" s="53" t="e">
        <f>VLOOKUP(Table13[[#This Row],[kbli5]],Table1[[#All],[kbli5]:[digital_hijau]],5,)</f>
        <v>#N/A</v>
      </c>
      <c r="G791" s="53" t="e">
        <f>VLOOKUP(Table13[[#This Row],[kbli5]],Table1[[#All],[kbli5]:[digital_hijau]],6,)</f>
        <v>#N/A</v>
      </c>
      <c r="H791" s="54" t="e">
        <f>VLOOKUP(Table13[[#This Row],[kbli5]],kata_kunci!$B:$H,3,FALSE)</f>
        <v>#N/A</v>
      </c>
      <c r="I791" s="84" t="e">
        <f>VLOOKUP(Table13[[#This Row],[kbli5]],kata_kunci!$B:$H,5,FALSE)</f>
        <v>#N/A</v>
      </c>
      <c r="J791" s="84" t="e">
        <f>VLOOKUP(Table13[[#This Row],[kbli5]],kata_kunci!$B:$H,6,FALSE)</f>
        <v>#N/A</v>
      </c>
      <c r="K791" s="84" t="e">
        <f>VLOOKUP(Table13[[#This Row],[kbli5]],kata_kunci!$B:$H,7,FALSE)</f>
        <v>#N/A</v>
      </c>
    </row>
    <row r="792" spans="1:11" ht="30.75" thickBot="1" x14ac:dyDescent="0.3">
      <c r="A792" s="53" t="s">
        <v>996</v>
      </c>
      <c r="B792" s="40">
        <v>46632</v>
      </c>
      <c r="C792" s="41" t="s">
        <v>1059</v>
      </c>
      <c r="D792" s="30" t="e">
        <f>VLOOKUP(Table13[[#This Row],[kbli5]],Table1[[#All],[kbli5]:[digital_hijau]],3,)</f>
        <v>#N/A</v>
      </c>
      <c r="E792" s="53" t="e">
        <f>VLOOKUP(Table13[[#This Row],[kbli5]],kata_kunci!$B:$H,4,FALSE)</f>
        <v>#N/A</v>
      </c>
      <c r="F792" s="53" t="e">
        <f>VLOOKUP(Table13[[#This Row],[kbli5]],Table1[[#All],[kbli5]:[digital_hijau]],5,)</f>
        <v>#N/A</v>
      </c>
      <c r="G792" s="53" t="e">
        <f>VLOOKUP(Table13[[#This Row],[kbli5]],Table1[[#All],[kbli5]:[digital_hijau]],6,)</f>
        <v>#N/A</v>
      </c>
      <c r="H792" s="54" t="e">
        <f>VLOOKUP(Table13[[#This Row],[kbli5]],kata_kunci!$B:$H,3,FALSE)</f>
        <v>#N/A</v>
      </c>
      <c r="I792" s="84" t="e">
        <f>VLOOKUP(Table13[[#This Row],[kbli5]],kata_kunci!$B:$H,5,FALSE)</f>
        <v>#N/A</v>
      </c>
      <c r="J792" s="84" t="e">
        <f>VLOOKUP(Table13[[#This Row],[kbli5]],kata_kunci!$B:$H,6,FALSE)</f>
        <v>#N/A</v>
      </c>
      <c r="K792" s="84" t="e">
        <f>VLOOKUP(Table13[[#This Row],[kbli5]],kata_kunci!$B:$H,7,FALSE)</f>
        <v>#N/A</v>
      </c>
    </row>
    <row r="793" spans="1:11" ht="45.75" thickBot="1" x14ac:dyDescent="0.3">
      <c r="A793" s="53" t="s">
        <v>996</v>
      </c>
      <c r="B793" s="40">
        <v>46633</v>
      </c>
      <c r="C793" s="41" t="s">
        <v>1060</v>
      </c>
      <c r="D793" s="30" t="e">
        <f>VLOOKUP(Table13[[#This Row],[kbli5]],Table1[[#All],[kbli5]:[digital_hijau]],3,)</f>
        <v>#N/A</v>
      </c>
      <c r="E793" s="53" t="e">
        <f>VLOOKUP(Table13[[#This Row],[kbli5]],kata_kunci!$B:$H,4,FALSE)</f>
        <v>#N/A</v>
      </c>
      <c r="F793" s="53" t="e">
        <f>VLOOKUP(Table13[[#This Row],[kbli5]],Table1[[#All],[kbli5]:[digital_hijau]],5,)</f>
        <v>#N/A</v>
      </c>
      <c r="G793" s="53" t="e">
        <f>VLOOKUP(Table13[[#This Row],[kbli5]],Table1[[#All],[kbli5]:[digital_hijau]],6,)</f>
        <v>#N/A</v>
      </c>
      <c r="H793" s="54" t="e">
        <f>VLOOKUP(Table13[[#This Row],[kbli5]],kata_kunci!$B:$H,3,FALSE)</f>
        <v>#N/A</v>
      </c>
      <c r="I793" s="84" t="e">
        <f>VLOOKUP(Table13[[#This Row],[kbli5]],kata_kunci!$B:$H,5,FALSE)</f>
        <v>#N/A</v>
      </c>
      <c r="J793" s="84" t="e">
        <f>VLOOKUP(Table13[[#This Row],[kbli5]],kata_kunci!$B:$H,6,FALSE)</f>
        <v>#N/A</v>
      </c>
      <c r="K793" s="84" t="e">
        <f>VLOOKUP(Table13[[#This Row],[kbli5]],kata_kunci!$B:$H,7,FALSE)</f>
        <v>#N/A</v>
      </c>
    </row>
    <row r="794" spans="1:11" ht="45.75" thickBot="1" x14ac:dyDescent="0.3">
      <c r="A794" s="53" t="s">
        <v>996</v>
      </c>
      <c r="B794" s="40">
        <v>46710</v>
      </c>
      <c r="C794" s="41" t="s">
        <v>1061</v>
      </c>
      <c r="D794" s="30" t="e">
        <f>VLOOKUP(Table13[[#This Row],[kbli5]],Table1[[#All],[kbli5]:[digital_hijau]],3,)</f>
        <v>#N/A</v>
      </c>
      <c r="E794" s="53" t="e">
        <f>VLOOKUP(Table13[[#This Row],[kbli5]],kata_kunci!$B:$H,4,FALSE)</f>
        <v>#N/A</v>
      </c>
      <c r="F794" s="53" t="e">
        <f>VLOOKUP(Table13[[#This Row],[kbli5]],Table1[[#All],[kbli5]:[digital_hijau]],5,)</f>
        <v>#N/A</v>
      </c>
      <c r="G794" s="53" t="e">
        <f>VLOOKUP(Table13[[#This Row],[kbli5]],Table1[[#All],[kbli5]:[digital_hijau]],6,)</f>
        <v>#N/A</v>
      </c>
      <c r="H794" s="54" t="e">
        <f>VLOOKUP(Table13[[#This Row],[kbli5]],kata_kunci!$B:$H,3,FALSE)</f>
        <v>#N/A</v>
      </c>
      <c r="I794" s="84" t="e">
        <f>VLOOKUP(Table13[[#This Row],[kbli5]],kata_kunci!$B:$H,5,FALSE)</f>
        <v>#N/A</v>
      </c>
      <c r="J794" s="84" t="e">
        <f>VLOOKUP(Table13[[#This Row],[kbli5]],kata_kunci!$B:$H,6,FALSE)</f>
        <v>#N/A</v>
      </c>
      <c r="K794" s="84" t="e">
        <f>VLOOKUP(Table13[[#This Row],[kbli5]],kata_kunci!$B:$H,7,FALSE)</f>
        <v>#N/A</v>
      </c>
    </row>
    <row r="795" spans="1:11" ht="30.75" thickBot="1" x14ac:dyDescent="0.3">
      <c r="A795" s="53" t="s">
        <v>996</v>
      </c>
      <c r="B795" s="40">
        <v>46721</v>
      </c>
      <c r="C795" s="41" t="s">
        <v>1062</v>
      </c>
      <c r="D795" s="30" t="e">
        <f>VLOOKUP(Table13[[#This Row],[kbli5]],Table1[[#All],[kbli5]:[digital_hijau]],3,)</f>
        <v>#N/A</v>
      </c>
      <c r="E795" s="53" t="e">
        <f>VLOOKUP(Table13[[#This Row],[kbli5]],kata_kunci!$B:$H,4,FALSE)</f>
        <v>#N/A</v>
      </c>
      <c r="F795" s="53" t="e">
        <f>VLOOKUP(Table13[[#This Row],[kbli5]],Table1[[#All],[kbli5]:[digital_hijau]],5,)</f>
        <v>#N/A</v>
      </c>
      <c r="G795" s="53" t="e">
        <f>VLOOKUP(Table13[[#This Row],[kbli5]],Table1[[#All],[kbli5]:[digital_hijau]],6,)</f>
        <v>#N/A</v>
      </c>
      <c r="H795" s="54" t="e">
        <f>VLOOKUP(Table13[[#This Row],[kbli5]],kata_kunci!$B:$H,3,FALSE)</f>
        <v>#N/A</v>
      </c>
      <c r="I795" s="84" t="e">
        <f>VLOOKUP(Table13[[#This Row],[kbli5]],kata_kunci!$B:$H,5,FALSE)</f>
        <v>#N/A</v>
      </c>
      <c r="J795" s="84" t="e">
        <f>VLOOKUP(Table13[[#This Row],[kbli5]],kata_kunci!$B:$H,6,FALSE)</f>
        <v>#N/A</v>
      </c>
      <c r="K795" s="84" t="e">
        <f>VLOOKUP(Table13[[#This Row],[kbli5]],kata_kunci!$B:$H,7,FALSE)</f>
        <v>#N/A</v>
      </c>
    </row>
    <row r="796" spans="1:11" ht="45.75" thickBot="1" x14ac:dyDescent="0.3">
      <c r="A796" s="53" t="s">
        <v>996</v>
      </c>
      <c r="B796" s="40">
        <v>46722</v>
      </c>
      <c r="C796" s="41" t="s">
        <v>1063</v>
      </c>
      <c r="D796" s="30" t="e">
        <f>VLOOKUP(Table13[[#This Row],[kbli5]],Table1[[#All],[kbli5]:[digital_hijau]],3,)</f>
        <v>#N/A</v>
      </c>
      <c r="E796" s="53" t="e">
        <f>VLOOKUP(Table13[[#This Row],[kbli5]],kata_kunci!$B:$H,4,FALSE)</f>
        <v>#N/A</v>
      </c>
      <c r="F796" s="53" t="e">
        <f>VLOOKUP(Table13[[#This Row],[kbli5]],Table1[[#All],[kbli5]:[digital_hijau]],5,)</f>
        <v>#N/A</v>
      </c>
      <c r="G796" s="53" t="e">
        <f>VLOOKUP(Table13[[#This Row],[kbli5]],Table1[[#All],[kbli5]:[digital_hijau]],6,)</f>
        <v>#N/A</v>
      </c>
      <c r="H796" s="54" t="e">
        <f>VLOOKUP(Table13[[#This Row],[kbli5]],kata_kunci!$B:$H,3,FALSE)</f>
        <v>#N/A</v>
      </c>
      <c r="I796" s="84" t="e">
        <f>VLOOKUP(Table13[[#This Row],[kbli5]],kata_kunci!$B:$H,5,FALSE)</f>
        <v>#N/A</v>
      </c>
      <c r="J796" s="84" t="e">
        <f>VLOOKUP(Table13[[#This Row],[kbli5]],kata_kunci!$B:$H,6,FALSE)</f>
        <v>#N/A</v>
      </c>
      <c r="K796" s="84" t="e">
        <f>VLOOKUP(Table13[[#This Row],[kbli5]],kata_kunci!$B:$H,7,FALSE)</f>
        <v>#N/A</v>
      </c>
    </row>
    <row r="797" spans="1:11" ht="45.75" thickBot="1" x14ac:dyDescent="0.3">
      <c r="A797" s="53" t="s">
        <v>996</v>
      </c>
      <c r="B797" s="40">
        <v>46731</v>
      </c>
      <c r="C797" s="41" t="s">
        <v>1064</v>
      </c>
      <c r="D797" s="30" t="e">
        <f>VLOOKUP(Table13[[#This Row],[kbli5]],Table1[[#All],[kbli5]:[digital_hijau]],3,)</f>
        <v>#N/A</v>
      </c>
      <c r="E797" s="53" t="e">
        <f>VLOOKUP(Table13[[#This Row],[kbli5]],kata_kunci!$B:$H,4,FALSE)</f>
        <v>#N/A</v>
      </c>
      <c r="F797" s="53" t="e">
        <f>VLOOKUP(Table13[[#This Row],[kbli5]],Table1[[#All],[kbli5]:[digital_hijau]],5,)</f>
        <v>#N/A</v>
      </c>
      <c r="G797" s="53" t="e">
        <f>VLOOKUP(Table13[[#This Row],[kbli5]],Table1[[#All],[kbli5]:[digital_hijau]],6,)</f>
        <v>#N/A</v>
      </c>
      <c r="H797" s="54" t="e">
        <f>VLOOKUP(Table13[[#This Row],[kbli5]],kata_kunci!$B:$H,3,FALSE)</f>
        <v>#N/A</v>
      </c>
      <c r="I797" s="84" t="e">
        <f>VLOOKUP(Table13[[#This Row],[kbli5]],kata_kunci!$B:$H,5,FALSE)</f>
        <v>#N/A</v>
      </c>
      <c r="J797" s="84" t="e">
        <f>VLOOKUP(Table13[[#This Row],[kbli5]],kata_kunci!$B:$H,6,FALSE)</f>
        <v>#N/A</v>
      </c>
      <c r="K797" s="84" t="e">
        <f>VLOOKUP(Table13[[#This Row],[kbli5]],kata_kunci!$B:$H,7,FALSE)</f>
        <v>#N/A</v>
      </c>
    </row>
    <row r="798" spans="1:11" ht="30.75" thickBot="1" x14ac:dyDescent="0.3">
      <c r="A798" s="53" t="s">
        <v>996</v>
      </c>
      <c r="B798" s="40">
        <v>46732</v>
      </c>
      <c r="C798" s="41" t="s">
        <v>1065</v>
      </c>
      <c r="D798" s="30" t="e">
        <f>VLOOKUP(Table13[[#This Row],[kbli5]],Table1[[#All],[kbli5]:[digital_hijau]],3,)</f>
        <v>#N/A</v>
      </c>
      <c r="E798" s="53" t="e">
        <f>VLOOKUP(Table13[[#This Row],[kbli5]],kata_kunci!$B:$H,4,FALSE)</f>
        <v>#N/A</v>
      </c>
      <c r="F798" s="53" t="e">
        <f>VLOOKUP(Table13[[#This Row],[kbli5]],Table1[[#All],[kbli5]:[digital_hijau]],5,)</f>
        <v>#N/A</v>
      </c>
      <c r="G798" s="53" t="e">
        <f>VLOOKUP(Table13[[#This Row],[kbli5]],Table1[[#All],[kbli5]:[digital_hijau]],6,)</f>
        <v>#N/A</v>
      </c>
      <c r="H798" s="54" t="e">
        <f>VLOOKUP(Table13[[#This Row],[kbli5]],kata_kunci!$B:$H,3,FALSE)</f>
        <v>#N/A</v>
      </c>
      <c r="I798" s="84" t="e">
        <f>VLOOKUP(Table13[[#This Row],[kbli5]],kata_kunci!$B:$H,5,FALSE)</f>
        <v>#N/A</v>
      </c>
      <c r="J798" s="84" t="e">
        <f>VLOOKUP(Table13[[#This Row],[kbli5]],kata_kunci!$B:$H,6,FALSE)</f>
        <v>#N/A</v>
      </c>
      <c r="K798" s="84" t="e">
        <f>VLOOKUP(Table13[[#This Row],[kbli5]],kata_kunci!$B:$H,7,FALSE)</f>
        <v>#N/A</v>
      </c>
    </row>
    <row r="799" spans="1:11" ht="45.75" thickBot="1" x14ac:dyDescent="0.3">
      <c r="A799" s="53" t="s">
        <v>996</v>
      </c>
      <c r="B799" s="40">
        <v>46733</v>
      </c>
      <c r="C799" s="41" t="s">
        <v>1066</v>
      </c>
      <c r="D799" s="30" t="e">
        <f>VLOOKUP(Table13[[#This Row],[kbli5]],Table1[[#All],[kbli5]:[digital_hijau]],3,)</f>
        <v>#N/A</v>
      </c>
      <c r="E799" s="53" t="e">
        <f>VLOOKUP(Table13[[#This Row],[kbli5]],kata_kunci!$B:$H,4,FALSE)</f>
        <v>#N/A</v>
      </c>
      <c r="F799" s="53" t="e">
        <f>VLOOKUP(Table13[[#This Row],[kbli5]],Table1[[#All],[kbli5]:[digital_hijau]],5,)</f>
        <v>#N/A</v>
      </c>
      <c r="G799" s="53" t="e">
        <f>VLOOKUP(Table13[[#This Row],[kbli5]],Table1[[#All],[kbli5]:[digital_hijau]],6,)</f>
        <v>#N/A</v>
      </c>
      <c r="H799" s="54" t="e">
        <f>VLOOKUP(Table13[[#This Row],[kbli5]],kata_kunci!$B:$H,3,FALSE)</f>
        <v>#N/A</v>
      </c>
      <c r="I799" s="84" t="e">
        <f>VLOOKUP(Table13[[#This Row],[kbli5]],kata_kunci!$B:$H,5,FALSE)</f>
        <v>#N/A</v>
      </c>
      <c r="J799" s="84" t="e">
        <f>VLOOKUP(Table13[[#This Row],[kbli5]],kata_kunci!$B:$H,6,FALSE)</f>
        <v>#N/A</v>
      </c>
      <c r="K799" s="84" t="e">
        <f>VLOOKUP(Table13[[#This Row],[kbli5]],kata_kunci!$B:$H,7,FALSE)</f>
        <v>#N/A</v>
      </c>
    </row>
    <row r="800" spans="1:11" ht="45.75" thickBot="1" x14ac:dyDescent="0.3">
      <c r="A800" s="53" t="s">
        <v>996</v>
      </c>
      <c r="B800" s="40">
        <v>46734</v>
      </c>
      <c r="C800" s="41" t="s">
        <v>1067</v>
      </c>
      <c r="D800" s="30" t="e">
        <f>VLOOKUP(Table13[[#This Row],[kbli5]],Table1[[#All],[kbli5]:[digital_hijau]],3,)</f>
        <v>#N/A</v>
      </c>
      <c r="E800" s="53" t="e">
        <f>VLOOKUP(Table13[[#This Row],[kbli5]],kata_kunci!$B:$H,4,FALSE)</f>
        <v>#N/A</v>
      </c>
      <c r="F800" s="53" t="e">
        <f>VLOOKUP(Table13[[#This Row],[kbli5]],Table1[[#All],[kbli5]:[digital_hijau]],5,)</f>
        <v>#N/A</v>
      </c>
      <c r="G800" s="53" t="e">
        <f>VLOOKUP(Table13[[#This Row],[kbli5]],Table1[[#All],[kbli5]:[digital_hijau]],6,)</f>
        <v>#N/A</v>
      </c>
      <c r="H800" s="54" t="e">
        <f>VLOOKUP(Table13[[#This Row],[kbli5]],kata_kunci!$B:$H,3,FALSE)</f>
        <v>#N/A</v>
      </c>
      <c r="I800" s="84" t="e">
        <f>VLOOKUP(Table13[[#This Row],[kbli5]],kata_kunci!$B:$H,5,FALSE)</f>
        <v>#N/A</v>
      </c>
      <c r="J800" s="84" t="e">
        <f>VLOOKUP(Table13[[#This Row],[kbli5]],kata_kunci!$B:$H,6,FALSE)</f>
        <v>#N/A</v>
      </c>
      <c r="K800" s="84" t="e">
        <f>VLOOKUP(Table13[[#This Row],[kbli5]],kata_kunci!$B:$H,7,FALSE)</f>
        <v>#N/A</v>
      </c>
    </row>
    <row r="801" spans="1:11" ht="45.75" thickBot="1" x14ac:dyDescent="0.3">
      <c r="A801" s="53" t="s">
        <v>996</v>
      </c>
      <c r="B801" s="40">
        <v>46735</v>
      </c>
      <c r="C801" s="41" t="s">
        <v>1068</v>
      </c>
      <c r="D801" s="30" t="e">
        <f>VLOOKUP(Table13[[#This Row],[kbli5]],Table1[[#All],[kbli5]:[digital_hijau]],3,)</f>
        <v>#N/A</v>
      </c>
      <c r="E801" s="53" t="e">
        <f>VLOOKUP(Table13[[#This Row],[kbli5]],kata_kunci!$B:$H,4,FALSE)</f>
        <v>#N/A</v>
      </c>
      <c r="F801" s="53" t="e">
        <f>VLOOKUP(Table13[[#This Row],[kbli5]],Table1[[#All],[kbli5]:[digital_hijau]],5,)</f>
        <v>#N/A</v>
      </c>
      <c r="G801" s="53" t="e">
        <f>VLOOKUP(Table13[[#This Row],[kbli5]],Table1[[#All],[kbli5]:[digital_hijau]],6,)</f>
        <v>#N/A</v>
      </c>
      <c r="H801" s="54" t="e">
        <f>VLOOKUP(Table13[[#This Row],[kbli5]],kata_kunci!$B:$H,3,FALSE)</f>
        <v>#N/A</v>
      </c>
      <c r="I801" s="84" t="e">
        <f>VLOOKUP(Table13[[#This Row],[kbli5]],kata_kunci!$B:$H,5,FALSE)</f>
        <v>#N/A</v>
      </c>
      <c r="J801" s="84" t="e">
        <f>VLOOKUP(Table13[[#This Row],[kbli5]],kata_kunci!$B:$H,6,FALSE)</f>
        <v>#N/A</v>
      </c>
      <c r="K801" s="84" t="e">
        <f>VLOOKUP(Table13[[#This Row],[kbli5]],kata_kunci!$B:$H,7,FALSE)</f>
        <v>#N/A</v>
      </c>
    </row>
    <row r="802" spans="1:11" ht="15.75" thickBot="1" x14ac:dyDescent="0.3">
      <c r="A802" s="53" t="s">
        <v>996</v>
      </c>
      <c r="B802" s="40">
        <v>46736</v>
      </c>
      <c r="C802" s="41" t="s">
        <v>1069</v>
      </c>
      <c r="D802" s="30" t="e">
        <f>VLOOKUP(Table13[[#This Row],[kbli5]],Table1[[#All],[kbli5]:[digital_hijau]],3,)</f>
        <v>#N/A</v>
      </c>
      <c r="E802" s="53" t="e">
        <f>VLOOKUP(Table13[[#This Row],[kbli5]],kata_kunci!$B:$H,4,FALSE)</f>
        <v>#N/A</v>
      </c>
      <c r="F802" s="53" t="e">
        <f>VLOOKUP(Table13[[#This Row],[kbli5]],Table1[[#All],[kbli5]:[digital_hijau]],5,)</f>
        <v>#N/A</v>
      </c>
      <c r="G802" s="53" t="e">
        <f>VLOOKUP(Table13[[#This Row],[kbli5]],Table1[[#All],[kbli5]:[digital_hijau]],6,)</f>
        <v>#N/A</v>
      </c>
      <c r="H802" s="54" t="e">
        <f>VLOOKUP(Table13[[#This Row],[kbli5]],kata_kunci!$B:$H,3,FALSE)</f>
        <v>#N/A</v>
      </c>
      <c r="I802" s="84" t="e">
        <f>VLOOKUP(Table13[[#This Row],[kbli5]],kata_kunci!$B:$H,5,FALSE)</f>
        <v>#N/A</v>
      </c>
      <c r="J802" s="84" t="e">
        <f>VLOOKUP(Table13[[#This Row],[kbli5]],kata_kunci!$B:$H,6,FALSE)</f>
        <v>#N/A</v>
      </c>
      <c r="K802" s="84" t="e">
        <f>VLOOKUP(Table13[[#This Row],[kbli5]],kata_kunci!$B:$H,7,FALSE)</f>
        <v>#N/A</v>
      </c>
    </row>
    <row r="803" spans="1:11" ht="15.75" thickBot="1" x14ac:dyDescent="0.3">
      <c r="A803" s="53" t="s">
        <v>996</v>
      </c>
      <c r="B803" s="40">
        <v>46737</v>
      </c>
      <c r="C803" s="41" t="s">
        <v>1070</v>
      </c>
      <c r="D803" s="30" t="e">
        <f>VLOOKUP(Table13[[#This Row],[kbli5]],Table1[[#All],[kbli5]:[digital_hijau]],3,)</f>
        <v>#N/A</v>
      </c>
      <c r="E803" s="53" t="e">
        <f>VLOOKUP(Table13[[#This Row],[kbli5]],kata_kunci!$B:$H,4,FALSE)</f>
        <v>#N/A</v>
      </c>
      <c r="F803" s="53" t="e">
        <f>VLOOKUP(Table13[[#This Row],[kbli5]],Table1[[#All],[kbli5]:[digital_hijau]],5,)</f>
        <v>#N/A</v>
      </c>
      <c r="G803" s="53" t="e">
        <f>VLOOKUP(Table13[[#This Row],[kbli5]],Table1[[#All],[kbli5]:[digital_hijau]],6,)</f>
        <v>#N/A</v>
      </c>
      <c r="H803" s="54" t="e">
        <f>VLOOKUP(Table13[[#This Row],[kbli5]],kata_kunci!$B:$H,3,FALSE)</f>
        <v>#N/A</v>
      </c>
      <c r="I803" s="84" t="e">
        <f>VLOOKUP(Table13[[#This Row],[kbli5]],kata_kunci!$B:$H,5,FALSE)</f>
        <v>#N/A</v>
      </c>
      <c r="J803" s="84" t="e">
        <f>VLOOKUP(Table13[[#This Row],[kbli5]],kata_kunci!$B:$H,6,FALSE)</f>
        <v>#N/A</v>
      </c>
      <c r="K803" s="84" t="e">
        <f>VLOOKUP(Table13[[#This Row],[kbli5]],kata_kunci!$B:$H,7,FALSE)</f>
        <v>#N/A</v>
      </c>
    </row>
    <row r="804" spans="1:11" ht="45.75" thickBot="1" x14ac:dyDescent="0.3">
      <c r="A804" s="53" t="s">
        <v>996</v>
      </c>
      <c r="B804" s="40">
        <v>46738</v>
      </c>
      <c r="C804" s="41" t="s">
        <v>1071</v>
      </c>
      <c r="D804" s="30" t="e">
        <f>VLOOKUP(Table13[[#This Row],[kbli5]],Table1[[#All],[kbli5]:[digital_hijau]],3,)</f>
        <v>#N/A</v>
      </c>
      <c r="E804" s="53" t="e">
        <f>VLOOKUP(Table13[[#This Row],[kbli5]],kata_kunci!$B:$H,4,FALSE)</f>
        <v>#N/A</v>
      </c>
      <c r="F804" s="53" t="e">
        <f>VLOOKUP(Table13[[#This Row],[kbli5]],Table1[[#All],[kbli5]:[digital_hijau]],5,)</f>
        <v>#N/A</v>
      </c>
      <c r="G804" s="53" t="e">
        <f>VLOOKUP(Table13[[#This Row],[kbli5]],Table1[[#All],[kbli5]:[digital_hijau]],6,)</f>
        <v>#N/A</v>
      </c>
      <c r="H804" s="54" t="e">
        <f>VLOOKUP(Table13[[#This Row],[kbli5]],kata_kunci!$B:$H,3,FALSE)</f>
        <v>#N/A</v>
      </c>
      <c r="I804" s="84" t="e">
        <f>VLOOKUP(Table13[[#This Row],[kbli5]],kata_kunci!$B:$H,5,FALSE)</f>
        <v>#N/A</v>
      </c>
      <c r="J804" s="84" t="e">
        <f>VLOOKUP(Table13[[#This Row],[kbli5]],kata_kunci!$B:$H,6,FALSE)</f>
        <v>#N/A</v>
      </c>
      <c r="K804" s="84" t="e">
        <f>VLOOKUP(Table13[[#This Row],[kbli5]],kata_kunci!$B:$H,7,FALSE)</f>
        <v>#N/A</v>
      </c>
    </row>
    <row r="805" spans="1:11" ht="45.75" thickBot="1" x14ac:dyDescent="0.3">
      <c r="A805" s="53" t="s">
        <v>996</v>
      </c>
      <c r="B805" s="40">
        <v>46739</v>
      </c>
      <c r="C805" s="41" t="s">
        <v>1072</v>
      </c>
      <c r="D805" s="30" t="e">
        <f>VLOOKUP(Table13[[#This Row],[kbli5]],Table1[[#All],[kbli5]:[digital_hijau]],3,)</f>
        <v>#N/A</v>
      </c>
      <c r="E805" s="53" t="e">
        <f>VLOOKUP(Table13[[#This Row],[kbli5]],kata_kunci!$B:$H,4,FALSE)</f>
        <v>#N/A</v>
      </c>
      <c r="F805" s="53" t="e">
        <f>VLOOKUP(Table13[[#This Row],[kbli5]],Table1[[#All],[kbli5]:[digital_hijau]],5,)</f>
        <v>#N/A</v>
      </c>
      <c r="G805" s="53" t="e">
        <f>VLOOKUP(Table13[[#This Row],[kbli5]],Table1[[#All],[kbli5]:[digital_hijau]],6,)</f>
        <v>#N/A</v>
      </c>
      <c r="H805" s="54" t="e">
        <f>VLOOKUP(Table13[[#This Row],[kbli5]],kata_kunci!$B:$H,3,FALSE)</f>
        <v>#N/A</v>
      </c>
      <c r="I805" s="84" t="e">
        <f>VLOOKUP(Table13[[#This Row],[kbli5]],kata_kunci!$B:$H,5,FALSE)</f>
        <v>#N/A</v>
      </c>
      <c r="J805" s="84" t="e">
        <f>VLOOKUP(Table13[[#This Row],[kbli5]],kata_kunci!$B:$H,6,FALSE)</f>
        <v>#N/A</v>
      </c>
      <c r="K805" s="84" t="e">
        <f>VLOOKUP(Table13[[#This Row],[kbli5]],kata_kunci!$B:$H,7,FALSE)</f>
        <v>#N/A</v>
      </c>
    </row>
    <row r="806" spans="1:11" ht="30.75" thickBot="1" x14ac:dyDescent="0.3">
      <c r="A806" s="53" t="s">
        <v>996</v>
      </c>
      <c r="B806" s="40">
        <v>46741</v>
      </c>
      <c r="C806" s="41" t="s">
        <v>1073</v>
      </c>
      <c r="D806" s="30" t="e">
        <f>VLOOKUP(Table13[[#This Row],[kbli5]],Table1[[#All],[kbli5]:[digital_hijau]],3,)</f>
        <v>#N/A</v>
      </c>
      <c r="E806" s="53" t="e">
        <f>VLOOKUP(Table13[[#This Row],[kbli5]],kata_kunci!$B:$H,4,FALSE)</f>
        <v>#N/A</v>
      </c>
      <c r="F806" s="53" t="e">
        <f>VLOOKUP(Table13[[#This Row],[kbli5]],Table1[[#All],[kbli5]:[digital_hijau]],5,)</f>
        <v>#N/A</v>
      </c>
      <c r="G806" s="53" t="e">
        <f>VLOOKUP(Table13[[#This Row],[kbli5]],Table1[[#All],[kbli5]:[digital_hijau]],6,)</f>
        <v>#N/A</v>
      </c>
      <c r="H806" s="54" t="e">
        <f>VLOOKUP(Table13[[#This Row],[kbli5]],kata_kunci!$B:$H,3,FALSE)</f>
        <v>#N/A</v>
      </c>
      <c r="I806" s="84" t="e">
        <f>VLOOKUP(Table13[[#This Row],[kbli5]],kata_kunci!$B:$H,5,FALSE)</f>
        <v>#N/A</v>
      </c>
      <c r="J806" s="84" t="e">
        <f>VLOOKUP(Table13[[#This Row],[kbli5]],kata_kunci!$B:$H,6,FALSE)</f>
        <v>#N/A</v>
      </c>
      <c r="K806" s="84" t="e">
        <f>VLOOKUP(Table13[[#This Row],[kbli5]],kata_kunci!$B:$H,7,FALSE)</f>
        <v>#N/A</v>
      </c>
    </row>
    <row r="807" spans="1:11" ht="30.75" thickBot="1" x14ac:dyDescent="0.3">
      <c r="A807" s="53" t="s">
        <v>996</v>
      </c>
      <c r="B807" s="40">
        <v>46742</v>
      </c>
      <c r="C807" s="41" t="s">
        <v>1074</v>
      </c>
      <c r="D807" s="30" t="e">
        <f>VLOOKUP(Table13[[#This Row],[kbli5]],Table1[[#All],[kbli5]:[digital_hijau]],3,)</f>
        <v>#N/A</v>
      </c>
      <c r="E807" s="53" t="e">
        <f>VLOOKUP(Table13[[#This Row],[kbli5]],kata_kunci!$B:$H,4,FALSE)</f>
        <v>#N/A</v>
      </c>
      <c r="F807" s="53" t="e">
        <f>VLOOKUP(Table13[[#This Row],[kbli5]],Table1[[#All],[kbli5]:[digital_hijau]],5,)</f>
        <v>#N/A</v>
      </c>
      <c r="G807" s="53" t="e">
        <f>VLOOKUP(Table13[[#This Row],[kbli5]],Table1[[#All],[kbli5]:[digital_hijau]],6,)</f>
        <v>#N/A</v>
      </c>
      <c r="H807" s="54" t="e">
        <f>VLOOKUP(Table13[[#This Row],[kbli5]],kata_kunci!$B:$H,3,FALSE)</f>
        <v>#N/A</v>
      </c>
      <c r="I807" s="84" t="e">
        <f>VLOOKUP(Table13[[#This Row],[kbli5]],kata_kunci!$B:$H,5,FALSE)</f>
        <v>#N/A</v>
      </c>
      <c r="J807" s="84" t="e">
        <f>VLOOKUP(Table13[[#This Row],[kbli5]],kata_kunci!$B:$H,6,FALSE)</f>
        <v>#N/A</v>
      </c>
      <c r="K807" s="84" t="e">
        <f>VLOOKUP(Table13[[#This Row],[kbli5]],kata_kunci!$B:$H,7,FALSE)</f>
        <v>#N/A</v>
      </c>
    </row>
    <row r="808" spans="1:11" ht="45.75" thickBot="1" x14ac:dyDescent="0.3">
      <c r="A808" s="53" t="s">
        <v>996</v>
      </c>
      <c r="B808" s="40">
        <v>46743</v>
      </c>
      <c r="C808" s="41" t="s">
        <v>1075</v>
      </c>
      <c r="D808" s="30" t="e">
        <f>VLOOKUP(Table13[[#This Row],[kbli5]],Table1[[#All],[kbli5]:[digital_hijau]],3,)</f>
        <v>#N/A</v>
      </c>
      <c r="E808" s="53" t="e">
        <f>VLOOKUP(Table13[[#This Row],[kbli5]],kata_kunci!$B:$H,4,FALSE)</f>
        <v>#N/A</v>
      </c>
      <c r="F808" s="53" t="e">
        <f>VLOOKUP(Table13[[#This Row],[kbli5]],Table1[[#All],[kbli5]:[digital_hijau]],5,)</f>
        <v>#N/A</v>
      </c>
      <c r="G808" s="53" t="e">
        <f>VLOOKUP(Table13[[#This Row],[kbli5]],Table1[[#All],[kbli5]:[digital_hijau]],6,)</f>
        <v>#N/A</v>
      </c>
      <c r="H808" s="54" t="e">
        <f>VLOOKUP(Table13[[#This Row],[kbli5]],kata_kunci!$B:$H,3,FALSE)</f>
        <v>#N/A</v>
      </c>
      <c r="I808" s="84" t="e">
        <f>VLOOKUP(Table13[[#This Row],[kbli5]],kata_kunci!$B:$H,5,FALSE)</f>
        <v>#N/A</v>
      </c>
      <c r="J808" s="84" t="e">
        <f>VLOOKUP(Table13[[#This Row],[kbli5]],kata_kunci!$B:$H,6,FALSE)</f>
        <v>#N/A</v>
      </c>
      <c r="K808" s="84" t="e">
        <f>VLOOKUP(Table13[[#This Row],[kbli5]],kata_kunci!$B:$H,7,FALSE)</f>
        <v>#N/A</v>
      </c>
    </row>
    <row r="809" spans="1:11" ht="30.75" thickBot="1" x14ac:dyDescent="0.3">
      <c r="A809" s="53" t="s">
        <v>996</v>
      </c>
      <c r="B809" s="40">
        <v>46751</v>
      </c>
      <c r="C809" s="41" t="s">
        <v>1076</v>
      </c>
      <c r="D809" s="30" t="e">
        <f>VLOOKUP(Table13[[#This Row],[kbli5]],Table1[[#All],[kbli5]:[digital_hijau]],3,)</f>
        <v>#N/A</v>
      </c>
      <c r="E809" s="53" t="e">
        <f>VLOOKUP(Table13[[#This Row],[kbli5]],kata_kunci!$B:$H,4,FALSE)</f>
        <v>#N/A</v>
      </c>
      <c r="F809" s="53" t="e">
        <f>VLOOKUP(Table13[[#This Row],[kbli5]],Table1[[#All],[kbli5]:[digital_hijau]],5,)</f>
        <v>#N/A</v>
      </c>
      <c r="G809" s="53" t="e">
        <f>VLOOKUP(Table13[[#This Row],[kbli5]],Table1[[#All],[kbli5]:[digital_hijau]],6,)</f>
        <v>#N/A</v>
      </c>
      <c r="H809" s="54" t="e">
        <f>VLOOKUP(Table13[[#This Row],[kbli5]],kata_kunci!$B:$H,3,FALSE)</f>
        <v>#N/A</v>
      </c>
      <c r="I809" s="84" t="e">
        <f>VLOOKUP(Table13[[#This Row],[kbli5]],kata_kunci!$B:$H,5,FALSE)</f>
        <v>#N/A</v>
      </c>
      <c r="J809" s="84" t="e">
        <f>VLOOKUP(Table13[[#This Row],[kbli5]],kata_kunci!$B:$H,6,FALSE)</f>
        <v>#N/A</v>
      </c>
      <c r="K809" s="84" t="e">
        <f>VLOOKUP(Table13[[#This Row],[kbli5]],kata_kunci!$B:$H,7,FALSE)</f>
        <v>#N/A</v>
      </c>
    </row>
    <row r="810" spans="1:11" ht="45.75" thickBot="1" x14ac:dyDescent="0.3">
      <c r="A810" s="53" t="s">
        <v>996</v>
      </c>
      <c r="B810" s="40">
        <v>46752</v>
      </c>
      <c r="C810" s="41" t="s">
        <v>1077</v>
      </c>
      <c r="D810" s="30" t="e">
        <f>VLOOKUP(Table13[[#This Row],[kbli5]],Table1[[#All],[kbli5]:[digital_hijau]],3,)</f>
        <v>#N/A</v>
      </c>
      <c r="E810" s="53" t="e">
        <f>VLOOKUP(Table13[[#This Row],[kbli5]],kata_kunci!$B:$H,4,FALSE)</f>
        <v>#N/A</v>
      </c>
      <c r="F810" s="53" t="e">
        <f>VLOOKUP(Table13[[#This Row],[kbli5]],Table1[[#All],[kbli5]:[digital_hijau]],5,)</f>
        <v>#N/A</v>
      </c>
      <c r="G810" s="53" t="e">
        <f>VLOOKUP(Table13[[#This Row],[kbli5]],Table1[[#All],[kbli5]:[digital_hijau]],6,)</f>
        <v>#N/A</v>
      </c>
      <c r="H810" s="54" t="e">
        <f>VLOOKUP(Table13[[#This Row],[kbli5]],kata_kunci!$B:$H,3,FALSE)</f>
        <v>#N/A</v>
      </c>
      <c r="I810" s="84" t="e">
        <f>VLOOKUP(Table13[[#This Row],[kbli5]],kata_kunci!$B:$H,5,FALSE)</f>
        <v>#N/A</v>
      </c>
      <c r="J810" s="84" t="e">
        <f>VLOOKUP(Table13[[#This Row],[kbli5]],kata_kunci!$B:$H,6,FALSE)</f>
        <v>#N/A</v>
      </c>
      <c r="K810" s="84" t="e">
        <f>VLOOKUP(Table13[[#This Row],[kbli5]],kata_kunci!$B:$H,7,FALSE)</f>
        <v>#N/A</v>
      </c>
    </row>
    <row r="811" spans="1:11" ht="30.75" thickBot="1" x14ac:dyDescent="0.3">
      <c r="A811" s="53" t="s">
        <v>996</v>
      </c>
      <c r="B811" s="40">
        <v>46753</v>
      </c>
      <c r="C811" s="41" t="s">
        <v>1078</v>
      </c>
      <c r="D811" s="30" t="e">
        <f>VLOOKUP(Table13[[#This Row],[kbli5]],Table1[[#All],[kbli5]:[digital_hijau]],3,)</f>
        <v>#N/A</v>
      </c>
      <c r="E811" s="53" t="e">
        <f>VLOOKUP(Table13[[#This Row],[kbli5]],kata_kunci!$B:$H,4,FALSE)</f>
        <v>#N/A</v>
      </c>
      <c r="F811" s="53" t="e">
        <f>VLOOKUP(Table13[[#This Row],[kbli5]],Table1[[#All],[kbli5]:[digital_hijau]],5,)</f>
        <v>#N/A</v>
      </c>
      <c r="G811" s="53" t="e">
        <f>VLOOKUP(Table13[[#This Row],[kbli5]],Table1[[#All],[kbli5]:[digital_hijau]],6,)</f>
        <v>#N/A</v>
      </c>
      <c r="H811" s="54" t="e">
        <f>VLOOKUP(Table13[[#This Row],[kbli5]],kata_kunci!$B:$H,3,FALSE)</f>
        <v>#N/A</v>
      </c>
      <c r="I811" s="84" t="e">
        <f>VLOOKUP(Table13[[#This Row],[kbli5]],kata_kunci!$B:$H,5,FALSE)</f>
        <v>#N/A</v>
      </c>
      <c r="J811" s="84" t="e">
        <f>VLOOKUP(Table13[[#This Row],[kbli5]],kata_kunci!$B:$H,6,FALSE)</f>
        <v>#N/A</v>
      </c>
      <c r="K811" s="84" t="e">
        <f>VLOOKUP(Table13[[#This Row],[kbli5]],kata_kunci!$B:$H,7,FALSE)</f>
        <v>#N/A</v>
      </c>
    </row>
    <row r="812" spans="1:11" ht="45.75" thickBot="1" x14ac:dyDescent="0.3">
      <c r="A812" s="53" t="s">
        <v>996</v>
      </c>
      <c r="B812" s="40">
        <v>46791</v>
      </c>
      <c r="C812" s="41" t="s">
        <v>1079</v>
      </c>
      <c r="D812" s="30" t="e">
        <f>VLOOKUP(Table13[[#This Row],[kbli5]],Table1[[#All],[kbli5]:[digital_hijau]],3,)</f>
        <v>#N/A</v>
      </c>
      <c r="E812" s="53" t="e">
        <f>VLOOKUP(Table13[[#This Row],[kbli5]],kata_kunci!$B:$H,4,FALSE)</f>
        <v>#N/A</v>
      </c>
      <c r="F812" s="53" t="e">
        <f>VLOOKUP(Table13[[#This Row],[kbli5]],Table1[[#All],[kbli5]:[digital_hijau]],5,)</f>
        <v>#N/A</v>
      </c>
      <c r="G812" s="53" t="e">
        <f>VLOOKUP(Table13[[#This Row],[kbli5]],Table1[[#All],[kbli5]:[digital_hijau]],6,)</f>
        <v>#N/A</v>
      </c>
      <c r="H812" s="54" t="e">
        <f>VLOOKUP(Table13[[#This Row],[kbli5]],kata_kunci!$B:$H,3,FALSE)</f>
        <v>#N/A</v>
      </c>
      <c r="I812" s="84" t="e">
        <f>VLOOKUP(Table13[[#This Row],[kbli5]],kata_kunci!$B:$H,5,FALSE)</f>
        <v>#N/A</v>
      </c>
      <c r="J812" s="84" t="e">
        <f>VLOOKUP(Table13[[#This Row],[kbli5]],kata_kunci!$B:$H,6,FALSE)</f>
        <v>#N/A</v>
      </c>
      <c r="K812" s="84" t="e">
        <f>VLOOKUP(Table13[[#This Row],[kbli5]],kata_kunci!$B:$H,7,FALSE)</f>
        <v>#N/A</v>
      </c>
    </row>
    <row r="813" spans="1:11" ht="45.75" thickBot="1" x14ac:dyDescent="0.3">
      <c r="A813" s="53" t="s">
        <v>996</v>
      </c>
      <c r="B813" s="40">
        <v>46792</v>
      </c>
      <c r="C813" s="41" t="s">
        <v>1080</v>
      </c>
      <c r="D813" s="30" t="e">
        <f>VLOOKUP(Table13[[#This Row],[kbli5]],Table1[[#All],[kbli5]:[digital_hijau]],3,)</f>
        <v>#N/A</v>
      </c>
      <c r="E813" s="53" t="e">
        <f>VLOOKUP(Table13[[#This Row],[kbli5]],kata_kunci!$B:$H,4,FALSE)</f>
        <v>#N/A</v>
      </c>
      <c r="F813" s="53" t="e">
        <f>VLOOKUP(Table13[[#This Row],[kbli5]],Table1[[#All],[kbli5]:[digital_hijau]],5,)</f>
        <v>#N/A</v>
      </c>
      <c r="G813" s="53" t="e">
        <f>VLOOKUP(Table13[[#This Row],[kbli5]],Table1[[#All],[kbli5]:[digital_hijau]],6,)</f>
        <v>#N/A</v>
      </c>
      <c r="H813" s="54" t="e">
        <f>VLOOKUP(Table13[[#This Row],[kbli5]],kata_kunci!$B:$H,3,FALSE)</f>
        <v>#N/A</v>
      </c>
      <c r="I813" s="84" t="e">
        <f>VLOOKUP(Table13[[#This Row],[kbli5]],kata_kunci!$B:$H,5,FALSE)</f>
        <v>#N/A</v>
      </c>
      <c r="J813" s="84" t="e">
        <f>VLOOKUP(Table13[[#This Row],[kbli5]],kata_kunci!$B:$H,6,FALSE)</f>
        <v>#N/A</v>
      </c>
      <c r="K813" s="84" t="e">
        <f>VLOOKUP(Table13[[#This Row],[kbli5]],kata_kunci!$B:$H,7,FALSE)</f>
        <v>#N/A</v>
      </c>
    </row>
    <row r="814" spans="1:11" ht="45.75" thickBot="1" x14ac:dyDescent="0.3">
      <c r="A814" s="53" t="s">
        <v>996</v>
      </c>
      <c r="B814" s="40">
        <v>46793</v>
      </c>
      <c r="C814" s="41" t="s">
        <v>1081</v>
      </c>
      <c r="D814" s="30" t="e">
        <f>VLOOKUP(Table13[[#This Row],[kbli5]],Table1[[#All],[kbli5]:[digital_hijau]],3,)</f>
        <v>#N/A</v>
      </c>
      <c r="E814" s="53" t="e">
        <f>VLOOKUP(Table13[[#This Row],[kbli5]],kata_kunci!$B:$H,4,FALSE)</f>
        <v>#N/A</v>
      </c>
      <c r="F814" s="53" t="e">
        <f>VLOOKUP(Table13[[#This Row],[kbli5]],Table1[[#All],[kbli5]:[digital_hijau]],5,)</f>
        <v>#N/A</v>
      </c>
      <c r="G814" s="53" t="e">
        <f>VLOOKUP(Table13[[#This Row],[kbli5]],Table1[[#All],[kbli5]:[digital_hijau]],6,)</f>
        <v>#N/A</v>
      </c>
      <c r="H814" s="54" t="e">
        <f>VLOOKUP(Table13[[#This Row],[kbli5]],kata_kunci!$B:$H,3,FALSE)</f>
        <v>#N/A</v>
      </c>
      <c r="I814" s="84" t="e">
        <f>VLOOKUP(Table13[[#This Row],[kbli5]],kata_kunci!$B:$H,5,FALSE)</f>
        <v>#N/A</v>
      </c>
      <c r="J814" s="84" t="e">
        <f>VLOOKUP(Table13[[#This Row],[kbli5]],kata_kunci!$B:$H,6,FALSE)</f>
        <v>#N/A</v>
      </c>
      <c r="K814" s="84" t="e">
        <f>VLOOKUP(Table13[[#This Row],[kbli5]],kata_kunci!$B:$H,7,FALSE)</f>
        <v>#N/A</v>
      </c>
    </row>
    <row r="815" spans="1:11" ht="30.75" thickBot="1" x14ac:dyDescent="0.3">
      <c r="A815" s="53" t="s">
        <v>996</v>
      </c>
      <c r="B815" s="40">
        <v>46794</v>
      </c>
      <c r="C815" s="41" t="s">
        <v>1082</v>
      </c>
      <c r="D815" s="30" t="e">
        <f>VLOOKUP(Table13[[#This Row],[kbli5]],Table1[[#All],[kbli5]:[digital_hijau]],3,)</f>
        <v>#N/A</v>
      </c>
      <c r="E815" s="53" t="e">
        <f>VLOOKUP(Table13[[#This Row],[kbli5]],kata_kunci!$B:$H,4,FALSE)</f>
        <v>#N/A</v>
      </c>
      <c r="F815" s="53" t="e">
        <f>VLOOKUP(Table13[[#This Row],[kbli5]],Table1[[#All],[kbli5]:[digital_hijau]],5,)</f>
        <v>#N/A</v>
      </c>
      <c r="G815" s="53" t="e">
        <f>VLOOKUP(Table13[[#This Row],[kbli5]],Table1[[#All],[kbli5]:[digital_hijau]],6,)</f>
        <v>#N/A</v>
      </c>
      <c r="H815" s="54" t="e">
        <f>VLOOKUP(Table13[[#This Row],[kbli5]],kata_kunci!$B:$H,3,FALSE)</f>
        <v>#N/A</v>
      </c>
      <c r="I815" s="84" t="e">
        <f>VLOOKUP(Table13[[#This Row],[kbli5]],kata_kunci!$B:$H,5,FALSE)</f>
        <v>#N/A</v>
      </c>
      <c r="J815" s="84" t="e">
        <f>VLOOKUP(Table13[[#This Row],[kbli5]],kata_kunci!$B:$H,6,FALSE)</f>
        <v>#N/A</v>
      </c>
      <c r="K815" s="84" t="e">
        <f>VLOOKUP(Table13[[#This Row],[kbli5]],kata_kunci!$B:$H,7,FALSE)</f>
        <v>#N/A</v>
      </c>
    </row>
    <row r="816" spans="1:11" ht="45.75" thickBot="1" x14ac:dyDescent="0.3">
      <c r="A816" s="53" t="s">
        <v>996</v>
      </c>
      <c r="B816" s="40">
        <v>46795</v>
      </c>
      <c r="C816" s="41" t="s">
        <v>1083</v>
      </c>
      <c r="D816" s="30" t="e">
        <f>VLOOKUP(Table13[[#This Row],[kbli5]],Table1[[#All],[kbli5]:[digital_hijau]],3,)</f>
        <v>#N/A</v>
      </c>
      <c r="E816" s="53" t="e">
        <f>VLOOKUP(Table13[[#This Row],[kbli5]],kata_kunci!$B:$H,4,FALSE)</f>
        <v>#N/A</v>
      </c>
      <c r="F816" s="53" t="e">
        <f>VLOOKUP(Table13[[#This Row],[kbli5]],Table1[[#All],[kbli5]:[digital_hijau]],5,)</f>
        <v>#N/A</v>
      </c>
      <c r="G816" s="53" t="e">
        <f>VLOOKUP(Table13[[#This Row],[kbli5]],Table1[[#All],[kbli5]:[digital_hijau]],6,)</f>
        <v>#N/A</v>
      </c>
      <c r="H816" s="54" t="e">
        <f>VLOOKUP(Table13[[#This Row],[kbli5]],kata_kunci!$B:$H,3,FALSE)</f>
        <v>#N/A</v>
      </c>
      <c r="I816" s="84" t="e">
        <f>VLOOKUP(Table13[[#This Row],[kbli5]],kata_kunci!$B:$H,5,FALSE)</f>
        <v>#N/A</v>
      </c>
      <c r="J816" s="84" t="e">
        <f>VLOOKUP(Table13[[#This Row],[kbli5]],kata_kunci!$B:$H,6,FALSE)</f>
        <v>#N/A</v>
      </c>
      <c r="K816" s="84" t="e">
        <f>VLOOKUP(Table13[[#This Row],[kbli5]],kata_kunci!$B:$H,7,FALSE)</f>
        <v>#N/A</v>
      </c>
    </row>
    <row r="817" spans="1:11" ht="30.75" thickBot="1" x14ac:dyDescent="0.3">
      <c r="A817" s="53" t="s">
        <v>996</v>
      </c>
      <c r="B817" s="40">
        <v>46796</v>
      </c>
      <c r="C817" s="41" t="s">
        <v>1084</v>
      </c>
      <c r="D817" s="30" t="e">
        <f>VLOOKUP(Table13[[#This Row],[kbli5]],Table1[[#All],[kbli5]:[digital_hijau]],3,)</f>
        <v>#N/A</v>
      </c>
      <c r="E817" s="53" t="e">
        <f>VLOOKUP(Table13[[#This Row],[kbli5]],kata_kunci!$B:$H,4,FALSE)</f>
        <v>#N/A</v>
      </c>
      <c r="F817" s="53" t="e">
        <f>VLOOKUP(Table13[[#This Row],[kbli5]],Table1[[#All],[kbli5]:[digital_hijau]],5,)</f>
        <v>#N/A</v>
      </c>
      <c r="G817" s="53" t="e">
        <f>VLOOKUP(Table13[[#This Row],[kbli5]],Table1[[#All],[kbli5]:[digital_hijau]],6,)</f>
        <v>#N/A</v>
      </c>
      <c r="H817" s="54" t="e">
        <f>VLOOKUP(Table13[[#This Row],[kbli5]],kata_kunci!$B:$H,3,FALSE)</f>
        <v>#N/A</v>
      </c>
      <c r="I817" s="84" t="e">
        <f>VLOOKUP(Table13[[#This Row],[kbli5]],kata_kunci!$B:$H,5,FALSE)</f>
        <v>#N/A</v>
      </c>
      <c r="J817" s="84" t="e">
        <f>VLOOKUP(Table13[[#This Row],[kbli5]],kata_kunci!$B:$H,6,FALSE)</f>
        <v>#N/A</v>
      </c>
      <c r="K817" s="84" t="e">
        <f>VLOOKUP(Table13[[#This Row],[kbli5]],kata_kunci!$B:$H,7,FALSE)</f>
        <v>#N/A</v>
      </c>
    </row>
    <row r="818" spans="1:11" ht="30.75" thickBot="1" x14ac:dyDescent="0.3">
      <c r="A818" s="53" t="s">
        <v>996</v>
      </c>
      <c r="B818" s="40">
        <v>46799</v>
      </c>
      <c r="C818" s="41" t="s">
        <v>1085</v>
      </c>
      <c r="D818" s="30" t="e">
        <f>VLOOKUP(Table13[[#This Row],[kbli5]],Table1[[#All],[kbli5]:[digital_hijau]],3,)</f>
        <v>#N/A</v>
      </c>
      <c r="E818" s="53" t="e">
        <f>VLOOKUP(Table13[[#This Row],[kbli5]],kata_kunci!$B:$H,4,FALSE)</f>
        <v>#N/A</v>
      </c>
      <c r="F818" s="53" t="e">
        <f>VLOOKUP(Table13[[#This Row],[kbli5]],Table1[[#All],[kbli5]:[digital_hijau]],5,)</f>
        <v>#N/A</v>
      </c>
      <c r="G818" s="53" t="e">
        <f>VLOOKUP(Table13[[#This Row],[kbli5]],Table1[[#All],[kbli5]:[digital_hijau]],6,)</f>
        <v>#N/A</v>
      </c>
      <c r="H818" s="54" t="e">
        <f>VLOOKUP(Table13[[#This Row],[kbli5]],kata_kunci!$B:$H,3,FALSE)</f>
        <v>#N/A</v>
      </c>
      <c r="I818" s="84" t="e">
        <f>VLOOKUP(Table13[[#This Row],[kbli5]],kata_kunci!$B:$H,5,FALSE)</f>
        <v>#N/A</v>
      </c>
      <c r="J818" s="84" t="e">
        <f>VLOOKUP(Table13[[#This Row],[kbli5]],kata_kunci!$B:$H,6,FALSE)</f>
        <v>#N/A</v>
      </c>
      <c r="K818" s="84" t="e">
        <f>VLOOKUP(Table13[[#This Row],[kbli5]],kata_kunci!$B:$H,7,FALSE)</f>
        <v>#N/A</v>
      </c>
    </row>
    <row r="819" spans="1:11" ht="45.75" thickBot="1" x14ac:dyDescent="0.3">
      <c r="A819" s="53" t="s">
        <v>996</v>
      </c>
      <c r="B819" s="40">
        <v>46901</v>
      </c>
      <c r="C819" s="41" t="s">
        <v>1086</v>
      </c>
      <c r="D819" s="30" t="e">
        <f>VLOOKUP(Table13[[#This Row],[kbli5]],Table1[[#All],[kbli5]:[digital_hijau]],3,)</f>
        <v>#N/A</v>
      </c>
      <c r="E819" s="53" t="e">
        <f>VLOOKUP(Table13[[#This Row],[kbli5]],kata_kunci!$B:$H,4,FALSE)</f>
        <v>#N/A</v>
      </c>
      <c r="F819" s="53" t="e">
        <f>VLOOKUP(Table13[[#This Row],[kbli5]],Table1[[#All],[kbli5]:[digital_hijau]],5,)</f>
        <v>#N/A</v>
      </c>
      <c r="G819" s="53" t="e">
        <f>VLOOKUP(Table13[[#This Row],[kbli5]],Table1[[#All],[kbli5]:[digital_hijau]],6,)</f>
        <v>#N/A</v>
      </c>
      <c r="H819" s="54" t="e">
        <f>VLOOKUP(Table13[[#This Row],[kbli5]],kata_kunci!$B:$H,3,FALSE)</f>
        <v>#N/A</v>
      </c>
      <c r="I819" s="84" t="e">
        <f>VLOOKUP(Table13[[#This Row],[kbli5]],kata_kunci!$B:$H,5,FALSE)</f>
        <v>#N/A</v>
      </c>
      <c r="J819" s="84" t="e">
        <f>VLOOKUP(Table13[[#This Row],[kbli5]],kata_kunci!$B:$H,6,FALSE)</f>
        <v>#N/A</v>
      </c>
      <c r="K819" s="84" t="e">
        <f>VLOOKUP(Table13[[#This Row],[kbli5]],kata_kunci!$B:$H,7,FALSE)</f>
        <v>#N/A</v>
      </c>
    </row>
    <row r="820" spans="1:11" ht="45.75" thickBot="1" x14ac:dyDescent="0.3">
      <c r="A820" s="53" t="s">
        <v>996</v>
      </c>
      <c r="B820" s="40">
        <v>46902</v>
      </c>
      <c r="C820" s="41" t="s">
        <v>1087</v>
      </c>
      <c r="D820" s="30" t="e">
        <f>VLOOKUP(Table13[[#This Row],[kbli5]],Table1[[#All],[kbli5]:[digital_hijau]],3,)</f>
        <v>#N/A</v>
      </c>
      <c r="E820" s="53" t="e">
        <f>VLOOKUP(Table13[[#This Row],[kbli5]],kata_kunci!$B:$H,4,FALSE)</f>
        <v>#N/A</v>
      </c>
      <c r="F820" s="53" t="e">
        <f>VLOOKUP(Table13[[#This Row],[kbli5]],Table1[[#All],[kbli5]:[digital_hijau]],5,)</f>
        <v>#N/A</v>
      </c>
      <c r="G820" s="53" t="e">
        <f>VLOOKUP(Table13[[#This Row],[kbli5]],Table1[[#All],[kbli5]:[digital_hijau]],6,)</f>
        <v>#N/A</v>
      </c>
      <c r="H820" s="54" t="e">
        <f>VLOOKUP(Table13[[#This Row],[kbli5]],kata_kunci!$B:$H,3,FALSE)</f>
        <v>#N/A</v>
      </c>
      <c r="I820" s="84" t="e">
        <f>VLOOKUP(Table13[[#This Row],[kbli5]],kata_kunci!$B:$H,5,FALSE)</f>
        <v>#N/A</v>
      </c>
      <c r="J820" s="84" t="e">
        <f>VLOOKUP(Table13[[#This Row],[kbli5]],kata_kunci!$B:$H,6,FALSE)</f>
        <v>#N/A</v>
      </c>
      <c r="K820" s="84" t="e">
        <f>VLOOKUP(Table13[[#This Row],[kbli5]],kata_kunci!$B:$H,7,FALSE)</f>
        <v>#N/A</v>
      </c>
    </row>
    <row r="821" spans="1:11" ht="45.75" thickBot="1" x14ac:dyDescent="0.3">
      <c r="A821" s="53" t="s">
        <v>996</v>
      </c>
      <c r="B821" s="40">
        <v>47111</v>
      </c>
      <c r="C821" s="41" t="s">
        <v>1088</v>
      </c>
      <c r="D821" s="30" t="e">
        <f>VLOOKUP(Table13[[#This Row],[kbli5]],Table1[[#All],[kbli5]:[digital_hijau]],3,)</f>
        <v>#N/A</v>
      </c>
      <c r="E821" s="53" t="e">
        <f>VLOOKUP(Table13[[#This Row],[kbli5]],kata_kunci!$B:$H,4,FALSE)</f>
        <v>#N/A</v>
      </c>
      <c r="F821" s="53" t="e">
        <f>VLOOKUP(Table13[[#This Row],[kbli5]],Table1[[#All],[kbli5]:[digital_hijau]],5,)</f>
        <v>#N/A</v>
      </c>
      <c r="G821" s="53" t="e">
        <f>VLOOKUP(Table13[[#This Row],[kbli5]],Table1[[#All],[kbli5]:[digital_hijau]],6,)</f>
        <v>#N/A</v>
      </c>
      <c r="H821" s="54" t="e">
        <f>VLOOKUP(Table13[[#This Row],[kbli5]],kata_kunci!$B:$H,3,FALSE)</f>
        <v>#N/A</v>
      </c>
      <c r="I821" s="84" t="e">
        <f>VLOOKUP(Table13[[#This Row],[kbli5]],kata_kunci!$B:$H,5,FALSE)</f>
        <v>#N/A</v>
      </c>
      <c r="J821" s="84" t="e">
        <f>VLOOKUP(Table13[[#This Row],[kbli5]],kata_kunci!$B:$H,6,FALSE)</f>
        <v>#N/A</v>
      </c>
      <c r="K821" s="84" t="e">
        <f>VLOOKUP(Table13[[#This Row],[kbli5]],kata_kunci!$B:$H,7,FALSE)</f>
        <v>#N/A</v>
      </c>
    </row>
    <row r="822" spans="1:11" ht="45.75" thickBot="1" x14ac:dyDescent="0.3">
      <c r="A822" s="53" t="s">
        <v>996</v>
      </c>
      <c r="B822" s="40">
        <v>47112</v>
      </c>
      <c r="C822" s="41" t="s">
        <v>1088</v>
      </c>
      <c r="D822" s="30" t="e">
        <f>VLOOKUP(Table13[[#This Row],[kbli5]],Table1[[#All],[kbli5]:[digital_hijau]],3,)</f>
        <v>#N/A</v>
      </c>
      <c r="E822" s="53" t="e">
        <f>VLOOKUP(Table13[[#This Row],[kbli5]],kata_kunci!$B:$H,4,FALSE)</f>
        <v>#N/A</v>
      </c>
      <c r="F822" s="53" t="e">
        <f>VLOOKUP(Table13[[#This Row],[kbli5]],Table1[[#All],[kbli5]:[digital_hijau]],5,)</f>
        <v>#N/A</v>
      </c>
      <c r="G822" s="53" t="e">
        <f>VLOOKUP(Table13[[#This Row],[kbli5]],Table1[[#All],[kbli5]:[digital_hijau]],6,)</f>
        <v>#N/A</v>
      </c>
      <c r="H822" s="54" t="e">
        <f>VLOOKUP(Table13[[#This Row],[kbli5]],kata_kunci!$B:$H,3,FALSE)</f>
        <v>#N/A</v>
      </c>
      <c r="I822" s="84" t="e">
        <f>VLOOKUP(Table13[[#This Row],[kbli5]],kata_kunci!$B:$H,5,FALSE)</f>
        <v>#N/A</v>
      </c>
      <c r="J822" s="84" t="e">
        <f>VLOOKUP(Table13[[#This Row],[kbli5]],kata_kunci!$B:$H,6,FALSE)</f>
        <v>#N/A</v>
      </c>
      <c r="K822" s="84" t="e">
        <f>VLOOKUP(Table13[[#This Row],[kbli5]],kata_kunci!$B:$H,7,FALSE)</f>
        <v>#N/A</v>
      </c>
    </row>
    <row r="823" spans="1:11" ht="45.75" thickBot="1" x14ac:dyDescent="0.3">
      <c r="A823" s="53" t="s">
        <v>996</v>
      </c>
      <c r="B823" s="40">
        <v>47191</v>
      </c>
      <c r="C823" s="41" t="s">
        <v>1088</v>
      </c>
      <c r="D823" s="30" t="e">
        <f>VLOOKUP(Table13[[#This Row],[kbli5]],Table1[[#All],[kbli5]:[digital_hijau]],3,)</f>
        <v>#N/A</v>
      </c>
      <c r="E823" s="53" t="e">
        <f>VLOOKUP(Table13[[#This Row],[kbli5]],kata_kunci!$B:$H,4,FALSE)</f>
        <v>#N/A</v>
      </c>
      <c r="F823" s="53" t="e">
        <f>VLOOKUP(Table13[[#This Row],[kbli5]],Table1[[#All],[kbli5]:[digital_hijau]],5,)</f>
        <v>#N/A</v>
      </c>
      <c r="G823" s="53" t="e">
        <f>VLOOKUP(Table13[[#This Row],[kbli5]],Table1[[#All],[kbli5]:[digital_hijau]],6,)</f>
        <v>#N/A</v>
      </c>
      <c r="H823" s="54" t="e">
        <f>VLOOKUP(Table13[[#This Row],[kbli5]],kata_kunci!$B:$H,3,FALSE)</f>
        <v>#N/A</v>
      </c>
      <c r="I823" s="84" t="e">
        <f>VLOOKUP(Table13[[#This Row],[kbli5]],kata_kunci!$B:$H,5,FALSE)</f>
        <v>#N/A</v>
      </c>
      <c r="J823" s="84" t="e">
        <f>VLOOKUP(Table13[[#This Row],[kbli5]],kata_kunci!$B:$H,6,FALSE)</f>
        <v>#N/A</v>
      </c>
      <c r="K823" s="84" t="e">
        <f>VLOOKUP(Table13[[#This Row],[kbli5]],kata_kunci!$B:$H,7,FALSE)</f>
        <v>#N/A</v>
      </c>
    </row>
    <row r="824" spans="1:11" ht="45.75" thickBot="1" x14ac:dyDescent="0.3">
      <c r="A824" s="53" t="s">
        <v>996</v>
      </c>
      <c r="B824" s="40">
        <v>47192</v>
      </c>
      <c r="C824" s="41" t="s">
        <v>1088</v>
      </c>
      <c r="D824" s="30" t="e">
        <f>VLOOKUP(Table13[[#This Row],[kbli5]],Table1[[#All],[kbli5]:[digital_hijau]],3,)</f>
        <v>#N/A</v>
      </c>
      <c r="E824" s="53" t="e">
        <f>VLOOKUP(Table13[[#This Row],[kbli5]],kata_kunci!$B:$H,4,FALSE)</f>
        <v>#N/A</v>
      </c>
      <c r="F824" s="53" t="e">
        <f>VLOOKUP(Table13[[#This Row],[kbli5]],Table1[[#All],[kbli5]:[digital_hijau]],5,)</f>
        <v>#N/A</v>
      </c>
      <c r="G824" s="53" t="e">
        <f>VLOOKUP(Table13[[#This Row],[kbli5]],Table1[[#All],[kbli5]:[digital_hijau]],6,)</f>
        <v>#N/A</v>
      </c>
      <c r="H824" s="54" t="e">
        <f>VLOOKUP(Table13[[#This Row],[kbli5]],kata_kunci!$B:$H,3,FALSE)</f>
        <v>#N/A</v>
      </c>
      <c r="I824" s="84" t="e">
        <f>VLOOKUP(Table13[[#This Row],[kbli5]],kata_kunci!$B:$H,5,FALSE)</f>
        <v>#N/A</v>
      </c>
      <c r="J824" s="84" t="e">
        <f>VLOOKUP(Table13[[#This Row],[kbli5]],kata_kunci!$B:$H,6,FALSE)</f>
        <v>#N/A</v>
      </c>
      <c r="K824" s="84" t="e">
        <f>VLOOKUP(Table13[[#This Row],[kbli5]],kata_kunci!$B:$H,7,FALSE)</f>
        <v>#N/A</v>
      </c>
    </row>
    <row r="825" spans="1:11" ht="30.75" thickBot="1" x14ac:dyDescent="0.3">
      <c r="A825" s="53" t="s">
        <v>996</v>
      </c>
      <c r="B825" s="40">
        <v>47211</v>
      </c>
      <c r="C825" s="41" t="s">
        <v>1089</v>
      </c>
      <c r="D825" s="30" t="e">
        <f>VLOOKUP(Table13[[#This Row],[kbli5]],Table1[[#All],[kbli5]:[digital_hijau]],3,)</f>
        <v>#N/A</v>
      </c>
      <c r="E825" s="53" t="e">
        <f>VLOOKUP(Table13[[#This Row],[kbli5]],kata_kunci!$B:$H,4,FALSE)</f>
        <v>#N/A</v>
      </c>
      <c r="F825" s="53" t="e">
        <f>VLOOKUP(Table13[[#This Row],[kbli5]],Table1[[#All],[kbli5]:[digital_hijau]],5,)</f>
        <v>#N/A</v>
      </c>
      <c r="G825" s="53" t="e">
        <f>VLOOKUP(Table13[[#This Row],[kbli5]],Table1[[#All],[kbli5]:[digital_hijau]],6,)</f>
        <v>#N/A</v>
      </c>
      <c r="H825" s="54" t="e">
        <f>VLOOKUP(Table13[[#This Row],[kbli5]],kata_kunci!$B:$H,3,FALSE)</f>
        <v>#N/A</v>
      </c>
      <c r="I825" s="84" t="e">
        <f>VLOOKUP(Table13[[#This Row],[kbli5]],kata_kunci!$B:$H,5,FALSE)</f>
        <v>#N/A</v>
      </c>
      <c r="J825" s="84" t="e">
        <f>VLOOKUP(Table13[[#This Row],[kbli5]],kata_kunci!$B:$H,6,FALSE)</f>
        <v>#N/A</v>
      </c>
      <c r="K825" s="84" t="e">
        <f>VLOOKUP(Table13[[#This Row],[kbli5]],kata_kunci!$B:$H,7,FALSE)</f>
        <v>#N/A</v>
      </c>
    </row>
    <row r="826" spans="1:11" ht="30.75" thickBot="1" x14ac:dyDescent="0.3">
      <c r="A826" s="53" t="s">
        <v>996</v>
      </c>
      <c r="B826" s="40">
        <v>47212</v>
      </c>
      <c r="C826" s="41" t="s">
        <v>1090</v>
      </c>
      <c r="D826" s="30" t="e">
        <f>VLOOKUP(Table13[[#This Row],[kbli5]],Table1[[#All],[kbli5]:[digital_hijau]],3,)</f>
        <v>#N/A</v>
      </c>
      <c r="E826" s="53" t="e">
        <f>VLOOKUP(Table13[[#This Row],[kbli5]],kata_kunci!$B:$H,4,FALSE)</f>
        <v>#N/A</v>
      </c>
      <c r="F826" s="53" t="e">
        <f>VLOOKUP(Table13[[#This Row],[kbli5]],Table1[[#All],[kbli5]:[digital_hijau]],5,)</f>
        <v>#N/A</v>
      </c>
      <c r="G826" s="53" t="e">
        <f>VLOOKUP(Table13[[#This Row],[kbli5]],Table1[[#All],[kbli5]:[digital_hijau]],6,)</f>
        <v>#N/A</v>
      </c>
      <c r="H826" s="54" t="e">
        <f>VLOOKUP(Table13[[#This Row],[kbli5]],kata_kunci!$B:$H,3,FALSE)</f>
        <v>#N/A</v>
      </c>
      <c r="I826" s="84" t="e">
        <f>VLOOKUP(Table13[[#This Row],[kbli5]],kata_kunci!$B:$H,5,FALSE)</f>
        <v>#N/A</v>
      </c>
      <c r="J826" s="84" t="e">
        <f>VLOOKUP(Table13[[#This Row],[kbli5]],kata_kunci!$B:$H,6,FALSE)</f>
        <v>#N/A</v>
      </c>
      <c r="K826" s="84" t="e">
        <f>VLOOKUP(Table13[[#This Row],[kbli5]],kata_kunci!$B:$H,7,FALSE)</f>
        <v>#N/A</v>
      </c>
    </row>
    <row r="827" spans="1:11" ht="30.75" thickBot="1" x14ac:dyDescent="0.3">
      <c r="A827" s="53" t="s">
        <v>996</v>
      </c>
      <c r="B827" s="40">
        <v>47213</v>
      </c>
      <c r="C827" s="41" t="s">
        <v>1091</v>
      </c>
      <c r="D827" s="30" t="e">
        <f>VLOOKUP(Table13[[#This Row],[kbli5]],Table1[[#All],[kbli5]:[digital_hijau]],3,)</f>
        <v>#N/A</v>
      </c>
      <c r="E827" s="53" t="e">
        <f>VLOOKUP(Table13[[#This Row],[kbli5]],kata_kunci!$B:$H,4,FALSE)</f>
        <v>#N/A</v>
      </c>
      <c r="F827" s="53" t="e">
        <f>VLOOKUP(Table13[[#This Row],[kbli5]],Table1[[#All],[kbli5]:[digital_hijau]],5,)</f>
        <v>#N/A</v>
      </c>
      <c r="G827" s="53" t="e">
        <f>VLOOKUP(Table13[[#This Row],[kbli5]],Table1[[#All],[kbli5]:[digital_hijau]],6,)</f>
        <v>#N/A</v>
      </c>
      <c r="H827" s="54" t="e">
        <f>VLOOKUP(Table13[[#This Row],[kbli5]],kata_kunci!$B:$H,3,FALSE)</f>
        <v>#N/A</v>
      </c>
      <c r="I827" s="84" t="e">
        <f>VLOOKUP(Table13[[#This Row],[kbli5]],kata_kunci!$B:$H,5,FALSE)</f>
        <v>#N/A</v>
      </c>
      <c r="J827" s="84" t="e">
        <f>VLOOKUP(Table13[[#This Row],[kbli5]],kata_kunci!$B:$H,6,FALSE)</f>
        <v>#N/A</v>
      </c>
      <c r="K827" s="84" t="e">
        <f>VLOOKUP(Table13[[#This Row],[kbli5]],kata_kunci!$B:$H,7,FALSE)</f>
        <v>#N/A</v>
      </c>
    </row>
    <row r="828" spans="1:11" ht="30.75" thickBot="1" x14ac:dyDescent="0.3">
      <c r="A828" s="53" t="s">
        <v>996</v>
      </c>
      <c r="B828" s="40">
        <v>47214</v>
      </c>
      <c r="C828" s="41" t="s">
        <v>1092</v>
      </c>
      <c r="D828" s="30" t="e">
        <f>VLOOKUP(Table13[[#This Row],[kbli5]],Table1[[#All],[kbli5]:[digital_hijau]],3,)</f>
        <v>#N/A</v>
      </c>
      <c r="E828" s="53" t="e">
        <f>VLOOKUP(Table13[[#This Row],[kbli5]],kata_kunci!$B:$H,4,FALSE)</f>
        <v>#N/A</v>
      </c>
      <c r="F828" s="53" t="e">
        <f>VLOOKUP(Table13[[#This Row],[kbli5]],Table1[[#All],[kbli5]:[digital_hijau]],5,)</f>
        <v>#N/A</v>
      </c>
      <c r="G828" s="53" t="e">
        <f>VLOOKUP(Table13[[#This Row],[kbli5]],Table1[[#All],[kbli5]:[digital_hijau]],6,)</f>
        <v>#N/A</v>
      </c>
      <c r="H828" s="54" t="e">
        <f>VLOOKUP(Table13[[#This Row],[kbli5]],kata_kunci!$B:$H,3,FALSE)</f>
        <v>#N/A</v>
      </c>
      <c r="I828" s="84" t="e">
        <f>VLOOKUP(Table13[[#This Row],[kbli5]],kata_kunci!$B:$H,5,FALSE)</f>
        <v>#N/A</v>
      </c>
      <c r="J828" s="84" t="e">
        <f>VLOOKUP(Table13[[#This Row],[kbli5]],kata_kunci!$B:$H,6,FALSE)</f>
        <v>#N/A</v>
      </c>
      <c r="K828" s="84" t="e">
        <f>VLOOKUP(Table13[[#This Row],[kbli5]],kata_kunci!$B:$H,7,FALSE)</f>
        <v>#N/A</v>
      </c>
    </row>
    <row r="829" spans="1:11" ht="30.75" thickBot="1" x14ac:dyDescent="0.3">
      <c r="A829" s="53" t="s">
        <v>996</v>
      </c>
      <c r="B829" s="40">
        <v>47215</v>
      </c>
      <c r="C829" s="41" t="s">
        <v>1093</v>
      </c>
      <c r="D829" s="30" t="e">
        <f>VLOOKUP(Table13[[#This Row],[kbli5]],Table1[[#All],[kbli5]:[digital_hijau]],3,)</f>
        <v>#N/A</v>
      </c>
      <c r="E829" s="53" t="e">
        <f>VLOOKUP(Table13[[#This Row],[kbli5]],kata_kunci!$B:$H,4,FALSE)</f>
        <v>#N/A</v>
      </c>
      <c r="F829" s="53" t="e">
        <f>VLOOKUP(Table13[[#This Row],[kbli5]],Table1[[#All],[kbli5]:[digital_hijau]],5,)</f>
        <v>#N/A</v>
      </c>
      <c r="G829" s="53" t="e">
        <f>VLOOKUP(Table13[[#This Row],[kbli5]],Table1[[#All],[kbli5]:[digital_hijau]],6,)</f>
        <v>#N/A</v>
      </c>
      <c r="H829" s="54" t="e">
        <f>VLOOKUP(Table13[[#This Row],[kbli5]],kata_kunci!$B:$H,3,FALSE)</f>
        <v>#N/A</v>
      </c>
      <c r="I829" s="84" t="e">
        <f>VLOOKUP(Table13[[#This Row],[kbli5]],kata_kunci!$B:$H,5,FALSE)</f>
        <v>#N/A</v>
      </c>
      <c r="J829" s="84" t="e">
        <f>VLOOKUP(Table13[[#This Row],[kbli5]],kata_kunci!$B:$H,6,FALSE)</f>
        <v>#N/A</v>
      </c>
      <c r="K829" s="84" t="e">
        <f>VLOOKUP(Table13[[#This Row],[kbli5]],kata_kunci!$B:$H,7,FALSE)</f>
        <v>#N/A</v>
      </c>
    </row>
    <row r="830" spans="1:11" ht="45.75" thickBot="1" x14ac:dyDescent="0.3">
      <c r="A830" s="53" t="s">
        <v>996</v>
      </c>
      <c r="B830" s="40">
        <v>47216</v>
      </c>
      <c r="C830" s="41" t="s">
        <v>1094</v>
      </c>
      <c r="D830" s="30" t="e">
        <f>VLOOKUP(Table13[[#This Row],[kbli5]],Table1[[#All],[kbli5]:[digital_hijau]],3,)</f>
        <v>#N/A</v>
      </c>
      <c r="E830" s="53" t="e">
        <f>VLOOKUP(Table13[[#This Row],[kbli5]],kata_kunci!$B:$H,4,FALSE)</f>
        <v>#N/A</v>
      </c>
      <c r="F830" s="53" t="e">
        <f>VLOOKUP(Table13[[#This Row],[kbli5]],Table1[[#All],[kbli5]:[digital_hijau]],5,)</f>
        <v>#N/A</v>
      </c>
      <c r="G830" s="53" t="e">
        <f>VLOOKUP(Table13[[#This Row],[kbli5]],Table1[[#All],[kbli5]:[digital_hijau]],6,)</f>
        <v>#N/A</v>
      </c>
      <c r="H830" s="54" t="e">
        <f>VLOOKUP(Table13[[#This Row],[kbli5]],kata_kunci!$B:$H,3,FALSE)</f>
        <v>#N/A</v>
      </c>
      <c r="I830" s="84" t="e">
        <f>VLOOKUP(Table13[[#This Row],[kbli5]],kata_kunci!$B:$H,5,FALSE)</f>
        <v>#N/A</v>
      </c>
      <c r="J830" s="84" t="e">
        <f>VLOOKUP(Table13[[#This Row],[kbli5]],kata_kunci!$B:$H,6,FALSE)</f>
        <v>#N/A</v>
      </c>
      <c r="K830" s="84" t="e">
        <f>VLOOKUP(Table13[[#This Row],[kbli5]],kata_kunci!$B:$H,7,FALSE)</f>
        <v>#N/A</v>
      </c>
    </row>
    <row r="831" spans="1:11" ht="30.75" thickBot="1" x14ac:dyDescent="0.3">
      <c r="A831" s="53" t="s">
        <v>996</v>
      </c>
      <c r="B831" s="40">
        <v>47219</v>
      </c>
      <c r="C831" s="41" t="s">
        <v>1095</v>
      </c>
      <c r="D831" s="30" t="e">
        <f>VLOOKUP(Table13[[#This Row],[kbli5]],Table1[[#All],[kbli5]:[digital_hijau]],3,)</f>
        <v>#N/A</v>
      </c>
      <c r="E831" s="53" t="e">
        <f>VLOOKUP(Table13[[#This Row],[kbli5]],kata_kunci!$B:$H,4,FALSE)</f>
        <v>#N/A</v>
      </c>
      <c r="F831" s="53" t="e">
        <f>VLOOKUP(Table13[[#This Row],[kbli5]],Table1[[#All],[kbli5]:[digital_hijau]],5,)</f>
        <v>#N/A</v>
      </c>
      <c r="G831" s="53" t="e">
        <f>VLOOKUP(Table13[[#This Row],[kbli5]],Table1[[#All],[kbli5]:[digital_hijau]],6,)</f>
        <v>#N/A</v>
      </c>
      <c r="H831" s="54" t="e">
        <f>VLOOKUP(Table13[[#This Row],[kbli5]],kata_kunci!$B:$H,3,FALSE)</f>
        <v>#N/A</v>
      </c>
      <c r="I831" s="84" t="e">
        <f>VLOOKUP(Table13[[#This Row],[kbli5]],kata_kunci!$B:$H,5,FALSE)</f>
        <v>#N/A</v>
      </c>
      <c r="J831" s="84" t="e">
        <f>VLOOKUP(Table13[[#This Row],[kbli5]],kata_kunci!$B:$H,6,FALSE)</f>
        <v>#N/A</v>
      </c>
      <c r="K831" s="84" t="e">
        <f>VLOOKUP(Table13[[#This Row],[kbli5]],kata_kunci!$B:$H,7,FALSE)</f>
        <v>#N/A</v>
      </c>
    </row>
    <row r="832" spans="1:11" ht="30.75" thickBot="1" x14ac:dyDescent="0.3">
      <c r="A832" s="53" t="s">
        <v>996</v>
      </c>
      <c r="B832" s="40">
        <v>47221</v>
      </c>
      <c r="C832" s="41" t="s">
        <v>1096</v>
      </c>
      <c r="D832" s="30" t="e">
        <f>VLOOKUP(Table13[[#This Row],[kbli5]],Table1[[#All],[kbli5]:[digital_hijau]],3,)</f>
        <v>#N/A</v>
      </c>
      <c r="E832" s="53" t="e">
        <f>VLOOKUP(Table13[[#This Row],[kbli5]],kata_kunci!$B:$H,4,FALSE)</f>
        <v>#N/A</v>
      </c>
      <c r="F832" s="53" t="e">
        <f>VLOOKUP(Table13[[#This Row],[kbli5]],Table1[[#All],[kbli5]:[digital_hijau]],5,)</f>
        <v>#N/A</v>
      </c>
      <c r="G832" s="53" t="e">
        <f>VLOOKUP(Table13[[#This Row],[kbli5]],Table1[[#All],[kbli5]:[digital_hijau]],6,)</f>
        <v>#N/A</v>
      </c>
      <c r="H832" s="54" t="e">
        <f>VLOOKUP(Table13[[#This Row],[kbli5]],kata_kunci!$B:$H,3,FALSE)</f>
        <v>#N/A</v>
      </c>
      <c r="I832" s="84" t="e">
        <f>VLOOKUP(Table13[[#This Row],[kbli5]],kata_kunci!$B:$H,5,FALSE)</f>
        <v>#N/A</v>
      </c>
      <c r="J832" s="84" t="e">
        <f>VLOOKUP(Table13[[#This Row],[kbli5]],kata_kunci!$B:$H,6,FALSE)</f>
        <v>#N/A</v>
      </c>
      <c r="K832" s="84" t="e">
        <f>VLOOKUP(Table13[[#This Row],[kbli5]],kata_kunci!$B:$H,7,FALSE)</f>
        <v>#N/A</v>
      </c>
    </row>
    <row r="833" spans="1:11" ht="45.75" thickBot="1" x14ac:dyDescent="0.3">
      <c r="A833" s="53" t="s">
        <v>996</v>
      </c>
      <c r="B833" s="40">
        <v>47222</v>
      </c>
      <c r="C833" s="41" t="s">
        <v>1097</v>
      </c>
      <c r="D833" s="30" t="e">
        <f>VLOOKUP(Table13[[#This Row],[kbli5]],Table1[[#All],[kbli5]:[digital_hijau]],3,)</f>
        <v>#N/A</v>
      </c>
      <c r="E833" s="53" t="e">
        <f>VLOOKUP(Table13[[#This Row],[kbli5]],kata_kunci!$B:$H,4,FALSE)</f>
        <v>#N/A</v>
      </c>
      <c r="F833" s="53" t="e">
        <f>VLOOKUP(Table13[[#This Row],[kbli5]],Table1[[#All],[kbli5]:[digital_hijau]],5,)</f>
        <v>#N/A</v>
      </c>
      <c r="G833" s="53" t="e">
        <f>VLOOKUP(Table13[[#This Row],[kbli5]],Table1[[#All],[kbli5]:[digital_hijau]],6,)</f>
        <v>#N/A</v>
      </c>
      <c r="H833" s="54" t="e">
        <f>VLOOKUP(Table13[[#This Row],[kbli5]],kata_kunci!$B:$H,3,FALSE)</f>
        <v>#N/A</v>
      </c>
      <c r="I833" s="84" t="e">
        <f>VLOOKUP(Table13[[#This Row],[kbli5]],kata_kunci!$B:$H,5,FALSE)</f>
        <v>#N/A</v>
      </c>
      <c r="J833" s="84" t="e">
        <f>VLOOKUP(Table13[[#This Row],[kbli5]],kata_kunci!$B:$H,6,FALSE)</f>
        <v>#N/A</v>
      </c>
      <c r="K833" s="84" t="e">
        <f>VLOOKUP(Table13[[#This Row],[kbli5]],kata_kunci!$B:$H,7,FALSE)</f>
        <v>#N/A</v>
      </c>
    </row>
    <row r="834" spans="1:11" ht="30.75" thickBot="1" x14ac:dyDescent="0.3">
      <c r="A834" s="53" t="s">
        <v>996</v>
      </c>
      <c r="B834" s="40">
        <v>47230</v>
      </c>
      <c r="C834" s="41" t="s">
        <v>1098</v>
      </c>
      <c r="D834" s="30" t="e">
        <f>VLOOKUP(Table13[[#This Row],[kbli5]],Table1[[#All],[kbli5]:[digital_hijau]],3,)</f>
        <v>#N/A</v>
      </c>
      <c r="E834" s="53" t="e">
        <f>VLOOKUP(Table13[[#This Row],[kbli5]],kata_kunci!$B:$H,4,FALSE)</f>
        <v>#N/A</v>
      </c>
      <c r="F834" s="53" t="e">
        <f>VLOOKUP(Table13[[#This Row],[kbli5]],Table1[[#All],[kbli5]:[digital_hijau]],5,)</f>
        <v>#N/A</v>
      </c>
      <c r="G834" s="53" t="e">
        <f>VLOOKUP(Table13[[#This Row],[kbli5]],Table1[[#All],[kbli5]:[digital_hijau]],6,)</f>
        <v>#N/A</v>
      </c>
      <c r="H834" s="54" t="e">
        <f>VLOOKUP(Table13[[#This Row],[kbli5]],kata_kunci!$B:$H,3,FALSE)</f>
        <v>#N/A</v>
      </c>
      <c r="I834" s="84" t="e">
        <f>VLOOKUP(Table13[[#This Row],[kbli5]],kata_kunci!$B:$H,5,FALSE)</f>
        <v>#N/A</v>
      </c>
      <c r="J834" s="84" t="e">
        <f>VLOOKUP(Table13[[#This Row],[kbli5]],kata_kunci!$B:$H,6,FALSE)</f>
        <v>#N/A</v>
      </c>
      <c r="K834" s="84" t="e">
        <f>VLOOKUP(Table13[[#This Row],[kbli5]],kata_kunci!$B:$H,7,FALSE)</f>
        <v>#N/A</v>
      </c>
    </row>
    <row r="835" spans="1:11" ht="30.75" thickBot="1" x14ac:dyDescent="0.3">
      <c r="A835" s="53" t="s">
        <v>996</v>
      </c>
      <c r="B835" s="40">
        <v>47241</v>
      </c>
      <c r="C835" s="41" t="s">
        <v>1099</v>
      </c>
      <c r="D835" s="30" t="e">
        <f>VLOOKUP(Table13[[#This Row],[kbli5]],Table1[[#All],[kbli5]:[digital_hijau]],3,)</f>
        <v>#N/A</v>
      </c>
      <c r="E835" s="53" t="e">
        <f>VLOOKUP(Table13[[#This Row],[kbli5]],kata_kunci!$B:$H,4,FALSE)</f>
        <v>#N/A</v>
      </c>
      <c r="F835" s="53" t="e">
        <f>VLOOKUP(Table13[[#This Row],[kbli5]],Table1[[#All],[kbli5]:[digital_hijau]],5,)</f>
        <v>#N/A</v>
      </c>
      <c r="G835" s="53" t="e">
        <f>VLOOKUP(Table13[[#This Row],[kbli5]],Table1[[#All],[kbli5]:[digital_hijau]],6,)</f>
        <v>#N/A</v>
      </c>
      <c r="H835" s="54" t="e">
        <f>VLOOKUP(Table13[[#This Row],[kbli5]],kata_kunci!$B:$H,3,FALSE)</f>
        <v>#N/A</v>
      </c>
      <c r="I835" s="84" t="e">
        <f>VLOOKUP(Table13[[#This Row],[kbli5]],kata_kunci!$B:$H,5,FALSE)</f>
        <v>#N/A</v>
      </c>
      <c r="J835" s="84" t="e">
        <f>VLOOKUP(Table13[[#This Row],[kbli5]],kata_kunci!$B:$H,6,FALSE)</f>
        <v>#N/A</v>
      </c>
      <c r="K835" s="84" t="e">
        <f>VLOOKUP(Table13[[#This Row],[kbli5]],kata_kunci!$B:$H,7,FALSE)</f>
        <v>#N/A</v>
      </c>
    </row>
    <row r="836" spans="1:11" ht="45.75" thickBot="1" x14ac:dyDescent="0.3">
      <c r="A836" s="53" t="s">
        <v>996</v>
      </c>
      <c r="B836" s="40">
        <v>47242</v>
      </c>
      <c r="C836" s="41" t="s">
        <v>1100</v>
      </c>
      <c r="D836" s="30" t="e">
        <f>VLOOKUP(Table13[[#This Row],[kbli5]],Table1[[#All],[kbli5]:[digital_hijau]],3,)</f>
        <v>#N/A</v>
      </c>
      <c r="E836" s="53" t="e">
        <f>VLOOKUP(Table13[[#This Row],[kbli5]],kata_kunci!$B:$H,4,FALSE)</f>
        <v>#N/A</v>
      </c>
      <c r="F836" s="53" t="e">
        <f>VLOOKUP(Table13[[#This Row],[kbli5]],Table1[[#All],[kbli5]:[digital_hijau]],5,)</f>
        <v>#N/A</v>
      </c>
      <c r="G836" s="53" t="e">
        <f>VLOOKUP(Table13[[#This Row],[kbli5]],Table1[[#All],[kbli5]:[digital_hijau]],6,)</f>
        <v>#N/A</v>
      </c>
      <c r="H836" s="54" t="e">
        <f>VLOOKUP(Table13[[#This Row],[kbli5]],kata_kunci!$B:$H,3,FALSE)</f>
        <v>#N/A</v>
      </c>
      <c r="I836" s="84" t="e">
        <f>VLOOKUP(Table13[[#This Row],[kbli5]],kata_kunci!$B:$H,5,FALSE)</f>
        <v>#N/A</v>
      </c>
      <c r="J836" s="84" t="e">
        <f>VLOOKUP(Table13[[#This Row],[kbli5]],kata_kunci!$B:$H,6,FALSE)</f>
        <v>#N/A</v>
      </c>
      <c r="K836" s="84" t="e">
        <f>VLOOKUP(Table13[[#This Row],[kbli5]],kata_kunci!$B:$H,7,FALSE)</f>
        <v>#N/A</v>
      </c>
    </row>
    <row r="837" spans="1:11" ht="45.75" thickBot="1" x14ac:dyDescent="0.3">
      <c r="A837" s="53" t="s">
        <v>996</v>
      </c>
      <c r="B837" s="40">
        <v>47243</v>
      </c>
      <c r="C837" s="41" t="s">
        <v>1101</v>
      </c>
      <c r="D837" s="30" t="e">
        <f>VLOOKUP(Table13[[#This Row],[kbli5]],Table1[[#All],[kbli5]:[digital_hijau]],3,)</f>
        <v>#N/A</v>
      </c>
      <c r="E837" s="53" t="e">
        <f>VLOOKUP(Table13[[#This Row],[kbli5]],kata_kunci!$B:$H,4,FALSE)</f>
        <v>#N/A</v>
      </c>
      <c r="F837" s="53" t="e">
        <f>VLOOKUP(Table13[[#This Row],[kbli5]],Table1[[#All],[kbli5]:[digital_hijau]],5,)</f>
        <v>#N/A</v>
      </c>
      <c r="G837" s="53" t="e">
        <f>VLOOKUP(Table13[[#This Row],[kbli5]],Table1[[#All],[kbli5]:[digital_hijau]],6,)</f>
        <v>#N/A</v>
      </c>
      <c r="H837" s="54" t="e">
        <f>VLOOKUP(Table13[[#This Row],[kbli5]],kata_kunci!$B:$H,3,FALSE)</f>
        <v>#N/A</v>
      </c>
      <c r="I837" s="84" t="e">
        <f>VLOOKUP(Table13[[#This Row],[kbli5]],kata_kunci!$B:$H,5,FALSE)</f>
        <v>#N/A</v>
      </c>
      <c r="J837" s="84" t="e">
        <f>VLOOKUP(Table13[[#This Row],[kbli5]],kata_kunci!$B:$H,6,FALSE)</f>
        <v>#N/A</v>
      </c>
      <c r="K837" s="84" t="e">
        <f>VLOOKUP(Table13[[#This Row],[kbli5]],kata_kunci!$B:$H,7,FALSE)</f>
        <v>#N/A</v>
      </c>
    </row>
    <row r="838" spans="1:11" ht="45.75" thickBot="1" x14ac:dyDescent="0.3">
      <c r="A838" s="53" t="s">
        <v>996</v>
      </c>
      <c r="B838" s="40">
        <v>47244</v>
      </c>
      <c r="C838" s="41" t="s">
        <v>1102</v>
      </c>
      <c r="D838" s="30" t="e">
        <f>VLOOKUP(Table13[[#This Row],[kbli5]],Table1[[#All],[kbli5]:[digital_hijau]],3,)</f>
        <v>#N/A</v>
      </c>
      <c r="E838" s="53" t="e">
        <f>VLOOKUP(Table13[[#This Row],[kbli5]],kata_kunci!$B:$H,4,FALSE)</f>
        <v>#N/A</v>
      </c>
      <c r="F838" s="53" t="e">
        <f>VLOOKUP(Table13[[#This Row],[kbli5]],Table1[[#All],[kbli5]:[digital_hijau]],5,)</f>
        <v>#N/A</v>
      </c>
      <c r="G838" s="53" t="e">
        <f>VLOOKUP(Table13[[#This Row],[kbli5]],Table1[[#All],[kbli5]:[digital_hijau]],6,)</f>
        <v>#N/A</v>
      </c>
      <c r="H838" s="54" t="e">
        <f>VLOOKUP(Table13[[#This Row],[kbli5]],kata_kunci!$B:$H,3,FALSE)</f>
        <v>#N/A</v>
      </c>
      <c r="I838" s="84" t="e">
        <f>VLOOKUP(Table13[[#This Row],[kbli5]],kata_kunci!$B:$H,5,FALSE)</f>
        <v>#N/A</v>
      </c>
      <c r="J838" s="84" t="e">
        <f>VLOOKUP(Table13[[#This Row],[kbli5]],kata_kunci!$B:$H,6,FALSE)</f>
        <v>#N/A</v>
      </c>
      <c r="K838" s="84" t="e">
        <f>VLOOKUP(Table13[[#This Row],[kbli5]],kata_kunci!$B:$H,7,FALSE)</f>
        <v>#N/A</v>
      </c>
    </row>
    <row r="839" spans="1:11" ht="30.75" thickBot="1" x14ac:dyDescent="0.3">
      <c r="A839" s="53" t="s">
        <v>996</v>
      </c>
      <c r="B839" s="40">
        <v>47245</v>
      </c>
      <c r="C839" s="41" t="s">
        <v>1103</v>
      </c>
      <c r="D839" s="30" t="e">
        <f>VLOOKUP(Table13[[#This Row],[kbli5]],Table1[[#All],[kbli5]:[digital_hijau]],3,)</f>
        <v>#N/A</v>
      </c>
      <c r="E839" s="53" t="e">
        <f>VLOOKUP(Table13[[#This Row],[kbli5]],kata_kunci!$B:$H,4,FALSE)</f>
        <v>#N/A</v>
      </c>
      <c r="F839" s="53" t="e">
        <f>VLOOKUP(Table13[[#This Row],[kbli5]],Table1[[#All],[kbli5]:[digital_hijau]],5,)</f>
        <v>#N/A</v>
      </c>
      <c r="G839" s="53" t="e">
        <f>VLOOKUP(Table13[[#This Row],[kbli5]],Table1[[#All],[kbli5]:[digital_hijau]],6,)</f>
        <v>#N/A</v>
      </c>
      <c r="H839" s="54" t="e">
        <f>VLOOKUP(Table13[[#This Row],[kbli5]],kata_kunci!$B:$H,3,FALSE)</f>
        <v>#N/A</v>
      </c>
      <c r="I839" s="84" t="e">
        <f>VLOOKUP(Table13[[#This Row],[kbli5]],kata_kunci!$B:$H,5,FALSE)</f>
        <v>#N/A</v>
      </c>
      <c r="J839" s="84" t="e">
        <f>VLOOKUP(Table13[[#This Row],[kbli5]],kata_kunci!$B:$H,6,FALSE)</f>
        <v>#N/A</v>
      </c>
      <c r="K839" s="84" t="e">
        <f>VLOOKUP(Table13[[#This Row],[kbli5]],kata_kunci!$B:$H,7,FALSE)</f>
        <v>#N/A</v>
      </c>
    </row>
    <row r="840" spans="1:11" ht="30.75" thickBot="1" x14ac:dyDescent="0.3">
      <c r="A840" s="53" t="s">
        <v>996</v>
      </c>
      <c r="B840" s="40">
        <v>47246</v>
      </c>
      <c r="C840" s="41" t="s">
        <v>1104</v>
      </c>
      <c r="D840" s="30" t="e">
        <f>VLOOKUP(Table13[[#This Row],[kbli5]],Table1[[#All],[kbli5]:[digital_hijau]],3,)</f>
        <v>#N/A</v>
      </c>
      <c r="E840" s="53" t="e">
        <f>VLOOKUP(Table13[[#This Row],[kbli5]],kata_kunci!$B:$H,4,FALSE)</f>
        <v>#N/A</v>
      </c>
      <c r="F840" s="53" t="e">
        <f>VLOOKUP(Table13[[#This Row],[kbli5]],Table1[[#All],[kbli5]:[digital_hijau]],5,)</f>
        <v>#N/A</v>
      </c>
      <c r="G840" s="53" t="e">
        <f>VLOOKUP(Table13[[#This Row],[kbli5]],Table1[[#All],[kbli5]:[digital_hijau]],6,)</f>
        <v>#N/A</v>
      </c>
      <c r="H840" s="54" t="e">
        <f>VLOOKUP(Table13[[#This Row],[kbli5]],kata_kunci!$B:$H,3,FALSE)</f>
        <v>#N/A</v>
      </c>
      <c r="I840" s="84" t="e">
        <f>VLOOKUP(Table13[[#This Row],[kbli5]],kata_kunci!$B:$H,5,FALSE)</f>
        <v>#N/A</v>
      </c>
      <c r="J840" s="84" t="e">
        <f>VLOOKUP(Table13[[#This Row],[kbli5]],kata_kunci!$B:$H,6,FALSE)</f>
        <v>#N/A</v>
      </c>
      <c r="K840" s="84" t="e">
        <f>VLOOKUP(Table13[[#This Row],[kbli5]],kata_kunci!$B:$H,7,FALSE)</f>
        <v>#N/A</v>
      </c>
    </row>
    <row r="841" spans="1:11" ht="30.75" thickBot="1" x14ac:dyDescent="0.3">
      <c r="A841" s="53" t="s">
        <v>996</v>
      </c>
      <c r="B841" s="40">
        <v>47249</v>
      </c>
      <c r="C841" s="41" t="s">
        <v>1105</v>
      </c>
      <c r="D841" s="30" t="e">
        <f>VLOOKUP(Table13[[#This Row],[kbli5]],Table1[[#All],[kbli5]:[digital_hijau]],3,)</f>
        <v>#N/A</v>
      </c>
      <c r="E841" s="53" t="e">
        <f>VLOOKUP(Table13[[#This Row],[kbli5]],kata_kunci!$B:$H,4,FALSE)</f>
        <v>#N/A</v>
      </c>
      <c r="F841" s="53" t="e">
        <f>VLOOKUP(Table13[[#This Row],[kbli5]],Table1[[#All],[kbli5]:[digital_hijau]],5,)</f>
        <v>#N/A</v>
      </c>
      <c r="G841" s="53" t="e">
        <f>VLOOKUP(Table13[[#This Row],[kbli5]],Table1[[#All],[kbli5]:[digital_hijau]],6,)</f>
        <v>#N/A</v>
      </c>
      <c r="H841" s="54" t="e">
        <f>VLOOKUP(Table13[[#This Row],[kbli5]],kata_kunci!$B:$H,3,FALSE)</f>
        <v>#N/A</v>
      </c>
      <c r="I841" s="84" t="e">
        <f>VLOOKUP(Table13[[#This Row],[kbli5]],kata_kunci!$B:$H,5,FALSE)</f>
        <v>#N/A</v>
      </c>
      <c r="J841" s="84" t="e">
        <f>VLOOKUP(Table13[[#This Row],[kbli5]],kata_kunci!$B:$H,6,FALSE)</f>
        <v>#N/A</v>
      </c>
      <c r="K841" s="84" t="e">
        <f>VLOOKUP(Table13[[#This Row],[kbli5]],kata_kunci!$B:$H,7,FALSE)</f>
        <v>#N/A</v>
      </c>
    </row>
    <row r="842" spans="1:11" ht="45.75" thickBot="1" x14ac:dyDescent="0.3">
      <c r="A842" s="53" t="s">
        <v>996</v>
      </c>
      <c r="B842" s="40">
        <v>47301</v>
      </c>
      <c r="C842" s="41" t="s">
        <v>1106</v>
      </c>
      <c r="D842" s="30" t="e">
        <f>VLOOKUP(Table13[[#This Row],[kbli5]],Table1[[#All],[kbli5]:[digital_hijau]],3,)</f>
        <v>#N/A</v>
      </c>
      <c r="E842" s="53" t="e">
        <f>VLOOKUP(Table13[[#This Row],[kbli5]],kata_kunci!$B:$H,4,FALSE)</f>
        <v>#N/A</v>
      </c>
      <c r="F842" s="53" t="e">
        <f>VLOOKUP(Table13[[#This Row],[kbli5]],Table1[[#All],[kbli5]:[digital_hijau]],5,)</f>
        <v>#N/A</v>
      </c>
      <c r="G842" s="53" t="e">
        <f>VLOOKUP(Table13[[#This Row],[kbli5]],Table1[[#All],[kbli5]:[digital_hijau]],6,)</f>
        <v>#N/A</v>
      </c>
      <c r="H842" s="54" t="e">
        <f>VLOOKUP(Table13[[#This Row],[kbli5]],kata_kunci!$B:$H,3,FALSE)</f>
        <v>#N/A</v>
      </c>
      <c r="I842" s="84" t="e">
        <f>VLOOKUP(Table13[[#This Row],[kbli5]],kata_kunci!$B:$H,5,FALSE)</f>
        <v>#N/A</v>
      </c>
      <c r="J842" s="84" t="e">
        <f>VLOOKUP(Table13[[#This Row],[kbli5]],kata_kunci!$B:$H,6,FALSE)</f>
        <v>#N/A</v>
      </c>
      <c r="K842" s="84" t="e">
        <f>VLOOKUP(Table13[[#This Row],[kbli5]],kata_kunci!$B:$H,7,FALSE)</f>
        <v>#N/A</v>
      </c>
    </row>
    <row r="843" spans="1:11" ht="45.75" thickBot="1" x14ac:dyDescent="0.3">
      <c r="A843" s="53" t="s">
        <v>996</v>
      </c>
      <c r="B843" s="40">
        <v>47302</v>
      </c>
      <c r="C843" s="41" t="s">
        <v>1107</v>
      </c>
      <c r="D843" s="30" t="e">
        <f>VLOOKUP(Table13[[#This Row],[kbli5]],Table1[[#All],[kbli5]:[digital_hijau]],3,)</f>
        <v>#N/A</v>
      </c>
      <c r="E843" s="53" t="e">
        <f>VLOOKUP(Table13[[#This Row],[kbli5]],kata_kunci!$B:$H,4,FALSE)</f>
        <v>#N/A</v>
      </c>
      <c r="F843" s="53" t="e">
        <f>VLOOKUP(Table13[[#This Row],[kbli5]],Table1[[#All],[kbli5]:[digital_hijau]],5,)</f>
        <v>#N/A</v>
      </c>
      <c r="G843" s="53" t="e">
        <f>VLOOKUP(Table13[[#This Row],[kbli5]],Table1[[#All],[kbli5]:[digital_hijau]],6,)</f>
        <v>#N/A</v>
      </c>
      <c r="H843" s="54" t="e">
        <f>VLOOKUP(Table13[[#This Row],[kbli5]],kata_kunci!$B:$H,3,FALSE)</f>
        <v>#N/A</v>
      </c>
      <c r="I843" s="84" t="e">
        <f>VLOOKUP(Table13[[#This Row],[kbli5]],kata_kunci!$B:$H,5,FALSE)</f>
        <v>#N/A</v>
      </c>
      <c r="J843" s="84" t="e">
        <f>VLOOKUP(Table13[[#This Row],[kbli5]],kata_kunci!$B:$H,6,FALSE)</f>
        <v>#N/A</v>
      </c>
      <c r="K843" s="84" t="e">
        <f>VLOOKUP(Table13[[#This Row],[kbli5]],kata_kunci!$B:$H,7,FALSE)</f>
        <v>#N/A</v>
      </c>
    </row>
    <row r="844" spans="1:11" ht="30.75" thickBot="1" x14ac:dyDescent="0.3">
      <c r="A844" s="53" t="s">
        <v>996</v>
      </c>
      <c r="B844" s="40">
        <v>47303</v>
      </c>
      <c r="C844" s="41" t="s">
        <v>1108</v>
      </c>
      <c r="D844" s="30" t="e">
        <f>VLOOKUP(Table13[[#This Row],[kbli5]],Table1[[#All],[kbli5]:[digital_hijau]],3,)</f>
        <v>#N/A</v>
      </c>
      <c r="E844" s="53" t="e">
        <f>VLOOKUP(Table13[[#This Row],[kbli5]],kata_kunci!$B:$H,4,FALSE)</f>
        <v>#N/A</v>
      </c>
      <c r="F844" s="53" t="e">
        <f>VLOOKUP(Table13[[#This Row],[kbli5]],Table1[[#All],[kbli5]:[digital_hijau]],5,)</f>
        <v>#N/A</v>
      </c>
      <c r="G844" s="53" t="e">
        <f>VLOOKUP(Table13[[#This Row],[kbli5]],Table1[[#All],[kbli5]:[digital_hijau]],6,)</f>
        <v>#N/A</v>
      </c>
      <c r="H844" s="54" t="e">
        <f>VLOOKUP(Table13[[#This Row],[kbli5]],kata_kunci!$B:$H,3,FALSE)</f>
        <v>#N/A</v>
      </c>
      <c r="I844" s="84" t="e">
        <f>VLOOKUP(Table13[[#This Row],[kbli5]],kata_kunci!$B:$H,5,FALSE)</f>
        <v>#N/A</v>
      </c>
      <c r="J844" s="84" t="e">
        <f>VLOOKUP(Table13[[#This Row],[kbli5]],kata_kunci!$B:$H,6,FALSE)</f>
        <v>#N/A</v>
      </c>
      <c r="K844" s="84" t="e">
        <f>VLOOKUP(Table13[[#This Row],[kbli5]],kata_kunci!$B:$H,7,FALSE)</f>
        <v>#N/A</v>
      </c>
    </row>
    <row r="845" spans="1:11" ht="45.75" thickBot="1" x14ac:dyDescent="0.3">
      <c r="A845" s="53" t="s">
        <v>996</v>
      </c>
      <c r="B845" s="40">
        <v>47401</v>
      </c>
      <c r="C845" s="41" t="s">
        <v>1109</v>
      </c>
      <c r="D845" s="30" t="e">
        <f>VLOOKUP(Table13[[#This Row],[kbli5]],Table1[[#All],[kbli5]:[digital_hijau]],3,)</f>
        <v>#N/A</v>
      </c>
      <c r="E845" s="53" t="e">
        <f>VLOOKUP(Table13[[#This Row],[kbli5]],kata_kunci!$B:$H,4,FALSE)</f>
        <v>#N/A</v>
      </c>
      <c r="F845" s="53" t="e">
        <f>VLOOKUP(Table13[[#This Row],[kbli5]],Table1[[#All],[kbli5]:[digital_hijau]],5,)</f>
        <v>#N/A</v>
      </c>
      <c r="G845" s="53" t="e">
        <f>VLOOKUP(Table13[[#This Row],[kbli5]],Table1[[#All],[kbli5]:[digital_hijau]],6,)</f>
        <v>#N/A</v>
      </c>
      <c r="H845" s="54" t="e">
        <f>VLOOKUP(Table13[[#This Row],[kbli5]],kata_kunci!$B:$H,3,FALSE)</f>
        <v>#N/A</v>
      </c>
      <c r="I845" s="84" t="e">
        <f>VLOOKUP(Table13[[#This Row],[kbli5]],kata_kunci!$B:$H,5,FALSE)</f>
        <v>#N/A</v>
      </c>
      <c r="J845" s="84" t="e">
        <f>VLOOKUP(Table13[[#This Row],[kbli5]],kata_kunci!$B:$H,6,FALSE)</f>
        <v>#N/A</v>
      </c>
      <c r="K845" s="84" t="e">
        <f>VLOOKUP(Table13[[#This Row],[kbli5]],kata_kunci!$B:$H,7,FALSE)</f>
        <v>#N/A</v>
      </c>
    </row>
    <row r="846" spans="1:11" ht="45.75" thickBot="1" x14ac:dyDescent="0.3">
      <c r="A846" s="53" t="s">
        <v>996</v>
      </c>
      <c r="B846" s="40">
        <v>47402</v>
      </c>
      <c r="C846" s="41" t="s">
        <v>1110</v>
      </c>
      <c r="D846" s="30" t="e">
        <f>VLOOKUP(Table13[[#This Row],[kbli5]],Table1[[#All],[kbli5]:[digital_hijau]],3,)</f>
        <v>#N/A</v>
      </c>
      <c r="E846" s="53" t="e">
        <f>VLOOKUP(Table13[[#This Row],[kbli5]],kata_kunci!$B:$H,4,FALSE)</f>
        <v>#N/A</v>
      </c>
      <c r="F846" s="53" t="e">
        <f>VLOOKUP(Table13[[#This Row],[kbli5]],Table1[[#All],[kbli5]:[digital_hijau]],5,)</f>
        <v>#N/A</v>
      </c>
      <c r="G846" s="53" t="e">
        <f>VLOOKUP(Table13[[#This Row],[kbli5]],Table1[[#All],[kbli5]:[digital_hijau]],6,)</f>
        <v>#N/A</v>
      </c>
      <c r="H846" s="54" t="e">
        <f>VLOOKUP(Table13[[#This Row],[kbli5]],kata_kunci!$B:$H,3,FALSE)</f>
        <v>#N/A</v>
      </c>
      <c r="I846" s="84" t="e">
        <f>VLOOKUP(Table13[[#This Row],[kbli5]],kata_kunci!$B:$H,5,FALSE)</f>
        <v>#N/A</v>
      </c>
      <c r="J846" s="84" t="e">
        <f>VLOOKUP(Table13[[#This Row],[kbli5]],kata_kunci!$B:$H,6,FALSE)</f>
        <v>#N/A</v>
      </c>
      <c r="K846" s="84" t="e">
        <f>VLOOKUP(Table13[[#This Row],[kbli5]],kata_kunci!$B:$H,7,FALSE)</f>
        <v>#N/A</v>
      </c>
    </row>
    <row r="847" spans="1:11" ht="45.75" thickBot="1" x14ac:dyDescent="0.3">
      <c r="A847" s="53" t="s">
        <v>996</v>
      </c>
      <c r="B847" s="40">
        <v>47403</v>
      </c>
      <c r="C847" s="41" t="s">
        <v>1111</v>
      </c>
      <c r="D847" s="30" t="e">
        <f>VLOOKUP(Table13[[#This Row],[kbli5]],Table1[[#All],[kbli5]:[digital_hijau]],3,)</f>
        <v>#N/A</v>
      </c>
      <c r="E847" s="53" t="e">
        <f>VLOOKUP(Table13[[#This Row],[kbli5]],kata_kunci!$B:$H,4,FALSE)</f>
        <v>#N/A</v>
      </c>
      <c r="F847" s="53" t="e">
        <f>VLOOKUP(Table13[[#This Row],[kbli5]],Table1[[#All],[kbli5]:[digital_hijau]],5,)</f>
        <v>#N/A</v>
      </c>
      <c r="G847" s="53" t="e">
        <f>VLOOKUP(Table13[[#This Row],[kbli5]],Table1[[#All],[kbli5]:[digital_hijau]],6,)</f>
        <v>#N/A</v>
      </c>
      <c r="H847" s="54" t="e">
        <f>VLOOKUP(Table13[[#This Row],[kbli5]],kata_kunci!$B:$H,3,FALSE)</f>
        <v>#N/A</v>
      </c>
      <c r="I847" s="84" t="e">
        <f>VLOOKUP(Table13[[#This Row],[kbli5]],kata_kunci!$B:$H,5,FALSE)</f>
        <v>#N/A</v>
      </c>
      <c r="J847" s="84" t="e">
        <f>VLOOKUP(Table13[[#This Row],[kbli5]],kata_kunci!$B:$H,6,FALSE)</f>
        <v>#N/A</v>
      </c>
      <c r="K847" s="84" t="e">
        <f>VLOOKUP(Table13[[#This Row],[kbli5]],kata_kunci!$B:$H,7,FALSE)</f>
        <v>#N/A</v>
      </c>
    </row>
    <row r="848" spans="1:11" ht="45.75" thickBot="1" x14ac:dyDescent="0.3">
      <c r="A848" s="53" t="s">
        <v>996</v>
      </c>
      <c r="B848" s="40">
        <v>47404</v>
      </c>
      <c r="C848" s="41" t="s">
        <v>1112</v>
      </c>
      <c r="D848" s="30" t="e">
        <f>VLOOKUP(Table13[[#This Row],[kbli5]],Table1[[#All],[kbli5]:[digital_hijau]],3,)</f>
        <v>#N/A</v>
      </c>
      <c r="E848" s="53" t="e">
        <f>VLOOKUP(Table13[[#This Row],[kbli5]],kata_kunci!$B:$H,4,FALSE)</f>
        <v>#N/A</v>
      </c>
      <c r="F848" s="53" t="e">
        <f>VLOOKUP(Table13[[#This Row],[kbli5]],Table1[[#All],[kbli5]:[digital_hijau]],5,)</f>
        <v>#N/A</v>
      </c>
      <c r="G848" s="53" t="e">
        <f>VLOOKUP(Table13[[#This Row],[kbli5]],Table1[[#All],[kbli5]:[digital_hijau]],6,)</f>
        <v>#N/A</v>
      </c>
      <c r="H848" s="54" t="e">
        <f>VLOOKUP(Table13[[#This Row],[kbli5]],kata_kunci!$B:$H,3,FALSE)</f>
        <v>#N/A</v>
      </c>
      <c r="I848" s="84" t="e">
        <f>VLOOKUP(Table13[[#This Row],[kbli5]],kata_kunci!$B:$H,5,FALSE)</f>
        <v>#N/A</v>
      </c>
      <c r="J848" s="84" t="e">
        <f>VLOOKUP(Table13[[#This Row],[kbli5]],kata_kunci!$B:$H,6,FALSE)</f>
        <v>#N/A</v>
      </c>
      <c r="K848" s="84" t="e">
        <f>VLOOKUP(Table13[[#This Row],[kbli5]],kata_kunci!$B:$H,7,FALSE)</f>
        <v>#N/A</v>
      </c>
    </row>
    <row r="849" spans="1:11" ht="45.75" thickBot="1" x14ac:dyDescent="0.3">
      <c r="A849" s="53" t="s">
        <v>996</v>
      </c>
      <c r="B849" s="40">
        <v>47405</v>
      </c>
      <c r="C849" s="41" t="s">
        <v>1113</v>
      </c>
      <c r="D849" s="30" t="e">
        <f>VLOOKUP(Table13[[#This Row],[kbli5]],Table1[[#All],[kbli5]:[digital_hijau]],3,)</f>
        <v>#N/A</v>
      </c>
      <c r="E849" s="53" t="e">
        <f>VLOOKUP(Table13[[#This Row],[kbli5]],kata_kunci!$B:$H,4,FALSE)</f>
        <v>#N/A</v>
      </c>
      <c r="F849" s="53" t="e">
        <f>VLOOKUP(Table13[[#This Row],[kbli5]],Table1[[#All],[kbli5]:[digital_hijau]],5,)</f>
        <v>#N/A</v>
      </c>
      <c r="G849" s="53" t="e">
        <f>VLOOKUP(Table13[[#This Row],[kbli5]],Table1[[#All],[kbli5]:[digital_hijau]],6,)</f>
        <v>#N/A</v>
      </c>
      <c r="H849" s="54" t="e">
        <f>VLOOKUP(Table13[[#This Row],[kbli5]],kata_kunci!$B:$H,3,FALSE)</f>
        <v>#N/A</v>
      </c>
      <c r="I849" s="84" t="e">
        <f>VLOOKUP(Table13[[#This Row],[kbli5]],kata_kunci!$B:$H,5,FALSE)</f>
        <v>#N/A</v>
      </c>
      <c r="J849" s="84" t="e">
        <f>VLOOKUP(Table13[[#This Row],[kbli5]],kata_kunci!$B:$H,6,FALSE)</f>
        <v>#N/A</v>
      </c>
      <c r="K849" s="84" t="e">
        <f>VLOOKUP(Table13[[#This Row],[kbli5]],kata_kunci!$B:$H,7,FALSE)</f>
        <v>#N/A</v>
      </c>
    </row>
    <row r="850" spans="1:11" ht="45.75" thickBot="1" x14ac:dyDescent="0.3">
      <c r="A850" s="53" t="s">
        <v>996</v>
      </c>
      <c r="B850" s="40">
        <v>47406</v>
      </c>
      <c r="C850" s="41" t="s">
        <v>1114</v>
      </c>
      <c r="D850" s="30" t="e">
        <f>VLOOKUP(Table13[[#This Row],[kbli5]],Table1[[#All],[kbli5]:[digital_hijau]],3,)</f>
        <v>#N/A</v>
      </c>
      <c r="E850" s="53" t="e">
        <f>VLOOKUP(Table13[[#This Row],[kbli5]],kata_kunci!$B:$H,4,FALSE)</f>
        <v>#N/A</v>
      </c>
      <c r="F850" s="53" t="e">
        <f>VLOOKUP(Table13[[#This Row],[kbli5]],Table1[[#All],[kbli5]:[digital_hijau]],5,)</f>
        <v>#N/A</v>
      </c>
      <c r="G850" s="53" t="e">
        <f>VLOOKUP(Table13[[#This Row],[kbli5]],Table1[[#All],[kbli5]:[digital_hijau]],6,)</f>
        <v>#N/A</v>
      </c>
      <c r="H850" s="54" t="e">
        <f>VLOOKUP(Table13[[#This Row],[kbli5]],kata_kunci!$B:$H,3,FALSE)</f>
        <v>#N/A</v>
      </c>
      <c r="I850" s="84" t="e">
        <f>VLOOKUP(Table13[[#This Row],[kbli5]],kata_kunci!$B:$H,5,FALSE)</f>
        <v>#N/A</v>
      </c>
      <c r="J850" s="84" t="e">
        <f>VLOOKUP(Table13[[#This Row],[kbli5]],kata_kunci!$B:$H,6,FALSE)</f>
        <v>#N/A</v>
      </c>
      <c r="K850" s="84" t="e">
        <f>VLOOKUP(Table13[[#This Row],[kbli5]],kata_kunci!$B:$H,7,FALSE)</f>
        <v>#N/A</v>
      </c>
    </row>
    <row r="851" spans="1:11" ht="30.75" thickBot="1" x14ac:dyDescent="0.3">
      <c r="A851" s="53" t="s">
        <v>996</v>
      </c>
      <c r="B851" s="40">
        <v>47511</v>
      </c>
      <c r="C851" s="41" t="s">
        <v>1115</v>
      </c>
      <c r="D851" s="30" t="e">
        <f>VLOOKUP(Table13[[#This Row],[kbli5]],Table1[[#All],[kbli5]:[digital_hijau]],3,)</f>
        <v>#N/A</v>
      </c>
      <c r="E851" s="53" t="e">
        <f>VLOOKUP(Table13[[#This Row],[kbli5]],kata_kunci!$B:$H,4,FALSE)</f>
        <v>#N/A</v>
      </c>
      <c r="F851" s="53" t="e">
        <f>VLOOKUP(Table13[[#This Row],[kbli5]],Table1[[#All],[kbli5]:[digital_hijau]],5,)</f>
        <v>#N/A</v>
      </c>
      <c r="G851" s="53" t="e">
        <f>VLOOKUP(Table13[[#This Row],[kbli5]],Table1[[#All],[kbli5]:[digital_hijau]],6,)</f>
        <v>#N/A</v>
      </c>
      <c r="H851" s="54" t="e">
        <f>VLOOKUP(Table13[[#This Row],[kbli5]],kata_kunci!$B:$H,3,FALSE)</f>
        <v>#N/A</v>
      </c>
      <c r="I851" s="84" t="e">
        <f>VLOOKUP(Table13[[#This Row],[kbli5]],kata_kunci!$B:$H,5,FALSE)</f>
        <v>#N/A</v>
      </c>
      <c r="J851" s="84" t="e">
        <f>VLOOKUP(Table13[[#This Row],[kbli5]],kata_kunci!$B:$H,6,FALSE)</f>
        <v>#N/A</v>
      </c>
      <c r="K851" s="84" t="e">
        <f>VLOOKUP(Table13[[#This Row],[kbli5]],kata_kunci!$B:$H,7,FALSE)</f>
        <v>#N/A</v>
      </c>
    </row>
    <row r="852" spans="1:11" ht="45.75" thickBot="1" x14ac:dyDescent="0.3">
      <c r="A852" s="53" t="s">
        <v>996</v>
      </c>
      <c r="B852" s="40">
        <v>47512</v>
      </c>
      <c r="C852" s="41" t="s">
        <v>1116</v>
      </c>
      <c r="D852" s="30" t="e">
        <f>VLOOKUP(Table13[[#This Row],[kbli5]],Table1[[#All],[kbli5]:[digital_hijau]],3,)</f>
        <v>#N/A</v>
      </c>
      <c r="E852" s="53" t="e">
        <f>VLOOKUP(Table13[[#This Row],[kbli5]],kata_kunci!$B:$H,4,FALSE)</f>
        <v>#N/A</v>
      </c>
      <c r="F852" s="53" t="e">
        <f>VLOOKUP(Table13[[#This Row],[kbli5]],Table1[[#All],[kbli5]:[digital_hijau]],5,)</f>
        <v>#N/A</v>
      </c>
      <c r="G852" s="53" t="e">
        <f>VLOOKUP(Table13[[#This Row],[kbli5]],Table1[[#All],[kbli5]:[digital_hijau]],6,)</f>
        <v>#N/A</v>
      </c>
      <c r="H852" s="54" t="e">
        <f>VLOOKUP(Table13[[#This Row],[kbli5]],kata_kunci!$B:$H,3,FALSE)</f>
        <v>#N/A</v>
      </c>
      <c r="I852" s="84" t="e">
        <f>VLOOKUP(Table13[[#This Row],[kbli5]],kata_kunci!$B:$H,5,FALSE)</f>
        <v>#N/A</v>
      </c>
      <c r="J852" s="84" t="e">
        <f>VLOOKUP(Table13[[#This Row],[kbli5]],kata_kunci!$B:$H,6,FALSE)</f>
        <v>#N/A</v>
      </c>
      <c r="K852" s="84" t="e">
        <f>VLOOKUP(Table13[[#This Row],[kbli5]],kata_kunci!$B:$H,7,FALSE)</f>
        <v>#N/A</v>
      </c>
    </row>
    <row r="853" spans="1:11" ht="45.75" thickBot="1" x14ac:dyDescent="0.3">
      <c r="A853" s="53" t="s">
        <v>996</v>
      </c>
      <c r="B853" s="40">
        <v>47513</v>
      </c>
      <c r="C853" s="41" t="s">
        <v>1117</v>
      </c>
      <c r="D853" s="30" t="e">
        <f>VLOOKUP(Table13[[#This Row],[kbli5]],Table1[[#All],[kbli5]:[digital_hijau]],3,)</f>
        <v>#N/A</v>
      </c>
      <c r="E853" s="53" t="e">
        <f>VLOOKUP(Table13[[#This Row],[kbli5]],kata_kunci!$B:$H,4,FALSE)</f>
        <v>#N/A</v>
      </c>
      <c r="F853" s="53" t="e">
        <f>VLOOKUP(Table13[[#This Row],[kbli5]],Table1[[#All],[kbli5]:[digital_hijau]],5,)</f>
        <v>#N/A</v>
      </c>
      <c r="G853" s="53" t="e">
        <f>VLOOKUP(Table13[[#This Row],[kbli5]],Table1[[#All],[kbli5]:[digital_hijau]],6,)</f>
        <v>#N/A</v>
      </c>
      <c r="H853" s="54" t="e">
        <f>VLOOKUP(Table13[[#This Row],[kbli5]],kata_kunci!$B:$H,3,FALSE)</f>
        <v>#N/A</v>
      </c>
      <c r="I853" s="84" t="e">
        <f>VLOOKUP(Table13[[#This Row],[kbli5]],kata_kunci!$B:$H,5,FALSE)</f>
        <v>#N/A</v>
      </c>
      <c r="J853" s="84" t="e">
        <f>VLOOKUP(Table13[[#This Row],[kbli5]],kata_kunci!$B:$H,6,FALSE)</f>
        <v>#N/A</v>
      </c>
      <c r="K853" s="84" t="e">
        <f>VLOOKUP(Table13[[#This Row],[kbli5]],kata_kunci!$B:$H,7,FALSE)</f>
        <v>#N/A</v>
      </c>
    </row>
    <row r="854" spans="1:11" ht="45.75" thickBot="1" x14ac:dyDescent="0.3">
      <c r="A854" s="53" t="s">
        <v>996</v>
      </c>
      <c r="B854" s="40">
        <v>47521</v>
      </c>
      <c r="C854" s="41" t="s">
        <v>1118</v>
      </c>
      <c r="D854" s="30" t="e">
        <f>VLOOKUP(Table13[[#This Row],[kbli5]],Table1[[#All],[kbli5]:[digital_hijau]],3,)</f>
        <v>#N/A</v>
      </c>
      <c r="E854" s="53" t="e">
        <f>VLOOKUP(Table13[[#This Row],[kbli5]],kata_kunci!$B:$H,4,FALSE)</f>
        <v>#N/A</v>
      </c>
      <c r="F854" s="53" t="e">
        <f>VLOOKUP(Table13[[#This Row],[kbli5]],Table1[[#All],[kbli5]:[digital_hijau]],5,)</f>
        <v>#N/A</v>
      </c>
      <c r="G854" s="53" t="e">
        <f>VLOOKUP(Table13[[#This Row],[kbli5]],Table1[[#All],[kbli5]:[digital_hijau]],6,)</f>
        <v>#N/A</v>
      </c>
      <c r="H854" s="54" t="e">
        <f>VLOOKUP(Table13[[#This Row],[kbli5]],kata_kunci!$B:$H,3,FALSE)</f>
        <v>#N/A</v>
      </c>
      <c r="I854" s="84" t="e">
        <f>VLOOKUP(Table13[[#This Row],[kbli5]],kata_kunci!$B:$H,5,FALSE)</f>
        <v>#N/A</v>
      </c>
      <c r="J854" s="84" t="e">
        <f>VLOOKUP(Table13[[#This Row],[kbli5]],kata_kunci!$B:$H,6,FALSE)</f>
        <v>#N/A</v>
      </c>
      <c r="K854" s="84" t="e">
        <f>VLOOKUP(Table13[[#This Row],[kbli5]],kata_kunci!$B:$H,7,FALSE)</f>
        <v>#N/A</v>
      </c>
    </row>
    <row r="855" spans="1:11" ht="30.75" thickBot="1" x14ac:dyDescent="0.3">
      <c r="A855" s="53" t="s">
        <v>996</v>
      </c>
      <c r="B855" s="40">
        <v>47522</v>
      </c>
      <c r="C855" s="41" t="s">
        <v>1119</v>
      </c>
      <c r="D855" s="30" t="e">
        <f>VLOOKUP(Table13[[#This Row],[kbli5]],Table1[[#All],[kbli5]:[digital_hijau]],3,)</f>
        <v>#N/A</v>
      </c>
      <c r="E855" s="53" t="e">
        <f>VLOOKUP(Table13[[#This Row],[kbli5]],kata_kunci!$B:$H,4,FALSE)</f>
        <v>#N/A</v>
      </c>
      <c r="F855" s="53" t="e">
        <f>VLOOKUP(Table13[[#This Row],[kbli5]],Table1[[#All],[kbli5]:[digital_hijau]],5,)</f>
        <v>#N/A</v>
      </c>
      <c r="G855" s="53" t="e">
        <f>VLOOKUP(Table13[[#This Row],[kbli5]],Table1[[#All],[kbli5]:[digital_hijau]],6,)</f>
        <v>#N/A</v>
      </c>
      <c r="H855" s="54" t="e">
        <f>VLOOKUP(Table13[[#This Row],[kbli5]],kata_kunci!$B:$H,3,FALSE)</f>
        <v>#N/A</v>
      </c>
      <c r="I855" s="84" t="e">
        <f>VLOOKUP(Table13[[#This Row],[kbli5]],kata_kunci!$B:$H,5,FALSE)</f>
        <v>#N/A</v>
      </c>
      <c r="J855" s="84" t="e">
        <f>VLOOKUP(Table13[[#This Row],[kbli5]],kata_kunci!$B:$H,6,FALSE)</f>
        <v>#N/A</v>
      </c>
      <c r="K855" s="84" t="e">
        <f>VLOOKUP(Table13[[#This Row],[kbli5]],kata_kunci!$B:$H,7,FALSE)</f>
        <v>#N/A</v>
      </c>
    </row>
    <row r="856" spans="1:11" ht="45.75" thickBot="1" x14ac:dyDescent="0.3">
      <c r="A856" s="53" t="s">
        <v>996</v>
      </c>
      <c r="B856" s="40">
        <v>47523</v>
      </c>
      <c r="C856" s="41" t="s">
        <v>1120</v>
      </c>
      <c r="D856" s="30" t="e">
        <f>VLOOKUP(Table13[[#This Row],[kbli5]],Table1[[#All],[kbli5]:[digital_hijau]],3,)</f>
        <v>#N/A</v>
      </c>
      <c r="E856" s="53" t="e">
        <f>VLOOKUP(Table13[[#This Row],[kbli5]],kata_kunci!$B:$H,4,FALSE)</f>
        <v>#N/A</v>
      </c>
      <c r="F856" s="53" t="e">
        <f>VLOOKUP(Table13[[#This Row],[kbli5]],Table1[[#All],[kbli5]:[digital_hijau]],5,)</f>
        <v>#N/A</v>
      </c>
      <c r="G856" s="53" t="e">
        <f>VLOOKUP(Table13[[#This Row],[kbli5]],Table1[[#All],[kbli5]:[digital_hijau]],6,)</f>
        <v>#N/A</v>
      </c>
      <c r="H856" s="54" t="e">
        <f>VLOOKUP(Table13[[#This Row],[kbli5]],kata_kunci!$B:$H,3,FALSE)</f>
        <v>#N/A</v>
      </c>
      <c r="I856" s="84" t="e">
        <f>VLOOKUP(Table13[[#This Row],[kbli5]],kata_kunci!$B:$H,5,FALSE)</f>
        <v>#N/A</v>
      </c>
      <c r="J856" s="84" t="e">
        <f>VLOOKUP(Table13[[#This Row],[kbli5]],kata_kunci!$B:$H,6,FALSE)</f>
        <v>#N/A</v>
      </c>
      <c r="K856" s="84" t="e">
        <f>VLOOKUP(Table13[[#This Row],[kbli5]],kata_kunci!$B:$H,7,FALSE)</f>
        <v>#N/A</v>
      </c>
    </row>
    <row r="857" spans="1:11" ht="45.75" thickBot="1" x14ac:dyDescent="0.3">
      <c r="A857" s="53" t="s">
        <v>996</v>
      </c>
      <c r="B857" s="40">
        <v>47524</v>
      </c>
      <c r="C857" s="41" t="s">
        <v>1121</v>
      </c>
      <c r="D857" s="30" t="e">
        <f>VLOOKUP(Table13[[#This Row],[kbli5]],Table1[[#All],[kbli5]:[digital_hijau]],3,)</f>
        <v>#N/A</v>
      </c>
      <c r="E857" s="53" t="e">
        <f>VLOOKUP(Table13[[#This Row],[kbli5]],kata_kunci!$B:$H,4,FALSE)</f>
        <v>#N/A</v>
      </c>
      <c r="F857" s="53" t="e">
        <f>VLOOKUP(Table13[[#This Row],[kbli5]],Table1[[#All],[kbli5]:[digital_hijau]],5,)</f>
        <v>#N/A</v>
      </c>
      <c r="G857" s="53" t="e">
        <f>VLOOKUP(Table13[[#This Row],[kbli5]],Table1[[#All],[kbli5]:[digital_hijau]],6,)</f>
        <v>#N/A</v>
      </c>
      <c r="H857" s="54" t="e">
        <f>VLOOKUP(Table13[[#This Row],[kbli5]],kata_kunci!$B:$H,3,FALSE)</f>
        <v>#N/A</v>
      </c>
      <c r="I857" s="84" t="e">
        <f>VLOOKUP(Table13[[#This Row],[kbli5]],kata_kunci!$B:$H,5,FALSE)</f>
        <v>#N/A</v>
      </c>
      <c r="J857" s="84" t="e">
        <f>VLOOKUP(Table13[[#This Row],[kbli5]],kata_kunci!$B:$H,6,FALSE)</f>
        <v>#N/A</v>
      </c>
      <c r="K857" s="84" t="e">
        <f>VLOOKUP(Table13[[#This Row],[kbli5]],kata_kunci!$B:$H,7,FALSE)</f>
        <v>#N/A</v>
      </c>
    </row>
    <row r="858" spans="1:11" ht="30.75" thickBot="1" x14ac:dyDescent="0.3">
      <c r="A858" s="53" t="s">
        <v>996</v>
      </c>
      <c r="B858" s="40">
        <v>47525</v>
      </c>
      <c r="C858" s="41" t="s">
        <v>1122</v>
      </c>
      <c r="D858" s="30" t="e">
        <f>VLOOKUP(Table13[[#This Row],[kbli5]],Table1[[#All],[kbli5]:[digital_hijau]],3,)</f>
        <v>#N/A</v>
      </c>
      <c r="E858" s="53" t="e">
        <f>VLOOKUP(Table13[[#This Row],[kbli5]],kata_kunci!$B:$H,4,FALSE)</f>
        <v>#N/A</v>
      </c>
      <c r="F858" s="53" t="e">
        <f>VLOOKUP(Table13[[#This Row],[kbli5]],Table1[[#All],[kbli5]:[digital_hijau]],5,)</f>
        <v>#N/A</v>
      </c>
      <c r="G858" s="53" t="e">
        <f>VLOOKUP(Table13[[#This Row],[kbli5]],Table1[[#All],[kbli5]:[digital_hijau]],6,)</f>
        <v>#N/A</v>
      </c>
      <c r="H858" s="54" t="e">
        <f>VLOOKUP(Table13[[#This Row],[kbli5]],kata_kunci!$B:$H,3,FALSE)</f>
        <v>#N/A</v>
      </c>
      <c r="I858" s="84" t="e">
        <f>VLOOKUP(Table13[[#This Row],[kbli5]],kata_kunci!$B:$H,5,FALSE)</f>
        <v>#N/A</v>
      </c>
      <c r="J858" s="84" t="e">
        <f>VLOOKUP(Table13[[#This Row],[kbli5]],kata_kunci!$B:$H,6,FALSE)</f>
        <v>#N/A</v>
      </c>
      <c r="K858" s="84" t="e">
        <f>VLOOKUP(Table13[[#This Row],[kbli5]],kata_kunci!$B:$H,7,FALSE)</f>
        <v>#N/A</v>
      </c>
    </row>
    <row r="859" spans="1:11" ht="45.75" thickBot="1" x14ac:dyDescent="0.3">
      <c r="A859" s="53" t="s">
        <v>996</v>
      </c>
      <c r="B859" s="40">
        <v>47526</v>
      </c>
      <c r="C859" s="41" t="s">
        <v>1123</v>
      </c>
      <c r="D859" s="30" t="e">
        <f>VLOOKUP(Table13[[#This Row],[kbli5]],Table1[[#All],[kbli5]:[digital_hijau]],3,)</f>
        <v>#N/A</v>
      </c>
      <c r="E859" s="53" t="e">
        <f>VLOOKUP(Table13[[#This Row],[kbli5]],kata_kunci!$B:$H,4,FALSE)</f>
        <v>#N/A</v>
      </c>
      <c r="F859" s="53" t="e">
        <f>VLOOKUP(Table13[[#This Row],[kbli5]],Table1[[#All],[kbli5]:[digital_hijau]],5,)</f>
        <v>#N/A</v>
      </c>
      <c r="G859" s="53" t="e">
        <f>VLOOKUP(Table13[[#This Row],[kbli5]],Table1[[#All],[kbli5]:[digital_hijau]],6,)</f>
        <v>#N/A</v>
      </c>
      <c r="H859" s="54" t="e">
        <f>VLOOKUP(Table13[[#This Row],[kbli5]],kata_kunci!$B:$H,3,FALSE)</f>
        <v>#N/A</v>
      </c>
      <c r="I859" s="84" t="e">
        <f>VLOOKUP(Table13[[#This Row],[kbli5]],kata_kunci!$B:$H,5,FALSE)</f>
        <v>#N/A</v>
      </c>
      <c r="J859" s="84" t="e">
        <f>VLOOKUP(Table13[[#This Row],[kbli5]],kata_kunci!$B:$H,6,FALSE)</f>
        <v>#N/A</v>
      </c>
      <c r="K859" s="84" t="e">
        <f>VLOOKUP(Table13[[#This Row],[kbli5]],kata_kunci!$B:$H,7,FALSE)</f>
        <v>#N/A</v>
      </c>
    </row>
    <row r="860" spans="1:11" ht="45.75" thickBot="1" x14ac:dyDescent="0.3">
      <c r="A860" s="53" t="s">
        <v>996</v>
      </c>
      <c r="B860" s="40">
        <v>47530</v>
      </c>
      <c r="C860" s="41" t="s">
        <v>1124</v>
      </c>
      <c r="D860" s="30" t="e">
        <f>VLOOKUP(Table13[[#This Row],[kbli5]],Table1[[#All],[kbli5]:[digital_hijau]],3,)</f>
        <v>#N/A</v>
      </c>
      <c r="E860" s="53" t="e">
        <f>VLOOKUP(Table13[[#This Row],[kbli5]],kata_kunci!$B:$H,4,FALSE)</f>
        <v>#N/A</v>
      </c>
      <c r="F860" s="53" t="e">
        <f>VLOOKUP(Table13[[#This Row],[kbli5]],Table1[[#All],[kbli5]:[digital_hijau]],5,)</f>
        <v>#N/A</v>
      </c>
      <c r="G860" s="53" t="e">
        <f>VLOOKUP(Table13[[#This Row],[kbli5]],Table1[[#All],[kbli5]:[digital_hijau]],6,)</f>
        <v>#N/A</v>
      </c>
      <c r="H860" s="54" t="e">
        <f>VLOOKUP(Table13[[#This Row],[kbli5]],kata_kunci!$B:$H,3,FALSE)</f>
        <v>#N/A</v>
      </c>
      <c r="I860" s="84" t="e">
        <f>VLOOKUP(Table13[[#This Row],[kbli5]],kata_kunci!$B:$H,5,FALSE)</f>
        <v>#N/A</v>
      </c>
      <c r="J860" s="84" t="e">
        <f>VLOOKUP(Table13[[#This Row],[kbli5]],kata_kunci!$B:$H,6,FALSE)</f>
        <v>#N/A</v>
      </c>
      <c r="K860" s="84" t="e">
        <f>VLOOKUP(Table13[[#This Row],[kbli5]],kata_kunci!$B:$H,7,FALSE)</f>
        <v>#N/A</v>
      </c>
    </row>
    <row r="861" spans="1:11" ht="30.75" thickBot="1" x14ac:dyDescent="0.3">
      <c r="A861" s="53" t="s">
        <v>996</v>
      </c>
      <c r="B861" s="40">
        <v>47591</v>
      </c>
      <c r="C861" s="41" t="s">
        <v>1125</v>
      </c>
      <c r="D861" s="30" t="e">
        <f>VLOOKUP(Table13[[#This Row],[kbli5]],Table1[[#All],[kbli5]:[digital_hijau]],3,)</f>
        <v>#N/A</v>
      </c>
      <c r="E861" s="53" t="e">
        <f>VLOOKUP(Table13[[#This Row],[kbli5]],kata_kunci!$B:$H,4,FALSE)</f>
        <v>#N/A</v>
      </c>
      <c r="F861" s="53" t="e">
        <f>VLOOKUP(Table13[[#This Row],[kbli5]],Table1[[#All],[kbli5]:[digital_hijau]],5,)</f>
        <v>#N/A</v>
      </c>
      <c r="G861" s="53" t="e">
        <f>VLOOKUP(Table13[[#This Row],[kbli5]],Table1[[#All],[kbli5]:[digital_hijau]],6,)</f>
        <v>#N/A</v>
      </c>
      <c r="H861" s="54" t="e">
        <f>VLOOKUP(Table13[[#This Row],[kbli5]],kata_kunci!$B:$H,3,FALSE)</f>
        <v>#N/A</v>
      </c>
      <c r="I861" s="84" t="e">
        <f>VLOOKUP(Table13[[#This Row],[kbli5]],kata_kunci!$B:$H,5,FALSE)</f>
        <v>#N/A</v>
      </c>
      <c r="J861" s="84" t="e">
        <f>VLOOKUP(Table13[[#This Row],[kbli5]],kata_kunci!$B:$H,6,FALSE)</f>
        <v>#N/A</v>
      </c>
      <c r="K861" s="84" t="e">
        <f>VLOOKUP(Table13[[#This Row],[kbli5]],kata_kunci!$B:$H,7,FALSE)</f>
        <v>#N/A</v>
      </c>
    </row>
    <row r="862" spans="1:11" ht="45.75" thickBot="1" x14ac:dyDescent="0.3">
      <c r="A862" s="53" t="s">
        <v>996</v>
      </c>
      <c r="B862" s="40">
        <v>47592</v>
      </c>
      <c r="C862" s="41" t="s">
        <v>1126</v>
      </c>
      <c r="D862" s="30" t="e">
        <f>VLOOKUP(Table13[[#This Row],[kbli5]],Table1[[#All],[kbli5]:[digital_hijau]],3,)</f>
        <v>#N/A</v>
      </c>
      <c r="E862" s="53" t="e">
        <f>VLOOKUP(Table13[[#This Row],[kbli5]],kata_kunci!$B:$H,4,FALSE)</f>
        <v>#N/A</v>
      </c>
      <c r="F862" s="53" t="e">
        <f>VLOOKUP(Table13[[#This Row],[kbli5]],Table1[[#All],[kbli5]:[digital_hijau]],5,)</f>
        <v>#N/A</v>
      </c>
      <c r="G862" s="53" t="e">
        <f>VLOOKUP(Table13[[#This Row],[kbli5]],Table1[[#All],[kbli5]:[digital_hijau]],6,)</f>
        <v>#N/A</v>
      </c>
      <c r="H862" s="54" t="e">
        <f>VLOOKUP(Table13[[#This Row],[kbli5]],kata_kunci!$B:$H,3,FALSE)</f>
        <v>#N/A</v>
      </c>
      <c r="I862" s="84" t="e">
        <f>VLOOKUP(Table13[[#This Row],[kbli5]],kata_kunci!$B:$H,5,FALSE)</f>
        <v>#N/A</v>
      </c>
      <c r="J862" s="84" t="e">
        <f>VLOOKUP(Table13[[#This Row],[kbli5]],kata_kunci!$B:$H,6,FALSE)</f>
        <v>#N/A</v>
      </c>
      <c r="K862" s="84" t="e">
        <f>VLOOKUP(Table13[[#This Row],[kbli5]],kata_kunci!$B:$H,7,FALSE)</f>
        <v>#N/A</v>
      </c>
    </row>
    <row r="863" spans="1:11" ht="45.75" thickBot="1" x14ac:dyDescent="0.3">
      <c r="A863" s="53" t="s">
        <v>996</v>
      </c>
      <c r="B863" s="40">
        <v>47593</v>
      </c>
      <c r="C863" s="41" t="s">
        <v>1127</v>
      </c>
      <c r="D863" s="30" t="e">
        <f>VLOOKUP(Table13[[#This Row],[kbli5]],Table1[[#All],[kbli5]:[digital_hijau]],3,)</f>
        <v>#N/A</v>
      </c>
      <c r="E863" s="53" t="e">
        <f>VLOOKUP(Table13[[#This Row],[kbli5]],kata_kunci!$B:$H,4,FALSE)</f>
        <v>#N/A</v>
      </c>
      <c r="F863" s="53" t="e">
        <f>VLOOKUP(Table13[[#This Row],[kbli5]],Table1[[#All],[kbli5]:[digital_hijau]],5,)</f>
        <v>#N/A</v>
      </c>
      <c r="G863" s="53" t="e">
        <f>VLOOKUP(Table13[[#This Row],[kbli5]],Table1[[#All],[kbli5]:[digital_hijau]],6,)</f>
        <v>#N/A</v>
      </c>
      <c r="H863" s="54" t="e">
        <f>VLOOKUP(Table13[[#This Row],[kbli5]],kata_kunci!$B:$H,3,FALSE)</f>
        <v>#N/A</v>
      </c>
      <c r="I863" s="84" t="e">
        <f>VLOOKUP(Table13[[#This Row],[kbli5]],kata_kunci!$B:$H,5,FALSE)</f>
        <v>#N/A</v>
      </c>
      <c r="J863" s="84" t="e">
        <f>VLOOKUP(Table13[[#This Row],[kbli5]],kata_kunci!$B:$H,6,FALSE)</f>
        <v>#N/A</v>
      </c>
      <c r="K863" s="84" t="e">
        <f>VLOOKUP(Table13[[#This Row],[kbli5]],kata_kunci!$B:$H,7,FALSE)</f>
        <v>#N/A</v>
      </c>
    </row>
    <row r="864" spans="1:11" ht="30.75" thickBot="1" x14ac:dyDescent="0.3">
      <c r="A864" s="53" t="s">
        <v>996</v>
      </c>
      <c r="B864" s="40">
        <v>47594</v>
      </c>
      <c r="C864" s="41" t="s">
        <v>1128</v>
      </c>
      <c r="D864" s="30" t="e">
        <f>VLOOKUP(Table13[[#This Row],[kbli5]],Table1[[#All],[kbli5]:[digital_hijau]],3,)</f>
        <v>#N/A</v>
      </c>
      <c r="E864" s="53" t="e">
        <f>VLOOKUP(Table13[[#This Row],[kbli5]],kata_kunci!$B:$H,4,FALSE)</f>
        <v>#N/A</v>
      </c>
      <c r="F864" s="53" t="e">
        <f>VLOOKUP(Table13[[#This Row],[kbli5]],Table1[[#All],[kbli5]:[digital_hijau]],5,)</f>
        <v>#N/A</v>
      </c>
      <c r="G864" s="53" t="e">
        <f>VLOOKUP(Table13[[#This Row],[kbli5]],Table1[[#All],[kbli5]:[digital_hijau]],6,)</f>
        <v>#N/A</v>
      </c>
      <c r="H864" s="54" t="e">
        <f>VLOOKUP(Table13[[#This Row],[kbli5]],kata_kunci!$B:$H,3,FALSE)</f>
        <v>#N/A</v>
      </c>
      <c r="I864" s="84" t="e">
        <f>VLOOKUP(Table13[[#This Row],[kbli5]],kata_kunci!$B:$H,5,FALSE)</f>
        <v>#N/A</v>
      </c>
      <c r="J864" s="84" t="e">
        <f>VLOOKUP(Table13[[#This Row],[kbli5]],kata_kunci!$B:$H,6,FALSE)</f>
        <v>#N/A</v>
      </c>
      <c r="K864" s="84" t="e">
        <f>VLOOKUP(Table13[[#This Row],[kbli5]],kata_kunci!$B:$H,7,FALSE)</f>
        <v>#N/A</v>
      </c>
    </row>
    <row r="865" spans="1:11" ht="45.75" thickBot="1" x14ac:dyDescent="0.3">
      <c r="A865" s="53" t="s">
        <v>996</v>
      </c>
      <c r="B865" s="40">
        <v>47599</v>
      </c>
      <c r="C865" s="41" t="s">
        <v>1129</v>
      </c>
      <c r="D865" s="30" t="e">
        <f>VLOOKUP(Table13[[#This Row],[kbli5]],Table1[[#All],[kbli5]:[digital_hijau]],3,)</f>
        <v>#N/A</v>
      </c>
      <c r="E865" s="53" t="e">
        <f>VLOOKUP(Table13[[#This Row],[kbli5]],kata_kunci!$B:$H,4,FALSE)</f>
        <v>#N/A</v>
      </c>
      <c r="F865" s="53" t="e">
        <f>VLOOKUP(Table13[[#This Row],[kbli5]],Table1[[#All],[kbli5]:[digital_hijau]],5,)</f>
        <v>#N/A</v>
      </c>
      <c r="G865" s="53" t="e">
        <f>VLOOKUP(Table13[[#This Row],[kbli5]],Table1[[#All],[kbli5]:[digital_hijau]],6,)</f>
        <v>#N/A</v>
      </c>
      <c r="H865" s="54" t="e">
        <f>VLOOKUP(Table13[[#This Row],[kbli5]],kata_kunci!$B:$H,3,FALSE)</f>
        <v>#N/A</v>
      </c>
      <c r="I865" s="84" t="e">
        <f>VLOOKUP(Table13[[#This Row],[kbli5]],kata_kunci!$B:$H,5,FALSE)</f>
        <v>#N/A</v>
      </c>
      <c r="J865" s="84" t="e">
        <f>VLOOKUP(Table13[[#This Row],[kbli5]],kata_kunci!$B:$H,6,FALSE)</f>
        <v>#N/A</v>
      </c>
      <c r="K865" s="84" t="e">
        <f>VLOOKUP(Table13[[#This Row],[kbli5]],kata_kunci!$B:$H,7,FALSE)</f>
        <v>#N/A</v>
      </c>
    </row>
    <row r="866" spans="1:11" ht="45.75" thickBot="1" x14ac:dyDescent="0.3">
      <c r="A866" s="53" t="s">
        <v>996</v>
      </c>
      <c r="B866" s="40">
        <v>47611</v>
      </c>
      <c r="C866" s="41" t="s">
        <v>1130</v>
      </c>
      <c r="D866" s="30" t="e">
        <f>VLOOKUP(Table13[[#This Row],[kbli5]],Table1[[#All],[kbli5]:[digital_hijau]],3,)</f>
        <v>#N/A</v>
      </c>
      <c r="E866" s="53" t="e">
        <f>VLOOKUP(Table13[[#This Row],[kbli5]],kata_kunci!$B:$H,4,FALSE)</f>
        <v>#N/A</v>
      </c>
      <c r="F866" s="53" t="e">
        <f>VLOOKUP(Table13[[#This Row],[kbli5]],Table1[[#All],[kbli5]:[digital_hijau]],5,)</f>
        <v>#N/A</v>
      </c>
      <c r="G866" s="53" t="e">
        <f>VLOOKUP(Table13[[#This Row],[kbli5]],Table1[[#All],[kbli5]:[digital_hijau]],6,)</f>
        <v>#N/A</v>
      </c>
      <c r="H866" s="54" t="e">
        <f>VLOOKUP(Table13[[#This Row],[kbli5]],kata_kunci!$B:$H,3,FALSE)</f>
        <v>#N/A</v>
      </c>
      <c r="I866" s="84" t="e">
        <f>VLOOKUP(Table13[[#This Row],[kbli5]],kata_kunci!$B:$H,5,FALSE)</f>
        <v>#N/A</v>
      </c>
      <c r="J866" s="84" t="e">
        <f>VLOOKUP(Table13[[#This Row],[kbli5]],kata_kunci!$B:$H,6,FALSE)</f>
        <v>#N/A</v>
      </c>
      <c r="K866" s="84" t="e">
        <f>VLOOKUP(Table13[[#This Row],[kbli5]],kata_kunci!$B:$H,7,FALSE)</f>
        <v>#N/A</v>
      </c>
    </row>
    <row r="867" spans="1:11" ht="45.75" thickBot="1" x14ac:dyDescent="0.3">
      <c r="A867" s="53" t="s">
        <v>996</v>
      </c>
      <c r="B867" s="40">
        <v>47612</v>
      </c>
      <c r="C867" s="41" t="s">
        <v>1131</v>
      </c>
      <c r="D867" s="30" t="e">
        <f>VLOOKUP(Table13[[#This Row],[kbli5]],Table1[[#All],[kbli5]:[digital_hijau]],3,)</f>
        <v>#N/A</v>
      </c>
      <c r="E867" s="53" t="e">
        <f>VLOOKUP(Table13[[#This Row],[kbli5]],kata_kunci!$B:$H,4,FALSE)</f>
        <v>#N/A</v>
      </c>
      <c r="F867" s="53" t="e">
        <f>VLOOKUP(Table13[[#This Row],[kbli5]],Table1[[#All],[kbli5]:[digital_hijau]],5,)</f>
        <v>#N/A</v>
      </c>
      <c r="G867" s="53" t="e">
        <f>VLOOKUP(Table13[[#This Row],[kbli5]],Table1[[#All],[kbli5]:[digital_hijau]],6,)</f>
        <v>#N/A</v>
      </c>
      <c r="H867" s="54" t="e">
        <f>VLOOKUP(Table13[[#This Row],[kbli5]],kata_kunci!$B:$H,3,FALSE)</f>
        <v>#N/A</v>
      </c>
      <c r="I867" s="84" t="e">
        <f>VLOOKUP(Table13[[#This Row],[kbli5]],kata_kunci!$B:$H,5,FALSE)</f>
        <v>#N/A</v>
      </c>
      <c r="J867" s="84" t="e">
        <f>VLOOKUP(Table13[[#This Row],[kbli5]],kata_kunci!$B:$H,6,FALSE)</f>
        <v>#N/A</v>
      </c>
      <c r="K867" s="84" t="e">
        <f>VLOOKUP(Table13[[#This Row],[kbli5]],kata_kunci!$B:$H,7,FALSE)</f>
        <v>#N/A</v>
      </c>
    </row>
    <row r="868" spans="1:11" ht="45.75" thickBot="1" x14ac:dyDescent="0.3">
      <c r="A868" s="53" t="s">
        <v>996</v>
      </c>
      <c r="B868" s="40">
        <v>47613</v>
      </c>
      <c r="C868" s="41" t="s">
        <v>1132</v>
      </c>
      <c r="D868" s="30" t="e">
        <f>VLOOKUP(Table13[[#This Row],[kbli5]],Table1[[#All],[kbli5]:[digital_hijau]],3,)</f>
        <v>#N/A</v>
      </c>
      <c r="E868" s="53" t="e">
        <f>VLOOKUP(Table13[[#This Row],[kbli5]],kata_kunci!$B:$H,4,FALSE)</f>
        <v>#N/A</v>
      </c>
      <c r="F868" s="53" t="e">
        <f>VLOOKUP(Table13[[#This Row],[kbli5]],Table1[[#All],[kbli5]:[digital_hijau]],5,)</f>
        <v>#N/A</v>
      </c>
      <c r="G868" s="53" t="e">
        <f>VLOOKUP(Table13[[#This Row],[kbli5]],Table1[[#All],[kbli5]:[digital_hijau]],6,)</f>
        <v>#N/A</v>
      </c>
      <c r="H868" s="54" t="e">
        <f>VLOOKUP(Table13[[#This Row],[kbli5]],kata_kunci!$B:$H,3,FALSE)</f>
        <v>#N/A</v>
      </c>
      <c r="I868" s="84" t="e">
        <f>VLOOKUP(Table13[[#This Row],[kbli5]],kata_kunci!$B:$H,5,FALSE)</f>
        <v>#N/A</v>
      </c>
      <c r="J868" s="84" t="e">
        <f>VLOOKUP(Table13[[#This Row],[kbli5]],kata_kunci!$B:$H,6,FALSE)</f>
        <v>#N/A</v>
      </c>
      <c r="K868" s="84" t="e">
        <f>VLOOKUP(Table13[[#This Row],[kbli5]],kata_kunci!$B:$H,7,FALSE)</f>
        <v>#N/A</v>
      </c>
    </row>
    <row r="869" spans="1:11" ht="45.75" thickBot="1" x14ac:dyDescent="0.3">
      <c r="A869" s="53" t="s">
        <v>996</v>
      </c>
      <c r="B869" s="40">
        <v>47620</v>
      </c>
      <c r="C869" s="41" t="s">
        <v>1133</v>
      </c>
      <c r="D869" s="30" t="e">
        <f>VLOOKUP(Table13[[#This Row],[kbli5]],Table1[[#All],[kbli5]:[digital_hijau]],3,)</f>
        <v>#N/A</v>
      </c>
      <c r="E869" s="53" t="e">
        <f>VLOOKUP(Table13[[#This Row],[kbli5]],kata_kunci!$B:$H,4,FALSE)</f>
        <v>#N/A</v>
      </c>
      <c r="F869" s="53" t="e">
        <f>VLOOKUP(Table13[[#This Row],[kbli5]],Table1[[#All],[kbli5]:[digital_hijau]],5,)</f>
        <v>#N/A</v>
      </c>
      <c r="G869" s="53" t="e">
        <f>VLOOKUP(Table13[[#This Row],[kbli5]],Table1[[#All],[kbli5]:[digital_hijau]],6,)</f>
        <v>#N/A</v>
      </c>
      <c r="H869" s="54" t="e">
        <f>VLOOKUP(Table13[[#This Row],[kbli5]],kata_kunci!$B:$H,3,FALSE)</f>
        <v>#N/A</v>
      </c>
      <c r="I869" s="84" t="e">
        <f>VLOOKUP(Table13[[#This Row],[kbli5]],kata_kunci!$B:$H,5,FALSE)</f>
        <v>#N/A</v>
      </c>
      <c r="J869" s="84" t="e">
        <f>VLOOKUP(Table13[[#This Row],[kbli5]],kata_kunci!$B:$H,6,FALSE)</f>
        <v>#N/A</v>
      </c>
      <c r="K869" s="84" t="e">
        <f>VLOOKUP(Table13[[#This Row],[kbli5]],kata_kunci!$B:$H,7,FALSE)</f>
        <v>#N/A</v>
      </c>
    </row>
    <row r="870" spans="1:11" ht="45.75" thickBot="1" x14ac:dyDescent="0.3">
      <c r="A870" s="53" t="s">
        <v>996</v>
      </c>
      <c r="B870" s="40">
        <v>47630</v>
      </c>
      <c r="C870" s="41" t="s">
        <v>1134</v>
      </c>
      <c r="D870" s="30" t="e">
        <f>VLOOKUP(Table13[[#This Row],[kbli5]],Table1[[#All],[kbli5]:[digital_hijau]],3,)</f>
        <v>#N/A</v>
      </c>
      <c r="E870" s="53" t="e">
        <f>VLOOKUP(Table13[[#This Row],[kbli5]],kata_kunci!$B:$H,4,FALSE)</f>
        <v>#N/A</v>
      </c>
      <c r="F870" s="53" t="e">
        <f>VLOOKUP(Table13[[#This Row],[kbli5]],Table1[[#All],[kbli5]:[digital_hijau]],5,)</f>
        <v>#N/A</v>
      </c>
      <c r="G870" s="53" t="e">
        <f>VLOOKUP(Table13[[#This Row],[kbli5]],Table1[[#All],[kbli5]:[digital_hijau]],6,)</f>
        <v>#N/A</v>
      </c>
      <c r="H870" s="54" t="e">
        <f>VLOOKUP(Table13[[#This Row],[kbli5]],kata_kunci!$B:$H,3,FALSE)</f>
        <v>#N/A</v>
      </c>
      <c r="I870" s="84" t="e">
        <f>VLOOKUP(Table13[[#This Row],[kbli5]],kata_kunci!$B:$H,5,FALSE)</f>
        <v>#N/A</v>
      </c>
      <c r="J870" s="84" t="e">
        <f>VLOOKUP(Table13[[#This Row],[kbli5]],kata_kunci!$B:$H,6,FALSE)</f>
        <v>#N/A</v>
      </c>
      <c r="K870" s="84" t="e">
        <f>VLOOKUP(Table13[[#This Row],[kbli5]],kata_kunci!$B:$H,7,FALSE)</f>
        <v>#N/A</v>
      </c>
    </row>
    <row r="871" spans="1:11" ht="45.75" thickBot="1" x14ac:dyDescent="0.3">
      <c r="A871" s="53" t="s">
        <v>996</v>
      </c>
      <c r="B871" s="40">
        <v>47690</v>
      </c>
      <c r="C871" s="41" t="s">
        <v>1135</v>
      </c>
      <c r="D871" s="30" t="e">
        <f>VLOOKUP(Table13[[#This Row],[kbli5]],Table1[[#All],[kbli5]:[digital_hijau]],3,)</f>
        <v>#N/A</v>
      </c>
      <c r="E871" s="53" t="e">
        <f>VLOOKUP(Table13[[#This Row],[kbli5]],kata_kunci!$B:$H,4,FALSE)</f>
        <v>#N/A</v>
      </c>
      <c r="F871" s="53" t="e">
        <f>VLOOKUP(Table13[[#This Row],[kbli5]],Table1[[#All],[kbli5]:[digital_hijau]],5,)</f>
        <v>#N/A</v>
      </c>
      <c r="G871" s="53" t="e">
        <f>VLOOKUP(Table13[[#This Row],[kbli5]],Table1[[#All],[kbli5]:[digital_hijau]],6,)</f>
        <v>#N/A</v>
      </c>
      <c r="H871" s="54" t="e">
        <f>VLOOKUP(Table13[[#This Row],[kbli5]],kata_kunci!$B:$H,3,FALSE)</f>
        <v>#N/A</v>
      </c>
      <c r="I871" s="84" t="e">
        <f>VLOOKUP(Table13[[#This Row],[kbli5]],kata_kunci!$B:$H,5,FALSE)</f>
        <v>#N/A</v>
      </c>
      <c r="J871" s="84" t="e">
        <f>VLOOKUP(Table13[[#This Row],[kbli5]],kata_kunci!$B:$H,6,FALSE)</f>
        <v>#N/A</v>
      </c>
      <c r="K871" s="84" t="e">
        <f>VLOOKUP(Table13[[#This Row],[kbli5]],kata_kunci!$B:$H,7,FALSE)</f>
        <v>#N/A</v>
      </c>
    </row>
    <row r="872" spans="1:11" ht="30.75" thickBot="1" x14ac:dyDescent="0.3">
      <c r="A872" s="53" t="s">
        <v>996</v>
      </c>
      <c r="B872" s="40">
        <v>47711</v>
      </c>
      <c r="C872" s="41" t="s">
        <v>1136</v>
      </c>
      <c r="D872" s="30" t="e">
        <f>VLOOKUP(Table13[[#This Row],[kbli5]],Table1[[#All],[kbli5]:[digital_hijau]],3,)</f>
        <v>#N/A</v>
      </c>
      <c r="E872" s="53" t="e">
        <f>VLOOKUP(Table13[[#This Row],[kbli5]],kata_kunci!$B:$H,4,FALSE)</f>
        <v>#N/A</v>
      </c>
      <c r="F872" s="53" t="e">
        <f>VLOOKUP(Table13[[#This Row],[kbli5]],Table1[[#All],[kbli5]:[digital_hijau]],5,)</f>
        <v>#N/A</v>
      </c>
      <c r="G872" s="53" t="e">
        <f>VLOOKUP(Table13[[#This Row],[kbli5]],Table1[[#All],[kbli5]:[digital_hijau]],6,)</f>
        <v>#N/A</v>
      </c>
      <c r="H872" s="54" t="e">
        <f>VLOOKUP(Table13[[#This Row],[kbli5]],kata_kunci!$B:$H,3,FALSE)</f>
        <v>#N/A</v>
      </c>
      <c r="I872" s="84" t="e">
        <f>VLOOKUP(Table13[[#This Row],[kbli5]],kata_kunci!$B:$H,5,FALSE)</f>
        <v>#N/A</v>
      </c>
      <c r="J872" s="84" t="e">
        <f>VLOOKUP(Table13[[#This Row],[kbli5]],kata_kunci!$B:$H,6,FALSE)</f>
        <v>#N/A</v>
      </c>
      <c r="K872" s="84" t="e">
        <f>VLOOKUP(Table13[[#This Row],[kbli5]],kata_kunci!$B:$H,7,FALSE)</f>
        <v>#N/A</v>
      </c>
    </row>
    <row r="873" spans="1:11" ht="45.75" thickBot="1" x14ac:dyDescent="0.3">
      <c r="A873" s="53" t="s">
        <v>996</v>
      </c>
      <c r="B873" s="40">
        <v>47712</v>
      </c>
      <c r="C873" s="41" t="s">
        <v>1137</v>
      </c>
      <c r="D873" s="30" t="e">
        <f>VLOOKUP(Table13[[#This Row],[kbli5]],Table1[[#All],[kbli5]:[digital_hijau]],3,)</f>
        <v>#N/A</v>
      </c>
      <c r="E873" s="53" t="e">
        <f>VLOOKUP(Table13[[#This Row],[kbli5]],kata_kunci!$B:$H,4,FALSE)</f>
        <v>#N/A</v>
      </c>
      <c r="F873" s="53" t="e">
        <f>VLOOKUP(Table13[[#This Row],[kbli5]],Table1[[#All],[kbli5]:[digital_hijau]],5,)</f>
        <v>#N/A</v>
      </c>
      <c r="G873" s="53" t="e">
        <f>VLOOKUP(Table13[[#This Row],[kbli5]],Table1[[#All],[kbli5]:[digital_hijau]],6,)</f>
        <v>#N/A</v>
      </c>
      <c r="H873" s="54" t="e">
        <f>VLOOKUP(Table13[[#This Row],[kbli5]],kata_kunci!$B:$H,3,FALSE)</f>
        <v>#N/A</v>
      </c>
      <c r="I873" s="84" t="e">
        <f>VLOOKUP(Table13[[#This Row],[kbli5]],kata_kunci!$B:$H,5,FALSE)</f>
        <v>#N/A</v>
      </c>
      <c r="J873" s="84" t="e">
        <f>VLOOKUP(Table13[[#This Row],[kbli5]],kata_kunci!$B:$H,6,FALSE)</f>
        <v>#N/A</v>
      </c>
      <c r="K873" s="84" t="e">
        <f>VLOOKUP(Table13[[#This Row],[kbli5]],kata_kunci!$B:$H,7,FALSE)</f>
        <v>#N/A</v>
      </c>
    </row>
    <row r="874" spans="1:11" ht="30.75" thickBot="1" x14ac:dyDescent="0.3">
      <c r="A874" s="53" t="s">
        <v>996</v>
      </c>
      <c r="B874" s="40">
        <v>47713</v>
      </c>
      <c r="C874" s="41" t="s">
        <v>1138</v>
      </c>
      <c r="D874" s="30" t="e">
        <f>VLOOKUP(Table13[[#This Row],[kbli5]],Table1[[#All],[kbli5]:[digital_hijau]],3,)</f>
        <v>#N/A</v>
      </c>
      <c r="E874" s="53" t="e">
        <f>VLOOKUP(Table13[[#This Row],[kbli5]],kata_kunci!$B:$H,4,FALSE)</f>
        <v>#N/A</v>
      </c>
      <c r="F874" s="53" t="e">
        <f>VLOOKUP(Table13[[#This Row],[kbli5]],Table1[[#All],[kbli5]:[digital_hijau]],5,)</f>
        <v>#N/A</v>
      </c>
      <c r="G874" s="53" t="e">
        <f>VLOOKUP(Table13[[#This Row],[kbli5]],Table1[[#All],[kbli5]:[digital_hijau]],6,)</f>
        <v>#N/A</v>
      </c>
      <c r="H874" s="54" t="e">
        <f>VLOOKUP(Table13[[#This Row],[kbli5]],kata_kunci!$B:$H,3,FALSE)</f>
        <v>#N/A</v>
      </c>
      <c r="I874" s="84" t="e">
        <f>VLOOKUP(Table13[[#This Row],[kbli5]],kata_kunci!$B:$H,5,FALSE)</f>
        <v>#N/A</v>
      </c>
      <c r="J874" s="84" t="e">
        <f>VLOOKUP(Table13[[#This Row],[kbli5]],kata_kunci!$B:$H,6,FALSE)</f>
        <v>#N/A</v>
      </c>
      <c r="K874" s="84" t="e">
        <f>VLOOKUP(Table13[[#This Row],[kbli5]],kata_kunci!$B:$H,7,FALSE)</f>
        <v>#N/A</v>
      </c>
    </row>
    <row r="875" spans="1:11" ht="45.75" thickBot="1" x14ac:dyDescent="0.3">
      <c r="A875" s="53" t="s">
        <v>996</v>
      </c>
      <c r="B875" s="40">
        <v>47714</v>
      </c>
      <c r="C875" s="41" t="s">
        <v>1139</v>
      </c>
      <c r="D875" s="30" t="e">
        <f>VLOOKUP(Table13[[#This Row],[kbli5]],Table1[[#All],[kbli5]:[digital_hijau]],3,)</f>
        <v>#N/A</v>
      </c>
      <c r="E875" s="53" t="e">
        <f>VLOOKUP(Table13[[#This Row],[kbli5]],kata_kunci!$B:$H,4,FALSE)</f>
        <v>#N/A</v>
      </c>
      <c r="F875" s="53" t="e">
        <f>VLOOKUP(Table13[[#This Row],[kbli5]],Table1[[#All],[kbli5]:[digital_hijau]],5,)</f>
        <v>#N/A</v>
      </c>
      <c r="G875" s="53" t="e">
        <f>VLOOKUP(Table13[[#This Row],[kbli5]],Table1[[#All],[kbli5]:[digital_hijau]],6,)</f>
        <v>#N/A</v>
      </c>
      <c r="H875" s="54" t="e">
        <f>VLOOKUP(Table13[[#This Row],[kbli5]],kata_kunci!$B:$H,3,FALSE)</f>
        <v>#N/A</v>
      </c>
      <c r="I875" s="84" t="e">
        <f>VLOOKUP(Table13[[#This Row],[kbli5]],kata_kunci!$B:$H,5,FALSE)</f>
        <v>#N/A</v>
      </c>
      <c r="J875" s="84" t="e">
        <f>VLOOKUP(Table13[[#This Row],[kbli5]],kata_kunci!$B:$H,6,FALSE)</f>
        <v>#N/A</v>
      </c>
      <c r="K875" s="84" t="e">
        <f>VLOOKUP(Table13[[#This Row],[kbli5]],kata_kunci!$B:$H,7,FALSE)</f>
        <v>#N/A</v>
      </c>
    </row>
    <row r="876" spans="1:11" ht="45.75" thickBot="1" x14ac:dyDescent="0.3">
      <c r="A876" s="53" t="s">
        <v>996</v>
      </c>
      <c r="B876" s="40">
        <v>47721</v>
      </c>
      <c r="C876" s="41" t="s">
        <v>1140</v>
      </c>
      <c r="D876" s="30" t="e">
        <f>VLOOKUP(Table13[[#This Row],[kbli5]],Table1[[#All],[kbli5]:[digital_hijau]],3,)</f>
        <v>#N/A</v>
      </c>
      <c r="E876" s="53" t="e">
        <f>VLOOKUP(Table13[[#This Row],[kbli5]],kata_kunci!$B:$H,4,FALSE)</f>
        <v>#N/A</v>
      </c>
      <c r="F876" s="53" t="e">
        <f>VLOOKUP(Table13[[#This Row],[kbli5]],Table1[[#All],[kbli5]:[digital_hijau]],5,)</f>
        <v>#N/A</v>
      </c>
      <c r="G876" s="53" t="e">
        <f>VLOOKUP(Table13[[#This Row],[kbli5]],Table1[[#All],[kbli5]:[digital_hijau]],6,)</f>
        <v>#N/A</v>
      </c>
      <c r="H876" s="54" t="e">
        <f>VLOOKUP(Table13[[#This Row],[kbli5]],kata_kunci!$B:$H,3,FALSE)</f>
        <v>#N/A</v>
      </c>
      <c r="I876" s="84" t="e">
        <f>VLOOKUP(Table13[[#This Row],[kbli5]],kata_kunci!$B:$H,5,FALSE)</f>
        <v>#N/A</v>
      </c>
      <c r="J876" s="84" t="e">
        <f>VLOOKUP(Table13[[#This Row],[kbli5]],kata_kunci!$B:$H,6,FALSE)</f>
        <v>#N/A</v>
      </c>
      <c r="K876" s="84" t="e">
        <f>VLOOKUP(Table13[[#This Row],[kbli5]],kata_kunci!$B:$H,7,FALSE)</f>
        <v>#N/A</v>
      </c>
    </row>
    <row r="877" spans="1:11" ht="45.75" thickBot="1" x14ac:dyDescent="0.3">
      <c r="A877" s="53" t="s">
        <v>996</v>
      </c>
      <c r="B877" s="40">
        <v>47722</v>
      </c>
      <c r="C877" s="41" t="s">
        <v>1141</v>
      </c>
      <c r="D877" s="30" t="e">
        <f>VLOOKUP(Table13[[#This Row],[kbli5]],Table1[[#All],[kbli5]:[digital_hijau]],3,)</f>
        <v>#N/A</v>
      </c>
      <c r="E877" s="53" t="e">
        <f>VLOOKUP(Table13[[#This Row],[kbli5]],kata_kunci!$B:$H,4,FALSE)</f>
        <v>#N/A</v>
      </c>
      <c r="F877" s="53" t="e">
        <f>VLOOKUP(Table13[[#This Row],[kbli5]],Table1[[#All],[kbli5]:[digital_hijau]],5,)</f>
        <v>#N/A</v>
      </c>
      <c r="G877" s="53" t="e">
        <f>VLOOKUP(Table13[[#This Row],[kbli5]],Table1[[#All],[kbli5]:[digital_hijau]],6,)</f>
        <v>#N/A</v>
      </c>
      <c r="H877" s="54" t="e">
        <f>VLOOKUP(Table13[[#This Row],[kbli5]],kata_kunci!$B:$H,3,FALSE)</f>
        <v>#N/A</v>
      </c>
      <c r="I877" s="84" t="e">
        <f>VLOOKUP(Table13[[#This Row],[kbli5]],kata_kunci!$B:$H,5,FALSE)</f>
        <v>#N/A</v>
      </c>
      <c r="J877" s="84" t="e">
        <f>VLOOKUP(Table13[[#This Row],[kbli5]],kata_kunci!$B:$H,6,FALSE)</f>
        <v>#N/A</v>
      </c>
      <c r="K877" s="84" t="e">
        <f>VLOOKUP(Table13[[#This Row],[kbli5]],kata_kunci!$B:$H,7,FALSE)</f>
        <v>#N/A</v>
      </c>
    </row>
    <row r="878" spans="1:11" ht="45.75" thickBot="1" x14ac:dyDescent="0.3">
      <c r="A878" s="53" t="s">
        <v>996</v>
      </c>
      <c r="B878" s="40">
        <v>47723</v>
      </c>
      <c r="C878" s="41" t="s">
        <v>1142</v>
      </c>
      <c r="D878" s="30" t="e">
        <f>VLOOKUP(Table13[[#This Row],[kbli5]],Table1[[#All],[kbli5]:[digital_hijau]],3,)</f>
        <v>#N/A</v>
      </c>
      <c r="E878" s="53" t="e">
        <f>VLOOKUP(Table13[[#This Row],[kbli5]],kata_kunci!$B:$H,4,FALSE)</f>
        <v>#N/A</v>
      </c>
      <c r="F878" s="53" t="e">
        <f>VLOOKUP(Table13[[#This Row],[kbli5]],Table1[[#All],[kbli5]:[digital_hijau]],5,)</f>
        <v>#N/A</v>
      </c>
      <c r="G878" s="53" t="e">
        <f>VLOOKUP(Table13[[#This Row],[kbli5]],Table1[[#All],[kbli5]:[digital_hijau]],6,)</f>
        <v>#N/A</v>
      </c>
      <c r="H878" s="54" t="e">
        <f>VLOOKUP(Table13[[#This Row],[kbli5]],kata_kunci!$B:$H,3,FALSE)</f>
        <v>#N/A</v>
      </c>
      <c r="I878" s="84" t="e">
        <f>VLOOKUP(Table13[[#This Row],[kbli5]],kata_kunci!$B:$H,5,FALSE)</f>
        <v>#N/A</v>
      </c>
      <c r="J878" s="84" t="e">
        <f>VLOOKUP(Table13[[#This Row],[kbli5]],kata_kunci!$B:$H,6,FALSE)</f>
        <v>#N/A</v>
      </c>
      <c r="K878" s="84" t="e">
        <f>VLOOKUP(Table13[[#This Row],[kbli5]],kata_kunci!$B:$H,7,FALSE)</f>
        <v>#N/A</v>
      </c>
    </row>
    <row r="879" spans="1:11" ht="30.75" thickBot="1" x14ac:dyDescent="0.3">
      <c r="A879" s="53" t="s">
        <v>996</v>
      </c>
      <c r="B879" s="40">
        <v>47724</v>
      </c>
      <c r="C879" s="41" t="s">
        <v>1143</v>
      </c>
      <c r="D879" s="30" t="e">
        <f>VLOOKUP(Table13[[#This Row],[kbli5]],Table1[[#All],[kbli5]:[digital_hijau]],3,)</f>
        <v>#N/A</v>
      </c>
      <c r="E879" s="53" t="e">
        <f>VLOOKUP(Table13[[#This Row],[kbli5]],kata_kunci!$B:$H,4,FALSE)</f>
        <v>#N/A</v>
      </c>
      <c r="F879" s="53" t="e">
        <f>VLOOKUP(Table13[[#This Row],[kbli5]],Table1[[#All],[kbli5]:[digital_hijau]],5,)</f>
        <v>#N/A</v>
      </c>
      <c r="G879" s="53" t="e">
        <f>VLOOKUP(Table13[[#This Row],[kbli5]],Table1[[#All],[kbli5]:[digital_hijau]],6,)</f>
        <v>#N/A</v>
      </c>
      <c r="H879" s="54" t="e">
        <f>VLOOKUP(Table13[[#This Row],[kbli5]],kata_kunci!$B:$H,3,FALSE)</f>
        <v>#N/A</v>
      </c>
      <c r="I879" s="84" t="e">
        <f>VLOOKUP(Table13[[#This Row],[kbli5]],kata_kunci!$B:$H,5,FALSE)</f>
        <v>#N/A</v>
      </c>
      <c r="J879" s="84" t="e">
        <f>VLOOKUP(Table13[[#This Row],[kbli5]],kata_kunci!$B:$H,6,FALSE)</f>
        <v>#N/A</v>
      </c>
      <c r="K879" s="84" t="e">
        <f>VLOOKUP(Table13[[#This Row],[kbli5]],kata_kunci!$B:$H,7,FALSE)</f>
        <v>#N/A</v>
      </c>
    </row>
    <row r="880" spans="1:11" ht="45.75" thickBot="1" x14ac:dyDescent="0.3">
      <c r="A880" s="53" t="s">
        <v>996</v>
      </c>
      <c r="B880" s="40">
        <v>47725</v>
      </c>
      <c r="C880" s="41" t="s">
        <v>1144</v>
      </c>
      <c r="D880" s="30" t="e">
        <f>VLOOKUP(Table13[[#This Row],[kbli5]],Table1[[#All],[kbli5]:[digital_hijau]],3,)</f>
        <v>#N/A</v>
      </c>
      <c r="E880" s="53" t="e">
        <f>VLOOKUP(Table13[[#This Row],[kbli5]],kata_kunci!$B:$H,4,FALSE)</f>
        <v>#N/A</v>
      </c>
      <c r="F880" s="53" t="e">
        <f>VLOOKUP(Table13[[#This Row],[kbli5]],Table1[[#All],[kbli5]:[digital_hijau]],5,)</f>
        <v>#N/A</v>
      </c>
      <c r="G880" s="53" t="e">
        <f>VLOOKUP(Table13[[#This Row],[kbli5]],Table1[[#All],[kbli5]:[digital_hijau]],6,)</f>
        <v>#N/A</v>
      </c>
      <c r="H880" s="54" t="e">
        <f>VLOOKUP(Table13[[#This Row],[kbli5]],kata_kunci!$B:$H,3,FALSE)</f>
        <v>#N/A</v>
      </c>
      <c r="I880" s="84" t="e">
        <f>VLOOKUP(Table13[[#This Row],[kbli5]],kata_kunci!$B:$H,5,FALSE)</f>
        <v>#N/A</v>
      </c>
      <c r="J880" s="84" t="e">
        <f>VLOOKUP(Table13[[#This Row],[kbli5]],kata_kunci!$B:$H,6,FALSE)</f>
        <v>#N/A</v>
      </c>
      <c r="K880" s="84" t="e">
        <f>VLOOKUP(Table13[[#This Row],[kbli5]],kata_kunci!$B:$H,7,FALSE)</f>
        <v>#N/A</v>
      </c>
    </row>
    <row r="881" spans="1:11" ht="45.75" thickBot="1" x14ac:dyDescent="0.3">
      <c r="A881" s="53" t="s">
        <v>996</v>
      </c>
      <c r="B881" s="40">
        <v>47726</v>
      </c>
      <c r="C881" s="41" t="s">
        <v>1145</v>
      </c>
      <c r="D881" s="30" t="e">
        <f>VLOOKUP(Table13[[#This Row],[kbli5]],Table1[[#All],[kbli5]:[digital_hijau]],3,)</f>
        <v>#N/A</v>
      </c>
      <c r="E881" s="53" t="e">
        <f>VLOOKUP(Table13[[#This Row],[kbli5]],kata_kunci!$B:$H,4,FALSE)</f>
        <v>#N/A</v>
      </c>
      <c r="F881" s="53" t="e">
        <f>VLOOKUP(Table13[[#This Row],[kbli5]],Table1[[#All],[kbli5]:[digital_hijau]],5,)</f>
        <v>#N/A</v>
      </c>
      <c r="G881" s="53" t="e">
        <f>VLOOKUP(Table13[[#This Row],[kbli5]],Table1[[#All],[kbli5]:[digital_hijau]],6,)</f>
        <v>#N/A</v>
      </c>
      <c r="H881" s="54" t="e">
        <f>VLOOKUP(Table13[[#This Row],[kbli5]],kata_kunci!$B:$H,3,FALSE)</f>
        <v>#N/A</v>
      </c>
      <c r="I881" s="84" t="e">
        <f>VLOOKUP(Table13[[#This Row],[kbli5]],kata_kunci!$B:$H,5,FALSE)</f>
        <v>#N/A</v>
      </c>
      <c r="J881" s="84" t="e">
        <f>VLOOKUP(Table13[[#This Row],[kbli5]],kata_kunci!$B:$H,6,FALSE)</f>
        <v>#N/A</v>
      </c>
      <c r="K881" s="84" t="e">
        <f>VLOOKUP(Table13[[#This Row],[kbli5]],kata_kunci!$B:$H,7,FALSE)</f>
        <v>#N/A</v>
      </c>
    </row>
    <row r="882" spans="1:11" ht="45.75" thickBot="1" x14ac:dyDescent="0.3">
      <c r="A882" s="53" t="s">
        <v>996</v>
      </c>
      <c r="B882" s="40">
        <v>47727</v>
      </c>
      <c r="C882" s="41" t="s">
        <v>1146</v>
      </c>
      <c r="D882" s="30" t="e">
        <f>VLOOKUP(Table13[[#This Row],[kbli5]],Table1[[#All],[kbli5]:[digital_hijau]],3,)</f>
        <v>#N/A</v>
      </c>
      <c r="E882" s="53" t="e">
        <f>VLOOKUP(Table13[[#This Row],[kbli5]],kata_kunci!$B:$H,4,FALSE)</f>
        <v>#N/A</v>
      </c>
      <c r="F882" s="53" t="e">
        <f>VLOOKUP(Table13[[#This Row],[kbli5]],Table1[[#All],[kbli5]:[digital_hijau]],5,)</f>
        <v>#N/A</v>
      </c>
      <c r="G882" s="53" t="e">
        <f>VLOOKUP(Table13[[#This Row],[kbli5]],Table1[[#All],[kbli5]:[digital_hijau]],6,)</f>
        <v>#N/A</v>
      </c>
      <c r="H882" s="54" t="e">
        <f>VLOOKUP(Table13[[#This Row],[kbli5]],kata_kunci!$B:$H,3,FALSE)</f>
        <v>#N/A</v>
      </c>
      <c r="I882" s="84" t="e">
        <f>VLOOKUP(Table13[[#This Row],[kbli5]],kata_kunci!$B:$H,5,FALSE)</f>
        <v>#N/A</v>
      </c>
      <c r="J882" s="84" t="e">
        <f>VLOOKUP(Table13[[#This Row],[kbli5]],kata_kunci!$B:$H,6,FALSE)</f>
        <v>#N/A</v>
      </c>
      <c r="K882" s="84" t="e">
        <f>VLOOKUP(Table13[[#This Row],[kbli5]],kata_kunci!$B:$H,7,FALSE)</f>
        <v>#N/A</v>
      </c>
    </row>
    <row r="883" spans="1:11" ht="30.75" thickBot="1" x14ac:dyDescent="0.3">
      <c r="A883" s="53" t="s">
        <v>996</v>
      </c>
      <c r="B883" s="40">
        <v>47728</v>
      </c>
      <c r="C883" s="41" t="s">
        <v>1147</v>
      </c>
      <c r="D883" s="30" t="e">
        <f>VLOOKUP(Table13[[#This Row],[kbli5]],Table1[[#All],[kbli5]:[digital_hijau]],3,)</f>
        <v>#N/A</v>
      </c>
      <c r="E883" s="53" t="e">
        <f>VLOOKUP(Table13[[#This Row],[kbli5]],kata_kunci!$B:$H,4,FALSE)</f>
        <v>#N/A</v>
      </c>
      <c r="F883" s="53" t="e">
        <f>VLOOKUP(Table13[[#This Row],[kbli5]],Table1[[#All],[kbli5]:[digital_hijau]],5,)</f>
        <v>#N/A</v>
      </c>
      <c r="G883" s="53" t="e">
        <f>VLOOKUP(Table13[[#This Row],[kbli5]],Table1[[#All],[kbli5]:[digital_hijau]],6,)</f>
        <v>#N/A</v>
      </c>
      <c r="H883" s="54" t="e">
        <f>VLOOKUP(Table13[[#This Row],[kbli5]],kata_kunci!$B:$H,3,FALSE)</f>
        <v>#N/A</v>
      </c>
      <c r="I883" s="84" t="e">
        <f>VLOOKUP(Table13[[#This Row],[kbli5]],kata_kunci!$B:$H,5,FALSE)</f>
        <v>#N/A</v>
      </c>
      <c r="J883" s="84" t="e">
        <f>VLOOKUP(Table13[[#This Row],[kbli5]],kata_kunci!$B:$H,6,FALSE)</f>
        <v>#N/A</v>
      </c>
      <c r="K883" s="84" t="e">
        <f>VLOOKUP(Table13[[#This Row],[kbli5]],kata_kunci!$B:$H,7,FALSE)</f>
        <v>#N/A</v>
      </c>
    </row>
    <row r="884" spans="1:11" ht="45.75" thickBot="1" x14ac:dyDescent="0.3">
      <c r="A884" s="53" t="s">
        <v>996</v>
      </c>
      <c r="B884" s="40">
        <v>47729</v>
      </c>
      <c r="C884" s="41" t="s">
        <v>1148</v>
      </c>
      <c r="D884" s="30" t="e">
        <f>VLOOKUP(Table13[[#This Row],[kbli5]],Table1[[#All],[kbli5]:[digital_hijau]],3,)</f>
        <v>#N/A</v>
      </c>
      <c r="E884" s="53" t="e">
        <f>VLOOKUP(Table13[[#This Row],[kbli5]],kata_kunci!$B:$H,4,FALSE)</f>
        <v>#N/A</v>
      </c>
      <c r="F884" s="53" t="e">
        <f>VLOOKUP(Table13[[#This Row],[kbli5]],Table1[[#All],[kbli5]:[digital_hijau]],5,)</f>
        <v>#N/A</v>
      </c>
      <c r="G884" s="53" t="e">
        <f>VLOOKUP(Table13[[#This Row],[kbli5]],Table1[[#All],[kbli5]:[digital_hijau]],6,)</f>
        <v>#N/A</v>
      </c>
      <c r="H884" s="54" t="e">
        <f>VLOOKUP(Table13[[#This Row],[kbli5]],kata_kunci!$B:$H,3,FALSE)</f>
        <v>#N/A</v>
      </c>
      <c r="I884" s="84" t="e">
        <f>VLOOKUP(Table13[[#This Row],[kbli5]],kata_kunci!$B:$H,5,FALSE)</f>
        <v>#N/A</v>
      </c>
      <c r="J884" s="84" t="e">
        <f>VLOOKUP(Table13[[#This Row],[kbli5]],kata_kunci!$B:$H,6,FALSE)</f>
        <v>#N/A</v>
      </c>
      <c r="K884" s="84" t="e">
        <f>VLOOKUP(Table13[[#This Row],[kbli5]],kata_kunci!$B:$H,7,FALSE)</f>
        <v>#N/A</v>
      </c>
    </row>
    <row r="885" spans="1:11" ht="45.75" thickBot="1" x14ac:dyDescent="0.3">
      <c r="A885" s="53" t="s">
        <v>996</v>
      </c>
      <c r="B885" s="40">
        <v>47731</v>
      </c>
      <c r="C885" s="41" t="s">
        <v>1149</v>
      </c>
      <c r="D885" s="30" t="e">
        <f>VLOOKUP(Table13[[#This Row],[kbli5]],Table1[[#All],[kbli5]:[digital_hijau]],3,)</f>
        <v>#N/A</v>
      </c>
      <c r="E885" s="53" t="e">
        <f>VLOOKUP(Table13[[#This Row],[kbli5]],kata_kunci!$B:$H,4,FALSE)</f>
        <v>#N/A</v>
      </c>
      <c r="F885" s="53" t="e">
        <f>VLOOKUP(Table13[[#This Row],[kbli5]],Table1[[#All],[kbli5]:[digital_hijau]],5,)</f>
        <v>#N/A</v>
      </c>
      <c r="G885" s="53" t="e">
        <f>VLOOKUP(Table13[[#This Row],[kbli5]],Table1[[#All],[kbli5]:[digital_hijau]],6,)</f>
        <v>#N/A</v>
      </c>
      <c r="H885" s="54" t="e">
        <f>VLOOKUP(Table13[[#This Row],[kbli5]],kata_kunci!$B:$H,3,FALSE)</f>
        <v>#N/A</v>
      </c>
      <c r="I885" s="84" t="e">
        <f>VLOOKUP(Table13[[#This Row],[kbli5]],kata_kunci!$B:$H,5,FALSE)</f>
        <v>#N/A</v>
      </c>
      <c r="J885" s="84" t="e">
        <f>VLOOKUP(Table13[[#This Row],[kbli5]],kata_kunci!$B:$H,6,FALSE)</f>
        <v>#N/A</v>
      </c>
      <c r="K885" s="84" t="e">
        <f>VLOOKUP(Table13[[#This Row],[kbli5]],kata_kunci!$B:$H,7,FALSE)</f>
        <v>#N/A</v>
      </c>
    </row>
    <row r="886" spans="1:11" ht="45.75" thickBot="1" x14ac:dyDescent="0.3">
      <c r="A886" s="53" t="s">
        <v>996</v>
      </c>
      <c r="B886" s="40">
        <v>47732</v>
      </c>
      <c r="C886" s="41" t="s">
        <v>1150</v>
      </c>
      <c r="D886" s="30" t="e">
        <f>VLOOKUP(Table13[[#This Row],[kbli5]],Table1[[#All],[kbli5]:[digital_hijau]],3,)</f>
        <v>#N/A</v>
      </c>
      <c r="E886" s="53" t="e">
        <f>VLOOKUP(Table13[[#This Row],[kbli5]],kata_kunci!$B:$H,4,FALSE)</f>
        <v>#N/A</v>
      </c>
      <c r="F886" s="53" t="e">
        <f>VLOOKUP(Table13[[#This Row],[kbli5]],Table1[[#All],[kbli5]:[digital_hijau]],5,)</f>
        <v>#N/A</v>
      </c>
      <c r="G886" s="53" t="e">
        <f>VLOOKUP(Table13[[#This Row],[kbli5]],Table1[[#All],[kbli5]:[digital_hijau]],6,)</f>
        <v>#N/A</v>
      </c>
      <c r="H886" s="54" t="e">
        <f>VLOOKUP(Table13[[#This Row],[kbli5]],kata_kunci!$B:$H,3,FALSE)</f>
        <v>#N/A</v>
      </c>
      <c r="I886" s="84" t="e">
        <f>VLOOKUP(Table13[[#This Row],[kbli5]],kata_kunci!$B:$H,5,FALSE)</f>
        <v>#N/A</v>
      </c>
      <c r="J886" s="84" t="e">
        <f>VLOOKUP(Table13[[#This Row],[kbli5]],kata_kunci!$B:$H,6,FALSE)</f>
        <v>#N/A</v>
      </c>
      <c r="K886" s="84" t="e">
        <f>VLOOKUP(Table13[[#This Row],[kbli5]],kata_kunci!$B:$H,7,FALSE)</f>
        <v>#N/A</v>
      </c>
    </row>
    <row r="887" spans="1:11" ht="30.75" thickBot="1" x14ac:dyDescent="0.3">
      <c r="A887" s="53" t="s">
        <v>996</v>
      </c>
      <c r="B887" s="40">
        <v>47733</v>
      </c>
      <c r="C887" s="41" t="s">
        <v>1151</v>
      </c>
      <c r="D887" s="30" t="e">
        <f>VLOOKUP(Table13[[#This Row],[kbli5]],Table1[[#All],[kbli5]:[digital_hijau]],3,)</f>
        <v>#N/A</v>
      </c>
      <c r="E887" s="53" t="e">
        <f>VLOOKUP(Table13[[#This Row],[kbli5]],kata_kunci!$B:$H,4,FALSE)</f>
        <v>#N/A</v>
      </c>
      <c r="F887" s="53" t="e">
        <f>VLOOKUP(Table13[[#This Row],[kbli5]],Table1[[#All],[kbli5]:[digital_hijau]],5,)</f>
        <v>#N/A</v>
      </c>
      <c r="G887" s="53" t="e">
        <f>VLOOKUP(Table13[[#This Row],[kbli5]],Table1[[#All],[kbli5]:[digital_hijau]],6,)</f>
        <v>#N/A</v>
      </c>
      <c r="H887" s="54" t="e">
        <f>VLOOKUP(Table13[[#This Row],[kbli5]],kata_kunci!$B:$H,3,FALSE)</f>
        <v>#N/A</v>
      </c>
      <c r="I887" s="84" t="e">
        <f>VLOOKUP(Table13[[#This Row],[kbli5]],kata_kunci!$B:$H,5,FALSE)</f>
        <v>#N/A</v>
      </c>
      <c r="J887" s="84" t="e">
        <f>VLOOKUP(Table13[[#This Row],[kbli5]],kata_kunci!$B:$H,6,FALSE)</f>
        <v>#N/A</v>
      </c>
      <c r="K887" s="84" t="e">
        <f>VLOOKUP(Table13[[#This Row],[kbli5]],kata_kunci!$B:$H,7,FALSE)</f>
        <v>#N/A</v>
      </c>
    </row>
    <row r="888" spans="1:11" ht="30.75" thickBot="1" x14ac:dyDescent="0.3">
      <c r="A888" s="53" t="s">
        <v>996</v>
      </c>
      <c r="B888" s="40">
        <v>47734</v>
      </c>
      <c r="C888" s="41" t="s">
        <v>1152</v>
      </c>
      <c r="D888" s="30" t="e">
        <f>VLOOKUP(Table13[[#This Row],[kbli5]],Table1[[#All],[kbli5]:[digital_hijau]],3,)</f>
        <v>#N/A</v>
      </c>
      <c r="E888" s="53" t="e">
        <f>VLOOKUP(Table13[[#This Row],[kbli5]],kata_kunci!$B:$H,4,FALSE)</f>
        <v>#N/A</v>
      </c>
      <c r="F888" s="53" t="e">
        <f>VLOOKUP(Table13[[#This Row],[kbli5]],Table1[[#All],[kbli5]:[digital_hijau]],5,)</f>
        <v>#N/A</v>
      </c>
      <c r="G888" s="53" t="e">
        <f>VLOOKUP(Table13[[#This Row],[kbli5]],Table1[[#All],[kbli5]:[digital_hijau]],6,)</f>
        <v>#N/A</v>
      </c>
      <c r="H888" s="54" t="e">
        <f>VLOOKUP(Table13[[#This Row],[kbli5]],kata_kunci!$B:$H,3,FALSE)</f>
        <v>#N/A</v>
      </c>
      <c r="I888" s="84" t="e">
        <f>VLOOKUP(Table13[[#This Row],[kbli5]],kata_kunci!$B:$H,5,FALSE)</f>
        <v>#N/A</v>
      </c>
      <c r="J888" s="84" t="e">
        <f>VLOOKUP(Table13[[#This Row],[kbli5]],kata_kunci!$B:$H,6,FALSE)</f>
        <v>#N/A</v>
      </c>
      <c r="K888" s="84" t="e">
        <f>VLOOKUP(Table13[[#This Row],[kbli5]],kata_kunci!$B:$H,7,FALSE)</f>
        <v>#N/A</v>
      </c>
    </row>
    <row r="889" spans="1:11" ht="30.75" thickBot="1" x14ac:dyDescent="0.3">
      <c r="A889" s="53" t="s">
        <v>996</v>
      </c>
      <c r="B889" s="40">
        <v>47735</v>
      </c>
      <c r="C889" s="41" t="s">
        <v>1153</v>
      </c>
      <c r="D889" s="30" t="e">
        <f>VLOOKUP(Table13[[#This Row],[kbli5]],Table1[[#All],[kbli5]:[digital_hijau]],3,)</f>
        <v>#N/A</v>
      </c>
      <c r="E889" s="53" t="e">
        <f>VLOOKUP(Table13[[#This Row],[kbli5]],kata_kunci!$B:$H,4,FALSE)</f>
        <v>#N/A</v>
      </c>
      <c r="F889" s="53" t="e">
        <f>VLOOKUP(Table13[[#This Row],[kbli5]],Table1[[#All],[kbli5]:[digital_hijau]],5,)</f>
        <v>#N/A</v>
      </c>
      <c r="G889" s="53" t="e">
        <f>VLOOKUP(Table13[[#This Row],[kbli5]],Table1[[#All],[kbli5]:[digital_hijau]],6,)</f>
        <v>#N/A</v>
      </c>
      <c r="H889" s="54" t="e">
        <f>VLOOKUP(Table13[[#This Row],[kbli5]],kata_kunci!$B:$H,3,FALSE)</f>
        <v>#N/A</v>
      </c>
      <c r="I889" s="84" t="e">
        <f>VLOOKUP(Table13[[#This Row],[kbli5]],kata_kunci!$B:$H,5,FALSE)</f>
        <v>#N/A</v>
      </c>
      <c r="J889" s="84" t="e">
        <f>VLOOKUP(Table13[[#This Row],[kbli5]],kata_kunci!$B:$H,6,FALSE)</f>
        <v>#N/A</v>
      </c>
      <c r="K889" s="84" t="e">
        <f>VLOOKUP(Table13[[#This Row],[kbli5]],kata_kunci!$B:$H,7,FALSE)</f>
        <v>#N/A</v>
      </c>
    </row>
    <row r="890" spans="1:11" ht="45.75" thickBot="1" x14ac:dyDescent="0.3">
      <c r="A890" s="53" t="s">
        <v>996</v>
      </c>
      <c r="B890" s="40">
        <v>47741</v>
      </c>
      <c r="C890" s="41" t="s">
        <v>1154</v>
      </c>
      <c r="D890" s="30" t="e">
        <f>VLOOKUP(Table13[[#This Row],[kbli5]],Table1[[#All],[kbli5]:[digital_hijau]],3,)</f>
        <v>#N/A</v>
      </c>
      <c r="E890" s="53" t="e">
        <f>VLOOKUP(Table13[[#This Row],[kbli5]],kata_kunci!$B:$H,4,FALSE)</f>
        <v>#N/A</v>
      </c>
      <c r="F890" s="53" t="e">
        <f>VLOOKUP(Table13[[#This Row],[kbli5]],Table1[[#All],[kbli5]:[digital_hijau]],5,)</f>
        <v>#N/A</v>
      </c>
      <c r="G890" s="53" t="e">
        <f>VLOOKUP(Table13[[#This Row],[kbli5]],Table1[[#All],[kbli5]:[digital_hijau]],6,)</f>
        <v>#N/A</v>
      </c>
      <c r="H890" s="54" t="e">
        <f>VLOOKUP(Table13[[#This Row],[kbli5]],kata_kunci!$B:$H,3,FALSE)</f>
        <v>#N/A</v>
      </c>
      <c r="I890" s="84" t="e">
        <f>VLOOKUP(Table13[[#This Row],[kbli5]],kata_kunci!$B:$H,5,FALSE)</f>
        <v>#N/A</v>
      </c>
      <c r="J890" s="84" t="e">
        <f>VLOOKUP(Table13[[#This Row],[kbli5]],kata_kunci!$B:$H,6,FALSE)</f>
        <v>#N/A</v>
      </c>
      <c r="K890" s="84" t="e">
        <f>VLOOKUP(Table13[[#This Row],[kbli5]],kata_kunci!$B:$H,7,FALSE)</f>
        <v>#N/A</v>
      </c>
    </row>
    <row r="891" spans="1:11" ht="45.75" thickBot="1" x14ac:dyDescent="0.3">
      <c r="A891" s="53" t="s">
        <v>996</v>
      </c>
      <c r="B891" s="40">
        <v>47742</v>
      </c>
      <c r="C891" s="41" t="s">
        <v>1155</v>
      </c>
      <c r="D891" s="30" t="e">
        <f>VLOOKUP(Table13[[#This Row],[kbli5]],Table1[[#All],[kbli5]:[digital_hijau]],3,)</f>
        <v>#N/A</v>
      </c>
      <c r="E891" s="53" t="e">
        <f>VLOOKUP(Table13[[#This Row],[kbli5]],kata_kunci!$B:$H,4,FALSE)</f>
        <v>#N/A</v>
      </c>
      <c r="F891" s="53" t="e">
        <f>VLOOKUP(Table13[[#This Row],[kbli5]],Table1[[#All],[kbli5]:[digital_hijau]],5,)</f>
        <v>#N/A</v>
      </c>
      <c r="G891" s="53" t="e">
        <f>VLOOKUP(Table13[[#This Row],[kbli5]],Table1[[#All],[kbli5]:[digital_hijau]],6,)</f>
        <v>#N/A</v>
      </c>
      <c r="H891" s="54" t="e">
        <f>VLOOKUP(Table13[[#This Row],[kbli5]],kata_kunci!$B:$H,3,FALSE)</f>
        <v>#N/A</v>
      </c>
      <c r="I891" s="84" t="e">
        <f>VLOOKUP(Table13[[#This Row],[kbli5]],kata_kunci!$B:$H,5,FALSE)</f>
        <v>#N/A</v>
      </c>
      <c r="J891" s="84" t="e">
        <f>VLOOKUP(Table13[[#This Row],[kbli5]],kata_kunci!$B:$H,6,FALSE)</f>
        <v>#N/A</v>
      </c>
      <c r="K891" s="84" t="e">
        <f>VLOOKUP(Table13[[#This Row],[kbli5]],kata_kunci!$B:$H,7,FALSE)</f>
        <v>#N/A</v>
      </c>
    </row>
    <row r="892" spans="1:11" ht="45.75" thickBot="1" x14ac:dyDescent="0.3">
      <c r="A892" s="53" t="s">
        <v>996</v>
      </c>
      <c r="B892" s="40">
        <v>47743</v>
      </c>
      <c r="C892" s="41" t="s">
        <v>1156</v>
      </c>
      <c r="D892" s="30" t="e">
        <f>VLOOKUP(Table13[[#This Row],[kbli5]],Table1[[#All],[kbli5]:[digital_hijau]],3,)</f>
        <v>#N/A</v>
      </c>
      <c r="E892" s="53" t="e">
        <f>VLOOKUP(Table13[[#This Row],[kbli5]],kata_kunci!$B:$H,4,FALSE)</f>
        <v>#N/A</v>
      </c>
      <c r="F892" s="53" t="e">
        <f>VLOOKUP(Table13[[#This Row],[kbli5]],Table1[[#All],[kbli5]:[digital_hijau]],5,)</f>
        <v>#N/A</v>
      </c>
      <c r="G892" s="53" t="e">
        <f>VLOOKUP(Table13[[#This Row],[kbli5]],Table1[[#All],[kbli5]:[digital_hijau]],6,)</f>
        <v>#N/A</v>
      </c>
      <c r="H892" s="54" t="e">
        <f>VLOOKUP(Table13[[#This Row],[kbli5]],kata_kunci!$B:$H,3,FALSE)</f>
        <v>#N/A</v>
      </c>
      <c r="I892" s="84" t="e">
        <f>VLOOKUP(Table13[[#This Row],[kbli5]],kata_kunci!$B:$H,5,FALSE)</f>
        <v>#N/A</v>
      </c>
      <c r="J892" s="84" t="e">
        <f>VLOOKUP(Table13[[#This Row],[kbli5]],kata_kunci!$B:$H,6,FALSE)</f>
        <v>#N/A</v>
      </c>
      <c r="K892" s="84" t="e">
        <f>VLOOKUP(Table13[[#This Row],[kbli5]],kata_kunci!$B:$H,7,FALSE)</f>
        <v>#N/A</v>
      </c>
    </row>
    <row r="893" spans="1:11" ht="45.75" thickBot="1" x14ac:dyDescent="0.3">
      <c r="A893" s="53" t="s">
        <v>996</v>
      </c>
      <c r="B893" s="40">
        <v>47744</v>
      </c>
      <c r="C893" s="41" t="s">
        <v>1157</v>
      </c>
      <c r="D893" s="30" t="e">
        <f>VLOOKUP(Table13[[#This Row],[kbli5]],Table1[[#All],[kbli5]:[digital_hijau]],3,)</f>
        <v>#N/A</v>
      </c>
      <c r="E893" s="53" t="e">
        <f>VLOOKUP(Table13[[#This Row],[kbli5]],kata_kunci!$B:$H,4,FALSE)</f>
        <v>#N/A</v>
      </c>
      <c r="F893" s="53" t="e">
        <f>VLOOKUP(Table13[[#This Row],[kbli5]],Table1[[#All],[kbli5]:[digital_hijau]],5,)</f>
        <v>#N/A</v>
      </c>
      <c r="G893" s="53" t="e">
        <f>VLOOKUP(Table13[[#This Row],[kbli5]],Table1[[#All],[kbli5]:[digital_hijau]],6,)</f>
        <v>#N/A</v>
      </c>
      <c r="H893" s="54" t="e">
        <f>VLOOKUP(Table13[[#This Row],[kbli5]],kata_kunci!$B:$H,3,FALSE)</f>
        <v>#N/A</v>
      </c>
      <c r="I893" s="84" t="e">
        <f>VLOOKUP(Table13[[#This Row],[kbli5]],kata_kunci!$B:$H,5,FALSE)</f>
        <v>#N/A</v>
      </c>
      <c r="J893" s="84" t="e">
        <f>VLOOKUP(Table13[[#This Row],[kbli5]],kata_kunci!$B:$H,6,FALSE)</f>
        <v>#N/A</v>
      </c>
      <c r="K893" s="84" t="e">
        <f>VLOOKUP(Table13[[#This Row],[kbli5]],kata_kunci!$B:$H,7,FALSE)</f>
        <v>#N/A</v>
      </c>
    </row>
    <row r="894" spans="1:11" ht="45.75" thickBot="1" x14ac:dyDescent="0.3">
      <c r="A894" s="53" t="s">
        <v>996</v>
      </c>
      <c r="B894" s="40">
        <v>47745</v>
      </c>
      <c r="C894" s="41" t="s">
        <v>1158</v>
      </c>
      <c r="D894" s="30" t="e">
        <f>VLOOKUP(Table13[[#This Row],[kbli5]],Table1[[#All],[kbli5]:[digital_hijau]],3,)</f>
        <v>#N/A</v>
      </c>
      <c r="E894" s="53" t="e">
        <f>VLOOKUP(Table13[[#This Row],[kbli5]],kata_kunci!$B:$H,4,FALSE)</f>
        <v>#N/A</v>
      </c>
      <c r="F894" s="53" t="e">
        <f>VLOOKUP(Table13[[#This Row],[kbli5]],Table1[[#All],[kbli5]:[digital_hijau]],5,)</f>
        <v>#N/A</v>
      </c>
      <c r="G894" s="53" t="e">
        <f>VLOOKUP(Table13[[#This Row],[kbli5]],Table1[[#All],[kbli5]:[digital_hijau]],6,)</f>
        <v>#N/A</v>
      </c>
      <c r="H894" s="54" t="e">
        <f>VLOOKUP(Table13[[#This Row],[kbli5]],kata_kunci!$B:$H,3,FALSE)</f>
        <v>#N/A</v>
      </c>
      <c r="I894" s="84" t="e">
        <f>VLOOKUP(Table13[[#This Row],[kbli5]],kata_kunci!$B:$H,5,FALSE)</f>
        <v>#N/A</v>
      </c>
      <c r="J894" s="84" t="e">
        <f>VLOOKUP(Table13[[#This Row],[kbli5]],kata_kunci!$B:$H,6,FALSE)</f>
        <v>#N/A</v>
      </c>
      <c r="K894" s="84" t="e">
        <f>VLOOKUP(Table13[[#This Row],[kbli5]],kata_kunci!$B:$H,7,FALSE)</f>
        <v>#N/A</v>
      </c>
    </row>
    <row r="895" spans="1:11" ht="30.75" thickBot="1" x14ac:dyDescent="0.3">
      <c r="A895" s="53" t="s">
        <v>996</v>
      </c>
      <c r="B895" s="40">
        <v>47746</v>
      </c>
      <c r="C895" s="41" t="s">
        <v>1159</v>
      </c>
      <c r="D895" s="30" t="e">
        <f>VLOOKUP(Table13[[#This Row],[kbli5]],Table1[[#All],[kbli5]:[digital_hijau]],3,)</f>
        <v>#N/A</v>
      </c>
      <c r="E895" s="53" t="e">
        <f>VLOOKUP(Table13[[#This Row],[kbli5]],kata_kunci!$B:$H,4,FALSE)</f>
        <v>#N/A</v>
      </c>
      <c r="F895" s="53" t="e">
        <f>VLOOKUP(Table13[[#This Row],[kbli5]],Table1[[#All],[kbli5]:[digital_hijau]],5,)</f>
        <v>#N/A</v>
      </c>
      <c r="G895" s="53" t="e">
        <f>VLOOKUP(Table13[[#This Row],[kbli5]],Table1[[#All],[kbli5]:[digital_hijau]],6,)</f>
        <v>#N/A</v>
      </c>
      <c r="H895" s="54" t="e">
        <f>VLOOKUP(Table13[[#This Row],[kbli5]],kata_kunci!$B:$H,3,FALSE)</f>
        <v>#N/A</v>
      </c>
      <c r="I895" s="84" t="e">
        <f>VLOOKUP(Table13[[#This Row],[kbli5]],kata_kunci!$B:$H,5,FALSE)</f>
        <v>#N/A</v>
      </c>
      <c r="J895" s="84" t="e">
        <f>VLOOKUP(Table13[[#This Row],[kbli5]],kata_kunci!$B:$H,6,FALSE)</f>
        <v>#N/A</v>
      </c>
      <c r="K895" s="84" t="e">
        <f>VLOOKUP(Table13[[#This Row],[kbli5]],kata_kunci!$B:$H,7,FALSE)</f>
        <v>#N/A</v>
      </c>
    </row>
    <row r="896" spans="1:11" ht="30.75" thickBot="1" x14ac:dyDescent="0.3">
      <c r="A896" s="53" t="s">
        <v>996</v>
      </c>
      <c r="B896" s="40">
        <v>47749</v>
      </c>
      <c r="C896" s="41" t="s">
        <v>1160</v>
      </c>
      <c r="D896" s="30" t="e">
        <f>VLOOKUP(Table13[[#This Row],[kbli5]],Table1[[#All],[kbli5]:[digital_hijau]],3,)</f>
        <v>#N/A</v>
      </c>
      <c r="E896" s="53" t="e">
        <f>VLOOKUP(Table13[[#This Row],[kbli5]],kata_kunci!$B:$H,4,FALSE)</f>
        <v>#N/A</v>
      </c>
      <c r="F896" s="53" t="e">
        <f>VLOOKUP(Table13[[#This Row],[kbli5]],Table1[[#All],[kbli5]:[digital_hijau]],5,)</f>
        <v>#N/A</v>
      </c>
      <c r="G896" s="53" t="e">
        <f>VLOOKUP(Table13[[#This Row],[kbli5]],Table1[[#All],[kbli5]:[digital_hijau]],6,)</f>
        <v>#N/A</v>
      </c>
      <c r="H896" s="54" t="e">
        <f>VLOOKUP(Table13[[#This Row],[kbli5]],kata_kunci!$B:$H,3,FALSE)</f>
        <v>#N/A</v>
      </c>
      <c r="I896" s="84" t="e">
        <f>VLOOKUP(Table13[[#This Row],[kbli5]],kata_kunci!$B:$H,5,FALSE)</f>
        <v>#N/A</v>
      </c>
      <c r="J896" s="84" t="e">
        <f>VLOOKUP(Table13[[#This Row],[kbli5]],kata_kunci!$B:$H,6,FALSE)</f>
        <v>#N/A</v>
      </c>
      <c r="K896" s="84" t="e">
        <f>VLOOKUP(Table13[[#This Row],[kbli5]],kata_kunci!$B:$H,7,FALSE)</f>
        <v>#N/A</v>
      </c>
    </row>
    <row r="897" spans="1:11" ht="45.75" thickBot="1" x14ac:dyDescent="0.3">
      <c r="A897" s="53" t="s">
        <v>996</v>
      </c>
      <c r="B897" s="40">
        <v>47751</v>
      </c>
      <c r="C897" s="41" t="s">
        <v>1161</v>
      </c>
      <c r="D897" s="30" t="e">
        <f>VLOOKUP(Table13[[#This Row],[kbli5]],Table1[[#All],[kbli5]:[digital_hijau]],3,)</f>
        <v>#N/A</v>
      </c>
      <c r="E897" s="53" t="e">
        <f>VLOOKUP(Table13[[#This Row],[kbli5]],kata_kunci!$B:$H,4,FALSE)</f>
        <v>#N/A</v>
      </c>
      <c r="F897" s="53" t="e">
        <f>VLOOKUP(Table13[[#This Row],[kbli5]],Table1[[#All],[kbli5]:[digital_hijau]],5,)</f>
        <v>#N/A</v>
      </c>
      <c r="G897" s="53" t="e">
        <f>VLOOKUP(Table13[[#This Row],[kbli5]],Table1[[#All],[kbli5]:[digital_hijau]],6,)</f>
        <v>#N/A</v>
      </c>
      <c r="H897" s="54" t="e">
        <f>VLOOKUP(Table13[[#This Row],[kbli5]],kata_kunci!$B:$H,3,FALSE)</f>
        <v>#N/A</v>
      </c>
      <c r="I897" s="84" t="e">
        <f>VLOOKUP(Table13[[#This Row],[kbli5]],kata_kunci!$B:$H,5,FALSE)</f>
        <v>#N/A</v>
      </c>
      <c r="J897" s="84" t="e">
        <f>VLOOKUP(Table13[[#This Row],[kbli5]],kata_kunci!$B:$H,6,FALSE)</f>
        <v>#N/A</v>
      </c>
      <c r="K897" s="84" t="e">
        <f>VLOOKUP(Table13[[#This Row],[kbli5]],kata_kunci!$B:$H,7,FALSE)</f>
        <v>#N/A</v>
      </c>
    </row>
    <row r="898" spans="1:11" ht="45.75" thickBot="1" x14ac:dyDescent="0.3">
      <c r="A898" s="53" t="s">
        <v>996</v>
      </c>
      <c r="B898" s="40">
        <v>47752</v>
      </c>
      <c r="C898" s="41" t="s">
        <v>1162</v>
      </c>
      <c r="D898" s="30" t="e">
        <f>VLOOKUP(Table13[[#This Row],[kbli5]],Table1[[#All],[kbli5]:[digital_hijau]],3,)</f>
        <v>#N/A</v>
      </c>
      <c r="E898" s="53" t="e">
        <f>VLOOKUP(Table13[[#This Row],[kbli5]],kata_kunci!$B:$H,4,FALSE)</f>
        <v>#N/A</v>
      </c>
      <c r="F898" s="53" t="e">
        <f>VLOOKUP(Table13[[#This Row],[kbli5]],Table1[[#All],[kbli5]:[digital_hijau]],5,)</f>
        <v>#N/A</v>
      </c>
      <c r="G898" s="53" t="e">
        <f>VLOOKUP(Table13[[#This Row],[kbli5]],Table1[[#All],[kbli5]:[digital_hijau]],6,)</f>
        <v>#N/A</v>
      </c>
      <c r="H898" s="54" t="e">
        <f>VLOOKUP(Table13[[#This Row],[kbli5]],kata_kunci!$B:$H,3,FALSE)</f>
        <v>#N/A</v>
      </c>
      <c r="I898" s="84" t="e">
        <f>VLOOKUP(Table13[[#This Row],[kbli5]],kata_kunci!$B:$H,5,FALSE)</f>
        <v>#N/A</v>
      </c>
      <c r="J898" s="84" t="e">
        <f>VLOOKUP(Table13[[#This Row],[kbli5]],kata_kunci!$B:$H,6,FALSE)</f>
        <v>#N/A</v>
      </c>
      <c r="K898" s="84" t="e">
        <f>VLOOKUP(Table13[[#This Row],[kbli5]],kata_kunci!$B:$H,7,FALSE)</f>
        <v>#N/A</v>
      </c>
    </row>
    <row r="899" spans="1:11" ht="45.75" thickBot="1" x14ac:dyDescent="0.3">
      <c r="A899" s="53" t="s">
        <v>996</v>
      </c>
      <c r="B899" s="40">
        <v>47753</v>
      </c>
      <c r="C899" s="41" t="s">
        <v>1163</v>
      </c>
      <c r="D899" s="30" t="e">
        <f>VLOOKUP(Table13[[#This Row],[kbli5]],Table1[[#All],[kbli5]:[digital_hijau]],3,)</f>
        <v>#N/A</v>
      </c>
      <c r="E899" s="53" t="e">
        <f>VLOOKUP(Table13[[#This Row],[kbli5]],kata_kunci!$B:$H,4,FALSE)</f>
        <v>#N/A</v>
      </c>
      <c r="F899" s="53" t="e">
        <f>VLOOKUP(Table13[[#This Row],[kbli5]],Table1[[#All],[kbli5]:[digital_hijau]],5,)</f>
        <v>#N/A</v>
      </c>
      <c r="G899" s="53" t="e">
        <f>VLOOKUP(Table13[[#This Row],[kbli5]],Table1[[#All],[kbli5]:[digital_hijau]],6,)</f>
        <v>#N/A</v>
      </c>
      <c r="H899" s="54" t="e">
        <f>VLOOKUP(Table13[[#This Row],[kbli5]],kata_kunci!$B:$H,3,FALSE)</f>
        <v>#N/A</v>
      </c>
      <c r="I899" s="84" t="e">
        <f>VLOOKUP(Table13[[#This Row],[kbli5]],kata_kunci!$B:$H,5,FALSE)</f>
        <v>#N/A</v>
      </c>
      <c r="J899" s="84" t="e">
        <f>VLOOKUP(Table13[[#This Row],[kbli5]],kata_kunci!$B:$H,6,FALSE)</f>
        <v>#N/A</v>
      </c>
      <c r="K899" s="84" t="e">
        <f>VLOOKUP(Table13[[#This Row],[kbli5]],kata_kunci!$B:$H,7,FALSE)</f>
        <v>#N/A</v>
      </c>
    </row>
    <row r="900" spans="1:11" ht="60.75" thickBot="1" x14ac:dyDescent="0.3">
      <c r="A900" s="53" t="s">
        <v>996</v>
      </c>
      <c r="B900" s="40">
        <v>47754</v>
      </c>
      <c r="C900" s="41" t="s">
        <v>1164</v>
      </c>
      <c r="D900" s="30" t="e">
        <f>VLOOKUP(Table13[[#This Row],[kbli5]],Table1[[#All],[kbli5]:[digital_hijau]],3,)</f>
        <v>#N/A</v>
      </c>
      <c r="E900" s="53" t="e">
        <f>VLOOKUP(Table13[[#This Row],[kbli5]],kata_kunci!$B:$H,4,FALSE)</f>
        <v>#N/A</v>
      </c>
      <c r="F900" s="53" t="e">
        <f>VLOOKUP(Table13[[#This Row],[kbli5]],Table1[[#All],[kbli5]:[digital_hijau]],5,)</f>
        <v>#N/A</v>
      </c>
      <c r="G900" s="53" t="e">
        <f>VLOOKUP(Table13[[#This Row],[kbli5]],Table1[[#All],[kbli5]:[digital_hijau]],6,)</f>
        <v>#N/A</v>
      </c>
      <c r="H900" s="54" t="e">
        <f>VLOOKUP(Table13[[#This Row],[kbli5]],kata_kunci!$B:$H,3,FALSE)</f>
        <v>#N/A</v>
      </c>
      <c r="I900" s="84" t="e">
        <f>VLOOKUP(Table13[[#This Row],[kbli5]],kata_kunci!$B:$H,5,FALSE)</f>
        <v>#N/A</v>
      </c>
      <c r="J900" s="84" t="e">
        <f>VLOOKUP(Table13[[#This Row],[kbli5]],kata_kunci!$B:$H,6,FALSE)</f>
        <v>#N/A</v>
      </c>
      <c r="K900" s="84" t="e">
        <f>VLOOKUP(Table13[[#This Row],[kbli5]],kata_kunci!$B:$H,7,FALSE)</f>
        <v>#N/A</v>
      </c>
    </row>
    <row r="901" spans="1:11" ht="30.75" thickBot="1" x14ac:dyDescent="0.3">
      <c r="A901" s="53" t="s">
        <v>996</v>
      </c>
      <c r="B901" s="40">
        <v>47761</v>
      </c>
      <c r="C901" s="41" t="s">
        <v>1165</v>
      </c>
      <c r="D901" s="30" t="e">
        <f>VLOOKUP(Table13[[#This Row],[kbli5]],Table1[[#All],[kbli5]:[digital_hijau]],3,)</f>
        <v>#N/A</v>
      </c>
      <c r="E901" s="53" t="e">
        <f>VLOOKUP(Table13[[#This Row],[kbli5]],kata_kunci!$B:$H,4,FALSE)</f>
        <v>#N/A</v>
      </c>
      <c r="F901" s="53" t="e">
        <f>VLOOKUP(Table13[[#This Row],[kbli5]],Table1[[#All],[kbli5]:[digital_hijau]],5,)</f>
        <v>#N/A</v>
      </c>
      <c r="G901" s="53" t="e">
        <f>VLOOKUP(Table13[[#This Row],[kbli5]],Table1[[#All],[kbli5]:[digital_hijau]],6,)</f>
        <v>#N/A</v>
      </c>
      <c r="H901" s="54" t="e">
        <f>VLOOKUP(Table13[[#This Row],[kbli5]],kata_kunci!$B:$H,3,FALSE)</f>
        <v>#N/A</v>
      </c>
      <c r="I901" s="84" t="e">
        <f>VLOOKUP(Table13[[#This Row],[kbli5]],kata_kunci!$B:$H,5,FALSE)</f>
        <v>#N/A</v>
      </c>
      <c r="J901" s="84" t="e">
        <f>VLOOKUP(Table13[[#This Row],[kbli5]],kata_kunci!$B:$H,6,FALSE)</f>
        <v>#N/A</v>
      </c>
      <c r="K901" s="84" t="e">
        <f>VLOOKUP(Table13[[#This Row],[kbli5]],kata_kunci!$B:$H,7,FALSE)</f>
        <v>#N/A</v>
      </c>
    </row>
    <row r="902" spans="1:11" ht="45.75" thickBot="1" x14ac:dyDescent="0.3">
      <c r="A902" s="53" t="s">
        <v>996</v>
      </c>
      <c r="B902" s="40">
        <v>47762</v>
      </c>
      <c r="C902" s="41" t="s">
        <v>1166</v>
      </c>
      <c r="D902" s="30" t="e">
        <f>VLOOKUP(Table13[[#This Row],[kbli5]],Table1[[#All],[kbli5]:[digital_hijau]],3,)</f>
        <v>#N/A</v>
      </c>
      <c r="E902" s="53" t="e">
        <f>VLOOKUP(Table13[[#This Row],[kbli5]],kata_kunci!$B:$H,4,FALSE)</f>
        <v>#N/A</v>
      </c>
      <c r="F902" s="53" t="e">
        <f>VLOOKUP(Table13[[#This Row],[kbli5]],Table1[[#All],[kbli5]:[digital_hijau]],5,)</f>
        <v>#N/A</v>
      </c>
      <c r="G902" s="53" t="e">
        <f>VLOOKUP(Table13[[#This Row],[kbli5]],Table1[[#All],[kbli5]:[digital_hijau]],6,)</f>
        <v>#N/A</v>
      </c>
      <c r="H902" s="54" t="e">
        <f>VLOOKUP(Table13[[#This Row],[kbli5]],kata_kunci!$B:$H,3,FALSE)</f>
        <v>#N/A</v>
      </c>
      <c r="I902" s="84" t="e">
        <f>VLOOKUP(Table13[[#This Row],[kbli5]],kata_kunci!$B:$H,5,FALSE)</f>
        <v>#N/A</v>
      </c>
      <c r="J902" s="84" t="e">
        <f>VLOOKUP(Table13[[#This Row],[kbli5]],kata_kunci!$B:$H,6,FALSE)</f>
        <v>#N/A</v>
      </c>
      <c r="K902" s="84" t="e">
        <f>VLOOKUP(Table13[[#This Row],[kbli5]],kata_kunci!$B:$H,7,FALSE)</f>
        <v>#N/A</v>
      </c>
    </row>
    <row r="903" spans="1:11" ht="45.75" thickBot="1" x14ac:dyDescent="0.3">
      <c r="A903" s="53" t="s">
        <v>996</v>
      </c>
      <c r="B903" s="40">
        <v>47763</v>
      </c>
      <c r="C903" s="41" t="s">
        <v>1167</v>
      </c>
      <c r="D903" s="30" t="e">
        <f>VLOOKUP(Table13[[#This Row],[kbli5]],Table1[[#All],[kbli5]:[digital_hijau]],3,)</f>
        <v>#N/A</v>
      </c>
      <c r="E903" s="53" t="e">
        <f>VLOOKUP(Table13[[#This Row],[kbli5]],kata_kunci!$B:$H,4,FALSE)</f>
        <v>#N/A</v>
      </c>
      <c r="F903" s="53" t="e">
        <f>VLOOKUP(Table13[[#This Row],[kbli5]],Table1[[#All],[kbli5]:[digital_hijau]],5,)</f>
        <v>#N/A</v>
      </c>
      <c r="G903" s="53" t="e">
        <f>VLOOKUP(Table13[[#This Row],[kbli5]],Table1[[#All],[kbli5]:[digital_hijau]],6,)</f>
        <v>#N/A</v>
      </c>
      <c r="H903" s="54" t="e">
        <f>VLOOKUP(Table13[[#This Row],[kbli5]],kata_kunci!$B:$H,3,FALSE)</f>
        <v>#N/A</v>
      </c>
      <c r="I903" s="84" t="e">
        <f>VLOOKUP(Table13[[#This Row],[kbli5]],kata_kunci!$B:$H,5,FALSE)</f>
        <v>#N/A</v>
      </c>
      <c r="J903" s="84" t="e">
        <f>VLOOKUP(Table13[[#This Row],[kbli5]],kata_kunci!$B:$H,6,FALSE)</f>
        <v>#N/A</v>
      </c>
      <c r="K903" s="84" t="e">
        <f>VLOOKUP(Table13[[#This Row],[kbli5]],kata_kunci!$B:$H,7,FALSE)</f>
        <v>#N/A</v>
      </c>
    </row>
    <row r="904" spans="1:11" ht="45.75" thickBot="1" x14ac:dyDescent="0.3">
      <c r="A904" s="53" t="s">
        <v>996</v>
      </c>
      <c r="B904" s="40">
        <v>47764</v>
      </c>
      <c r="C904" s="41" t="s">
        <v>1168</v>
      </c>
      <c r="D904" s="30" t="e">
        <f>VLOOKUP(Table13[[#This Row],[kbli5]],Table1[[#All],[kbli5]:[digital_hijau]],3,)</f>
        <v>#N/A</v>
      </c>
      <c r="E904" s="53" t="e">
        <f>VLOOKUP(Table13[[#This Row],[kbli5]],kata_kunci!$B:$H,4,FALSE)</f>
        <v>#N/A</v>
      </c>
      <c r="F904" s="53" t="e">
        <f>VLOOKUP(Table13[[#This Row],[kbli5]],Table1[[#All],[kbli5]:[digital_hijau]],5,)</f>
        <v>#N/A</v>
      </c>
      <c r="G904" s="53" t="e">
        <f>VLOOKUP(Table13[[#This Row],[kbli5]],Table1[[#All],[kbli5]:[digital_hijau]],6,)</f>
        <v>#N/A</v>
      </c>
      <c r="H904" s="54" t="e">
        <f>VLOOKUP(Table13[[#This Row],[kbli5]],kata_kunci!$B:$H,3,FALSE)</f>
        <v>#N/A</v>
      </c>
      <c r="I904" s="84" t="e">
        <f>VLOOKUP(Table13[[#This Row],[kbli5]],kata_kunci!$B:$H,5,FALSE)</f>
        <v>#N/A</v>
      </c>
      <c r="J904" s="84" t="e">
        <f>VLOOKUP(Table13[[#This Row],[kbli5]],kata_kunci!$B:$H,6,FALSE)</f>
        <v>#N/A</v>
      </c>
      <c r="K904" s="84" t="e">
        <f>VLOOKUP(Table13[[#This Row],[kbli5]],kata_kunci!$B:$H,7,FALSE)</f>
        <v>#N/A</v>
      </c>
    </row>
    <row r="905" spans="1:11" ht="45.75" thickBot="1" x14ac:dyDescent="0.3">
      <c r="A905" s="53" t="s">
        <v>996</v>
      </c>
      <c r="B905" s="40">
        <v>47765</v>
      </c>
      <c r="C905" s="41" t="s">
        <v>1169</v>
      </c>
      <c r="D905" s="30" t="e">
        <f>VLOOKUP(Table13[[#This Row],[kbli5]],Table1[[#All],[kbli5]:[digital_hijau]],3,)</f>
        <v>#N/A</v>
      </c>
      <c r="E905" s="53" t="e">
        <f>VLOOKUP(Table13[[#This Row],[kbli5]],kata_kunci!$B:$H,4,FALSE)</f>
        <v>#N/A</v>
      </c>
      <c r="F905" s="53" t="e">
        <f>VLOOKUP(Table13[[#This Row],[kbli5]],Table1[[#All],[kbli5]:[digital_hijau]],5,)</f>
        <v>#N/A</v>
      </c>
      <c r="G905" s="53" t="e">
        <f>VLOOKUP(Table13[[#This Row],[kbli5]],Table1[[#All],[kbli5]:[digital_hijau]],6,)</f>
        <v>#N/A</v>
      </c>
      <c r="H905" s="54" t="e">
        <f>VLOOKUP(Table13[[#This Row],[kbli5]],kata_kunci!$B:$H,3,FALSE)</f>
        <v>#N/A</v>
      </c>
      <c r="I905" s="84" t="e">
        <f>VLOOKUP(Table13[[#This Row],[kbli5]],kata_kunci!$B:$H,5,FALSE)</f>
        <v>#N/A</v>
      </c>
      <c r="J905" s="84" t="e">
        <f>VLOOKUP(Table13[[#This Row],[kbli5]],kata_kunci!$B:$H,6,FALSE)</f>
        <v>#N/A</v>
      </c>
      <c r="K905" s="84" t="e">
        <f>VLOOKUP(Table13[[#This Row],[kbli5]],kata_kunci!$B:$H,7,FALSE)</f>
        <v>#N/A</v>
      </c>
    </row>
    <row r="906" spans="1:11" ht="30.75" thickBot="1" x14ac:dyDescent="0.3">
      <c r="A906" s="53" t="s">
        <v>996</v>
      </c>
      <c r="B906" s="40">
        <v>47771</v>
      </c>
      <c r="C906" s="41" t="s">
        <v>1170</v>
      </c>
      <c r="D906" s="30" t="e">
        <f>VLOOKUP(Table13[[#This Row],[kbli5]],Table1[[#All],[kbli5]:[digital_hijau]],3,)</f>
        <v>#N/A</v>
      </c>
      <c r="E906" s="53" t="e">
        <f>VLOOKUP(Table13[[#This Row],[kbli5]],kata_kunci!$B:$H,4,FALSE)</f>
        <v>#N/A</v>
      </c>
      <c r="F906" s="53" t="e">
        <f>VLOOKUP(Table13[[#This Row],[kbli5]],Table1[[#All],[kbli5]:[digital_hijau]],5,)</f>
        <v>#N/A</v>
      </c>
      <c r="G906" s="53" t="e">
        <f>VLOOKUP(Table13[[#This Row],[kbli5]],Table1[[#All],[kbli5]:[digital_hijau]],6,)</f>
        <v>#N/A</v>
      </c>
      <c r="H906" s="54" t="e">
        <f>VLOOKUP(Table13[[#This Row],[kbli5]],kata_kunci!$B:$H,3,FALSE)</f>
        <v>#N/A</v>
      </c>
      <c r="I906" s="84" t="e">
        <f>VLOOKUP(Table13[[#This Row],[kbli5]],kata_kunci!$B:$H,5,FALSE)</f>
        <v>#N/A</v>
      </c>
      <c r="J906" s="84" t="e">
        <f>VLOOKUP(Table13[[#This Row],[kbli5]],kata_kunci!$B:$H,6,FALSE)</f>
        <v>#N/A</v>
      </c>
      <c r="K906" s="84" t="e">
        <f>VLOOKUP(Table13[[#This Row],[kbli5]],kata_kunci!$B:$H,7,FALSE)</f>
        <v>#N/A</v>
      </c>
    </row>
    <row r="907" spans="1:11" ht="30.75" thickBot="1" x14ac:dyDescent="0.3">
      <c r="A907" s="53" t="s">
        <v>996</v>
      </c>
      <c r="B907" s="40">
        <v>47772</v>
      </c>
      <c r="C907" s="41" t="s">
        <v>1171</v>
      </c>
      <c r="D907" s="30" t="e">
        <f>VLOOKUP(Table13[[#This Row],[kbli5]],Table1[[#All],[kbli5]:[digital_hijau]],3,)</f>
        <v>#N/A</v>
      </c>
      <c r="E907" s="53" t="e">
        <f>VLOOKUP(Table13[[#This Row],[kbli5]],kata_kunci!$B:$H,4,FALSE)</f>
        <v>#N/A</v>
      </c>
      <c r="F907" s="53" t="e">
        <f>VLOOKUP(Table13[[#This Row],[kbli5]],Table1[[#All],[kbli5]:[digital_hijau]],5,)</f>
        <v>#N/A</v>
      </c>
      <c r="G907" s="53" t="e">
        <f>VLOOKUP(Table13[[#This Row],[kbli5]],Table1[[#All],[kbli5]:[digital_hijau]],6,)</f>
        <v>#N/A</v>
      </c>
      <c r="H907" s="54" t="e">
        <f>VLOOKUP(Table13[[#This Row],[kbli5]],kata_kunci!$B:$H,3,FALSE)</f>
        <v>#N/A</v>
      </c>
      <c r="I907" s="84" t="e">
        <f>VLOOKUP(Table13[[#This Row],[kbli5]],kata_kunci!$B:$H,5,FALSE)</f>
        <v>#N/A</v>
      </c>
      <c r="J907" s="84" t="e">
        <f>VLOOKUP(Table13[[#This Row],[kbli5]],kata_kunci!$B:$H,6,FALSE)</f>
        <v>#N/A</v>
      </c>
      <c r="K907" s="84" t="e">
        <f>VLOOKUP(Table13[[#This Row],[kbli5]],kata_kunci!$B:$H,7,FALSE)</f>
        <v>#N/A</v>
      </c>
    </row>
    <row r="908" spans="1:11" ht="30.75" thickBot="1" x14ac:dyDescent="0.3">
      <c r="A908" s="53" t="s">
        <v>996</v>
      </c>
      <c r="B908" s="40">
        <v>47773</v>
      </c>
      <c r="C908" s="41" t="s">
        <v>1172</v>
      </c>
      <c r="D908" s="30" t="e">
        <f>VLOOKUP(Table13[[#This Row],[kbli5]],Table1[[#All],[kbli5]:[digital_hijau]],3,)</f>
        <v>#N/A</v>
      </c>
      <c r="E908" s="53" t="e">
        <f>VLOOKUP(Table13[[#This Row],[kbli5]],kata_kunci!$B:$H,4,FALSE)</f>
        <v>#N/A</v>
      </c>
      <c r="F908" s="53" t="e">
        <f>VLOOKUP(Table13[[#This Row],[kbli5]],Table1[[#All],[kbli5]:[digital_hijau]],5,)</f>
        <v>#N/A</v>
      </c>
      <c r="G908" s="53" t="e">
        <f>VLOOKUP(Table13[[#This Row],[kbli5]],Table1[[#All],[kbli5]:[digital_hijau]],6,)</f>
        <v>#N/A</v>
      </c>
      <c r="H908" s="54" t="e">
        <f>VLOOKUP(Table13[[#This Row],[kbli5]],kata_kunci!$B:$H,3,FALSE)</f>
        <v>#N/A</v>
      </c>
      <c r="I908" s="84" t="e">
        <f>VLOOKUP(Table13[[#This Row],[kbli5]],kata_kunci!$B:$H,5,FALSE)</f>
        <v>#N/A</v>
      </c>
      <c r="J908" s="84" t="e">
        <f>VLOOKUP(Table13[[#This Row],[kbli5]],kata_kunci!$B:$H,6,FALSE)</f>
        <v>#N/A</v>
      </c>
      <c r="K908" s="84" t="e">
        <f>VLOOKUP(Table13[[#This Row],[kbli5]],kata_kunci!$B:$H,7,FALSE)</f>
        <v>#N/A</v>
      </c>
    </row>
    <row r="909" spans="1:11" ht="45.75" thickBot="1" x14ac:dyDescent="0.3">
      <c r="A909" s="53" t="s">
        <v>996</v>
      </c>
      <c r="B909" s="40">
        <v>47774</v>
      </c>
      <c r="C909" s="41" t="s">
        <v>1173</v>
      </c>
      <c r="D909" s="30" t="e">
        <f>VLOOKUP(Table13[[#This Row],[kbli5]],Table1[[#All],[kbli5]:[digital_hijau]],3,)</f>
        <v>#N/A</v>
      </c>
      <c r="E909" s="53" t="e">
        <f>VLOOKUP(Table13[[#This Row],[kbli5]],kata_kunci!$B:$H,4,FALSE)</f>
        <v>#N/A</v>
      </c>
      <c r="F909" s="53" t="e">
        <f>VLOOKUP(Table13[[#This Row],[kbli5]],Table1[[#All],[kbli5]:[digital_hijau]],5,)</f>
        <v>#N/A</v>
      </c>
      <c r="G909" s="53" t="e">
        <f>VLOOKUP(Table13[[#This Row],[kbli5]],Table1[[#All],[kbli5]:[digital_hijau]],6,)</f>
        <v>#N/A</v>
      </c>
      <c r="H909" s="54" t="e">
        <f>VLOOKUP(Table13[[#This Row],[kbli5]],kata_kunci!$B:$H,3,FALSE)</f>
        <v>#N/A</v>
      </c>
      <c r="I909" s="84" t="e">
        <f>VLOOKUP(Table13[[#This Row],[kbli5]],kata_kunci!$B:$H,5,FALSE)</f>
        <v>#N/A</v>
      </c>
      <c r="J909" s="84" t="e">
        <f>VLOOKUP(Table13[[#This Row],[kbli5]],kata_kunci!$B:$H,6,FALSE)</f>
        <v>#N/A</v>
      </c>
      <c r="K909" s="84" t="e">
        <f>VLOOKUP(Table13[[#This Row],[kbli5]],kata_kunci!$B:$H,7,FALSE)</f>
        <v>#N/A</v>
      </c>
    </row>
    <row r="910" spans="1:11" ht="60.75" thickBot="1" x14ac:dyDescent="0.3">
      <c r="A910" s="53" t="s">
        <v>996</v>
      </c>
      <c r="B910" s="40">
        <v>47779</v>
      </c>
      <c r="C910" s="41" t="s">
        <v>1174</v>
      </c>
      <c r="D910" s="30" t="e">
        <f>VLOOKUP(Table13[[#This Row],[kbli5]],Table1[[#All],[kbli5]:[digital_hijau]],3,)</f>
        <v>#N/A</v>
      </c>
      <c r="E910" s="53" t="e">
        <f>VLOOKUP(Table13[[#This Row],[kbli5]],kata_kunci!$B:$H,4,FALSE)</f>
        <v>#N/A</v>
      </c>
      <c r="F910" s="53" t="e">
        <f>VLOOKUP(Table13[[#This Row],[kbli5]],Table1[[#All],[kbli5]:[digital_hijau]],5,)</f>
        <v>#N/A</v>
      </c>
      <c r="G910" s="53" t="e">
        <f>VLOOKUP(Table13[[#This Row],[kbli5]],Table1[[#All],[kbli5]:[digital_hijau]],6,)</f>
        <v>#N/A</v>
      </c>
      <c r="H910" s="54" t="e">
        <f>VLOOKUP(Table13[[#This Row],[kbli5]],kata_kunci!$B:$H,3,FALSE)</f>
        <v>#N/A</v>
      </c>
      <c r="I910" s="84" t="e">
        <f>VLOOKUP(Table13[[#This Row],[kbli5]],kata_kunci!$B:$H,5,FALSE)</f>
        <v>#N/A</v>
      </c>
      <c r="J910" s="84" t="e">
        <f>VLOOKUP(Table13[[#This Row],[kbli5]],kata_kunci!$B:$H,6,FALSE)</f>
        <v>#N/A</v>
      </c>
      <c r="K910" s="84" t="e">
        <f>VLOOKUP(Table13[[#This Row],[kbli5]],kata_kunci!$B:$H,7,FALSE)</f>
        <v>#N/A</v>
      </c>
    </row>
    <row r="911" spans="1:11" ht="45.75" thickBot="1" x14ac:dyDescent="0.3">
      <c r="A911" s="53" t="s">
        <v>996</v>
      </c>
      <c r="B911" s="40">
        <v>47781</v>
      </c>
      <c r="C911" s="41" t="s">
        <v>1175</v>
      </c>
      <c r="D911" s="30" t="e">
        <f>VLOOKUP(Table13[[#This Row],[kbli5]],Table1[[#All],[kbli5]:[digital_hijau]],3,)</f>
        <v>#N/A</v>
      </c>
      <c r="E911" s="53" t="e">
        <f>VLOOKUP(Table13[[#This Row],[kbli5]],kata_kunci!$B:$H,4,FALSE)</f>
        <v>#N/A</v>
      </c>
      <c r="F911" s="53" t="e">
        <f>VLOOKUP(Table13[[#This Row],[kbli5]],Table1[[#All],[kbli5]:[digital_hijau]],5,)</f>
        <v>#N/A</v>
      </c>
      <c r="G911" s="53" t="e">
        <f>VLOOKUP(Table13[[#This Row],[kbli5]],Table1[[#All],[kbli5]:[digital_hijau]],6,)</f>
        <v>#N/A</v>
      </c>
      <c r="H911" s="54" t="e">
        <f>VLOOKUP(Table13[[#This Row],[kbli5]],kata_kunci!$B:$H,3,FALSE)</f>
        <v>#N/A</v>
      </c>
      <c r="I911" s="84" t="e">
        <f>VLOOKUP(Table13[[#This Row],[kbli5]],kata_kunci!$B:$H,5,FALSE)</f>
        <v>#N/A</v>
      </c>
      <c r="J911" s="84" t="e">
        <f>VLOOKUP(Table13[[#This Row],[kbli5]],kata_kunci!$B:$H,6,FALSE)</f>
        <v>#N/A</v>
      </c>
      <c r="K911" s="84" t="e">
        <f>VLOOKUP(Table13[[#This Row],[kbli5]],kata_kunci!$B:$H,7,FALSE)</f>
        <v>#N/A</v>
      </c>
    </row>
    <row r="912" spans="1:11" ht="30.75" thickBot="1" x14ac:dyDescent="0.3">
      <c r="A912" s="53" t="s">
        <v>996</v>
      </c>
      <c r="B912" s="40">
        <v>47782</v>
      </c>
      <c r="C912" s="41" t="s">
        <v>1176</v>
      </c>
      <c r="D912" s="30" t="e">
        <f>VLOOKUP(Table13[[#This Row],[kbli5]],Table1[[#All],[kbli5]:[digital_hijau]],3,)</f>
        <v>#N/A</v>
      </c>
      <c r="E912" s="53" t="e">
        <f>VLOOKUP(Table13[[#This Row],[kbli5]],kata_kunci!$B:$H,4,FALSE)</f>
        <v>#N/A</v>
      </c>
      <c r="F912" s="53" t="e">
        <f>VLOOKUP(Table13[[#This Row],[kbli5]],Table1[[#All],[kbli5]:[digital_hijau]],5,)</f>
        <v>#N/A</v>
      </c>
      <c r="G912" s="53" t="e">
        <f>VLOOKUP(Table13[[#This Row],[kbli5]],Table1[[#All],[kbli5]:[digital_hijau]],6,)</f>
        <v>#N/A</v>
      </c>
      <c r="H912" s="54" t="e">
        <f>VLOOKUP(Table13[[#This Row],[kbli5]],kata_kunci!$B:$H,3,FALSE)</f>
        <v>#N/A</v>
      </c>
      <c r="I912" s="84" t="e">
        <f>VLOOKUP(Table13[[#This Row],[kbli5]],kata_kunci!$B:$H,5,FALSE)</f>
        <v>#N/A</v>
      </c>
      <c r="J912" s="84" t="e">
        <f>VLOOKUP(Table13[[#This Row],[kbli5]],kata_kunci!$B:$H,6,FALSE)</f>
        <v>#N/A</v>
      </c>
      <c r="K912" s="84" t="e">
        <f>VLOOKUP(Table13[[#This Row],[kbli5]],kata_kunci!$B:$H,7,FALSE)</f>
        <v>#N/A</v>
      </c>
    </row>
    <row r="913" spans="1:11" ht="45.75" thickBot="1" x14ac:dyDescent="0.3">
      <c r="A913" s="53" t="s">
        <v>996</v>
      </c>
      <c r="B913" s="40">
        <v>47791</v>
      </c>
      <c r="C913" s="41" t="s">
        <v>1177</v>
      </c>
      <c r="D913" s="30" t="e">
        <f>VLOOKUP(Table13[[#This Row],[kbli5]],Table1[[#All],[kbli5]:[digital_hijau]],3,)</f>
        <v>#N/A</v>
      </c>
      <c r="E913" s="53" t="e">
        <f>VLOOKUP(Table13[[#This Row],[kbli5]],kata_kunci!$B:$H,4,FALSE)</f>
        <v>#N/A</v>
      </c>
      <c r="F913" s="53" t="e">
        <f>VLOOKUP(Table13[[#This Row],[kbli5]],Table1[[#All],[kbli5]:[digital_hijau]],5,)</f>
        <v>#N/A</v>
      </c>
      <c r="G913" s="53" t="e">
        <f>VLOOKUP(Table13[[#This Row],[kbli5]],Table1[[#All],[kbli5]:[digital_hijau]],6,)</f>
        <v>#N/A</v>
      </c>
      <c r="H913" s="54" t="e">
        <f>VLOOKUP(Table13[[#This Row],[kbli5]],kata_kunci!$B:$H,3,FALSE)</f>
        <v>#N/A</v>
      </c>
      <c r="I913" s="84" t="e">
        <f>VLOOKUP(Table13[[#This Row],[kbli5]],kata_kunci!$B:$H,5,FALSE)</f>
        <v>#N/A</v>
      </c>
      <c r="J913" s="84" t="e">
        <f>VLOOKUP(Table13[[#This Row],[kbli5]],kata_kunci!$B:$H,6,FALSE)</f>
        <v>#N/A</v>
      </c>
      <c r="K913" s="84" t="e">
        <f>VLOOKUP(Table13[[#This Row],[kbli5]],kata_kunci!$B:$H,7,FALSE)</f>
        <v>#N/A</v>
      </c>
    </row>
    <row r="914" spans="1:11" ht="45.75" thickBot="1" x14ac:dyDescent="0.3">
      <c r="A914" s="53" t="s">
        <v>996</v>
      </c>
      <c r="B914" s="40">
        <v>47792</v>
      </c>
      <c r="C914" s="41" t="s">
        <v>1178</v>
      </c>
      <c r="D914" s="30" t="e">
        <f>VLOOKUP(Table13[[#This Row],[kbli5]],Table1[[#All],[kbli5]:[digital_hijau]],3,)</f>
        <v>#N/A</v>
      </c>
      <c r="E914" s="53" t="e">
        <f>VLOOKUP(Table13[[#This Row],[kbli5]],kata_kunci!$B:$H,4,FALSE)</f>
        <v>#N/A</v>
      </c>
      <c r="F914" s="53" t="e">
        <f>VLOOKUP(Table13[[#This Row],[kbli5]],Table1[[#All],[kbli5]:[digital_hijau]],5,)</f>
        <v>#N/A</v>
      </c>
      <c r="G914" s="53" t="e">
        <f>VLOOKUP(Table13[[#This Row],[kbli5]],Table1[[#All],[kbli5]:[digital_hijau]],6,)</f>
        <v>#N/A</v>
      </c>
      <c r="H914" s="54" t="e">
        <f>VLOOKUP(Table13[[#This Row],[kbli5]],kata_kunci!$B:$H,3,FALSE)</f>
        <v>#N/A</v>
      </c>
      <c r="I914" s="84" t="e">
        <f>VLOOKUP(Table13[[#This Row],[kbli5]],kata_kunci!$B:$H,5,FALSE)</f>
        <v>#N/A</v>
      </c>
      <c r="J914" s="84" t="e">
        <f>VLOOKUP(Table13[[#This Row],[kbli5]],kata_kunci!$B:$H,6,FALSE)</f>
        <v>#N/A</v>
      </c>
      <c r="K914" s="84" t="e">
        <f>VLOOKUP(Table13[[#This Row],[kbli5]],kata_kunci!$B:$H,7,FALSE)</f>
        <v>#N/A</v>
      </c>
    </row>
    <row r="915" spans="1:11" ht="45.75" thickBot="1" x14ac:dyDescent="0.3">
      <c r="A915" s="53" t="s">
        <v>996</v>
      </c>
      <c r="B915" s="40">
        <v>47793</v>
      </c>
      <c r="C915" s="41" t="s">
        <v>1179</v>
      </c>
      <c r="D915" s="30" t="e">
        <f>VLOOKUP(Table13[[#This Row],[kbli5]],Table1[[#All],[kbli5]:[digital_hijau]],3,)</f>
        <v>#N/A</v>
      </c>
      <c r="E915" s="53" t="e">
        <f>VLOOKUP(Table13[[#This Row],[kbli5]],kata_kunci!$B:$H,4,FALSE)</f>
        <v>#N/A</v>
      </c>
      <c r="F915" s="53" t="e">
        <f>VLOOKUP(Table13[[#This Row],[kbli5]],Table1[[#All],[kbli5]:[digital_hijau]],5,)</f>
        <v>#N/A</v>
      </c>
      <c r="G915" s="53" t="e">
        <f>VLOOKUP(Table13[[#This Row],[kbli5]],Table1[[#All],[kbli5]:[digital_hijau]],6,)</f>
        <v>#N/A</v>
      </c>
      <c r="H915" s="54" t="e">
        <f>VLOOKUP(Table13[[#This Row],[kbli5]],kata_kunci!$B:$H,3,FALSE)</f>
        <v>#N/A</v>
      </c>
      <c r="I915" s="84" t="e">
        <f>VLOOKUP(Table13[[#This Row],[kbli5]],kata_kunci!$B:$H,5,FALSE)</f>
        <v>#N/A</v>
      </c>
      <c r="J915" s="84" t="e">
        <f>VLOOKUP(Table13[[#This Row],[kbli5]],kata_kunci!$B:$H,6,FALSE)</f>
        <v>#N/A</v>
      </c>
      <c r="K915" s="84" t="e">
        <f>VLOOKUP(Table13[[#This Row],[kbli5]],kata_kunci!$B:$H,7,FALSE)</f>
        <v>#N/A</v>
      </c>
    </row>
    <row r="916" spans="1:11" ht="30.75" thickBot="1" x14ac:dyDescent="0.3">
      <c r="A916" s="53" t="s">
        <v>996</v>
      </c>
      <c r="B916" s="40">
        <v>47794</v>
      </c>
      <c r="C916" s="41" t="s">
        <v>1180</v>
      </c>
      <c r="D916" s="30" t="e">
        <f>VLOOKUP(Table13[[#This Row],[kbli5]],Table1[[#All],[kbli5]:[digital_hijau]],3,)</f>
        <v>#N/A</v>
      </c>
      <c r="E916" s="53" t="e">
        <f>VLOOKUP(Table13[[#This Row],[kbli5]],kata_kunci!$B:$H,4,FALSE)</f>
        <v>#N/A</v>
      </c>
      <c r="F916" s="53" t="e">
        <f>VLOOKUP(Table13[[#This Row],[kbli5]],Table1[[#All],[kbli5]:[digital_hijau]],5,)</f>
        <v>#N/A</v>
      </c>
      <c r="G916" s="53" t="e">
        <f>VLOOKUP(Table13[[#This Row],[kbli5]],Table1[[#All],[kbli5]:[digital_hijau]],6,)</f>
        <v>#N/A</v>
      </c>
      <c r="H916" s="54" t="e">
        <f>VLOOKUP(Table13[[#This Row],[kbli5]],kata_kunci!$B:$H,3,FALSE)</f>
        <v>#N/A</v>
      </c>
      <c r="I916" s="84" t="e">
        <f>VLOOKUP(Table13[[#This Row],[kbli5]],kata_kunci!$B:$H,5,FALSE)</f>
        <v>#N/A</v>
      </c>
      <c r="J916" s="84" t="e">
        <f>VLOOKUP(Table13[[#This Row],[kbli5]],kata_kunci!$B:$H,6,FALSE)</f>
        <v>#N/A</v>
      </c>
      <c r="K916" s="84" t="e">
        <f>VLOOKUP(Table13[[#This Row],[kbli5]],kata_kunci!$B:$H,7,FALSE)</f>
        <v>#N/A</v>
      </c>
    </row>
    <row r="917" spans="1:11" ht="45.75" thickBot="1" x14ac:dyDescent="0.3">
      <c r="A917" s="53" t="s">
        <v>996</v>
      </c>
      <c r="B917" s="40">
        <v>47795</v>
      </c>
      <c r="C917" s="41" t="s">
        <v>1181</v>
      </c>
      <c r="D917" s="30" t="e">
        <f>VLOOKUP(Table13[[#This Row],[kbli5]],Table1[[#All],[kbli5]:[digital_hijau]],3,)</f>
        <v>#N/A</v>
      </c>
      <c r="E917" s="53" t="e">
        <f>VLOOKUP(Table13[[#This Row],[kbli5]],kata_kunci!$B:$H,4,FALSE)</f>
        <v>#N/A</v>
      </c>
      <c r="F917" s="53" t="e">
        <f>VLOOKUP(Table13[[#This Row],[kbli5]],Table1[[#All],[kbli5]:[digital_hijau]],5,)</f>
        <v>#N/A</v>
      </c>
      <c r="G917" s="53" t="e">
        <f>VLOOKUP(Table13[[#This Row],[kbli5]],Table1[[#All],[kbli5]:[digital_hijau]],6,)</f>
        <v>#N/A</v>
      </c>
      <c r="H917" s="54" t="e">
        <f>VLOOKUP(Table13[[#This Row],[kbli5]],kata_kunci!$B:$H,3,FALSE)</f>
        <v>#N/A</v>
      </c>
      <c r="I917" s="84" t="e">
        <f>VLOOKUP(Table13[[#This Row],[kbli5]],kata_kunci!$B:$H,5,FALSE)</f>
        <v>#N/A</v>
      </c>
      <c r="J917" s="84" t="e">
        <f>VLOOKUP(Table13[[#This Row],[kbli5]],kata_kunci!$B:$H,6,FALSE)</f>
        <v>#N/A</v>
      </c>
      <c r="K917" s="84" t="e">
        <f>VLOOKUP(Table13[[#This Row],[kbli5]],kata_kunci!$B:$H,7,FALSE)</f>
        <v>#N/A</v>
      </c>
    </row>
    <row r="918" spans="1:11" ht="30.75" thickBot="1" x14ac:dyDescent="0.3">
      <c r="A918" s="53" t="s">
        <v>996</v>
      </c>
      <c r="B918" s="40">
        <v>47796</v>
      </c>
      <c r="C918" s="41" t="s">
        <v>1182</v>
      </c>
      <c r="D918" s="30" t="e">
        <f>VLOOKUP(Table13[[#This Row],[kbli5]],Table1[[#All],[kbli5]:[digital_hijau]],3,)</f>
        <v>#N/A</v>
      </c>
      <c r="E918" s="53" t="e">
        <f>VLOOKUP(Table13[[#This Row],[kbli5]],kata_kunci!$B:$H,4,FALSE)</f>
        <v>#N/A</v>
      </c>
      <c r="F918" s="53" t="e">
        <f>VLOOKUP(Table13[[#This Row],[kbli5]],Table1[[#All],[kbli5]:[digital_hijau]],5,)</f>
        <v>#N/A</v>
      </c>
      <c r="G918" s="53" t="e">
        <f>VLOOKUP(Table13[[#This Row],[kbli5]],Table1[[#All],[kbli5]:[digital_hijau]],6,)</f>
        <v>#N/A</v>
      </c>
      <c r="H918" s="54" t="e">
        <f>VLOOKUP(Table13[[#This Row],[kbli5]],kata_kunci!$B:$H,3,FALSE)</f>
        <v>#N/A</v>
      </c>
      <c r="I918" s="84" t="e">
        <f>VLOOKUP(Table13[[#This Row],[kbli5]],kata_kunci!$B:$H,5,FALSE)</f>
        <v>#N/A</v>
      </c>
      <c r="J918" s="84" t="e">
        <f>VLOOKUP(Table13[[#This Row],[kbli5]],kata_kunci!$B:$H,6,FALSE)</f>
        <v>#N/A</v>
      </c>
      <c r="K918" s="84" t="e">
        <f>VLOOKUP(Table13[[#This Row],[kbli5]],kata_kunci!$B:$H,7,FALSE)</f>
        <v>#N/A</v>
      </c>
    </row>
    <row r="919" spans="1:11" ht="45.75" thickBot="1" x14ac:dyDescent="0.3">
      <c r="A919" s="53" t="s">
        <v>996</v>
      </c>
      <c r="B919" s="40">
        <v>47799</v>
      </c>
      <c r="C919" s="41" t="s">
        <v>1183</v>
      </c>
      <c r="D919" s="30" t="e">
        <f>VLOOKUP(Table13[[#This Row],[kbli5]],Table1[[#All],[kbli5]:[digital_hijau]],3,)</f>
        <v>#N/A</v>
      </c>
      <c r="E919" s="53" t="e">
        <f>VLOOKUP(Table13[[#This Row],[kbli5]],kata_kunci!$B:$H,4,FALSE)</f>
        <v>#N/A</v>
      </c>
      <c r="F919" s="53" t="e">
        <f>VLOOKUP(Table13[[#This Row],[kbli5]],Table1[[#All],[kbli5]:[digital_hijau]],5,)</f>
        <v>#N/A</v>
      </c>
      <c r="G919" s="53" t="e">
        <f>VLOOKUP(Table13[[#This Row],[kbli5]],Table1[[#All],[kbli5]:[digital_hijau]],6,)</f>
        <v>#N/A</v>
      </c>
      <c r="H919" s="54" t="e">
        <f>VLOOKUP(Table13[[#This Row],[kbli5]],kata_kunci!$B:$H,3,FALSE)</f>
        <v>#N/A</v>
      </c>
      <c r="I919" s="84" t="e">
        <f>VLOOKUP(Table13[[#This Row],[kbli5]],kata_kunci!$B:$H,5,FALSE)</f>
        <v>#N/A</v>
      </c>
      <c r="J919" s="84" t="e">
        <f>VLOOKUP(Table13[[#This Row],[kbli5]],kata_kunci!$B:$H,6,FALSE)</f>
        <v>#N/A</v>
      </c>
      <c r="K919" s="84" t="e">
        <f>VLOOKUP(Table13[[#This Row],[kbli5]],kata_kunci!$B:$H,7,FALSE)</f>
        <v>#N/A</v>
      </c>
    </row>
    <row r="920" spans="1:11" ht="30.75" thickBot="1" x14ac:dyDescent="0.3">
      <c r="A920" s="53" t="s">
        <v>996</v>
      </c>
      <c r="B920" s="40">
        <v>47811</v>
      </c>
      <c r="C920" s="41" t="s">
        <v>1184</v>
      </c>
      <c r="D920" s="30" t="e">
        <f>VLOOKUP(Table13[[#This Row],[kbli5]],Table1[[#All],[kbli5]:[digital_hijau]],3,)</f>
        <v>#N/A</v>
      </c>
      <c r="E920" s="53" t="e">
        <f>VLOOKUP(Table13[[#This Row],[kbli5]],kata_kunci!$B:$H,4,FALSE)</f>
        <v>#N/A</v>
      </c>
      <c r="F920" s="53" t="e">
        <f>VLOOKUP(Table13[[#This Row],[kbli5]],Table1[[#All],[kbli5]:[digital_hijau]],5,)</f>
        <v>#N/A</v>
      </c>
      <c r="G920" s="53" t="e">
        <f>VLOOKUP(Table13[[#This Row],[kbli5]],Table1[[#All],[kbli5]:[digital_hijau]],6,)</f>
        <v>#N/A</v>
      </c>
      <c r="H920" s="54" t="e">
        <f>VLOOKUP(Table13[[#This Row],[kbli5]],kata_kunci!$B:$H,3,FALSE)</f>
        <v>#N/A</v>
      </c>
      <c r="I920" s="84" t="e">
        <f>VLOOKUP(Table13[[#This Row],[kbli5]],kata_kunci!$B:$H,5,FALSE)</f>
        <v>#N/A</v>
      </c>
      <c r="J920" s="84" t="e">
        <f>VLOOKUP(Table13[[#This Row],[kbli5]],kata_kunci!$B:$H,6,FALSE)</f>
        <v>#N/A</v>
      </c>
      <c r="K920" s="84" t="e">
        <f>VLOOKUP(Table13[[#This Row],[kbli5]],kata_kunci!$B:$H,7,FALSE)</f>
        <v>#N/A</v>
      </c>
    </row>
    <row r="921" spans="1:11" ht="30.75" thickBot="1" x14ac:dyDescent="0.3">
      <c r="A921" s="53" t="s">
        <v>996</v>
      </c>
      <c r="B921" s="40">
        <v>47812</v>
      </c>
      <c r="C921" s="41" t="s">
        <v>1185</v>
      </c>
      <c r="D921" s="30" t="e">
        <f>VLOOKUP(Table13[[#This Row],[kbli5]],Table1[[#All],[kbli5]:[digital_hijau]],3,)</f>
        <v>#N/A</v>
      </c>
      <c r="E921" s="53" t="e">
        <f>VLOOKUP(Table13[[#This Row],[kbli5]],kata_kunci!$B:$H,4,FALSE)</f>
        <v>#N/A</v>
      </c>
      <c r="F921" s="53" t="e">
        <f>VLOOKUP(Table13[[#This Row],[kbli5]],Table1[[#All],[kbli5]:[digital_hijau]],5,)</f>
        <v>#N/A</v>
      </c>
      <c r="G921" s="53" t="e">
        <f>VLOOKUP(Table13[[#This Row],[kbli5]],Table1[[#All],[kbli5]:[digital_hijau]],6,)</f>
        <v>#N/A</v>
      </c>
      <c r="H921" s="54" t="e">
        <f>VLOOKUP(Table13[[#This Row],[kbli5]],kata_kunci!$B:$H,3,FALSE)</f>
        <v>#N/A</v>
      </c>
      <c r="I921" s="84" t="e">
        <f>VLOOKUP(Table13[[#This Row],[kbli5]],kata_kunci!$B:$H,5,FALSE)</f>
        <v>#N/A</v>
      </c>
      <c r="J921" s="84" t="e">
        <f>VLOOKUP(Table13[[#This Row],[kbli5]],kata_kunci!$B:$H,6,FALSE)</f>
        <v>#N/A</v>
      </c>
      <c r="K921" s="84" t="e">
        <f>VLOOKUP(Table13[[#This Row],[kbli5]],kata_kunci!$B:$H,7,FALSE)</f>
        <v>#N/A</v>
      </c>
    </row>
    <row r="922" spans="1:11" ht="45.75" thickBot="1" x14ac:dyDescent="0.3">
      <c r="A922" s="53" t="s">
        <v>996</v>
      </c>
      <c r="B922" s="40">
        <v>47820</v>
      </c>
      <c r="C922" s="41" t="s">
        <v>1186</v>
      </c>
      <c r="D922" s="30" t="e">
        <f>VLOOKUP(Table13[[#This Row],[kbli5]],Table1[[#All],[kbli5]:[digital_hijau]],3,)</f>
        <v>#N/A</v>
      </c>
      <c r="E922" s="53" t="e">
        <f>VLOOKUP(Table13[[#This Row],[kbli5]],kata_kunci!$B:$H,4,FALSE)</f>
        <v>#N/A</v>
      </c>
      <c r="F922" s="53" t="e">
        <f>VLOOKUP(Table13[[#This Row],[kbli5]],Table1[[#All],[kbli5]:[digital_hijau]],5,)</f>
        <v>#N/A</v>
      </c>
      <c r="G922" s="53" t="e">
        <f>VLOOKUP(Table13[[#This Row],[kbli5]],Table1[[#All],[kbli5]:[digital_hijau]],6,)</f>
        <v>#N/A</v>
      </c>
      <c r="H922" s="54" t="e">
        <f>VLOOKUP(Table13[[#This Row],[kbli5]],kata_kunci!$B:$H,3,FALSE)</f>
        <v>#N/A</v>
      </c>
      <c r="I922" s="84" t="e">
        <f>VLOOKUP(Table13[[#This Row],[kbli5]],kata_kunci!$B:$H,5,FALSE)</f>
        <v>#N/A</v>
      </c>
      <c r="J922" s="84" t="e">
        <f>VLOOKUP(Table13[[#This Row],[kbli5]],kata_kunci!$B:$H,6,FALSE)</f>
        <v>#N/A</v>
      </c>
      <c r="K922" s="84" t="e">
        <f>VLOOKUP(Table13[[#This Row],[kbli5]],kata_kunci!$B:$H,7,FALSE)</f>
        <v>#N/A</v>
      </c>
    </row>
    <row r="923" spans="1:11" ht="30.75" thickBot="1" x14ac:dyDescent="0.3">
      <c r="A923" s="53" t="s">
        <v>996</v>
      </c>
      <c r="B923" s="40">
        <v>47831</v>
      </c>
      <c r="C923" s="41" t="s">
        <v>1187</v>
      </c>
      <c r="D923" s="30" t="e">
        <f>VLOOKUP(Table13[[#This Row],[kbli5]],Table1[[#All],[kbli5]:[digital_hijau]],3,)</f>
        <v>#N/A</v>
      </c>
      <c r="E923" s="53" t="e">
        <f>VLOOKUP(Table13[[#This Row],[kbli5]],kata_kunci!$B:$H,4,FALSE)</f>
        <v>#N/A</v>
      </c>
      <c r="F923" s="53" t="e">
        <f>VLOOKUP(Table13[[#This Row],[kbli5]],Table1[[#All],[kbli5]:[digital_hijau]],5,)</f>
        <v>#N/A</v>
      </c>
      <c r="G923" s="53" t="e">
        <f>VLOOKUP(Table13[[#This Row],[kbli5]],Table1[[#All],[kbli5]:[digital_hijau]],6,)</f>
        <v>#N/A</v>
      </c>
      <c r="H923" s="54" t="e">
        <f>VLOOKUP(Table13[[#This Row],[kbli5]],kata_kunci!$B:$H,3,FALSE)</f>
        <v>#N/A</v>
      </c>
      <c r="I923" s="84" t="e">
        <f>VLOOKUP(Table13[[#This Row],[kbli5]],kata_kunci!$B:$H,5,FALSE)</f>
        <v>#N/A</v>
      </c>
      <c r="J923" s="84" t="e">
        <f>VLOOKUP(Table13[[#This Row],[kbli5]],kata_kunci!$B:$H,6,FALSE)</f>
        <v>#N/A</v>
      </c>
      <c r="K923" s="84" t="e">
        <f>VLOOKUP(Table13[[#This Row],[kbli5]],kata_kunci!$B:$H,7,FALSE)</f>
        <v>#N/A</v>
      </c>
    </row>
    <row r="924" spans="1:11" ht="30.75" thickBot="1" x14ac:dyDescent="0.3">
      <c r="A924" s="53" t="s">
        <v>996</v>
      </c>
      <c r="B924" s="40">
        <v>47832</v>
      </c>
      <c r="C924" s="41" t="s">
        <v>1188</v>
      </c>
      <c r="D924" s="30" t="e">
        <f>VLOOKUP(Table13[[#This Row],[kbli5]],Table1[[#All],[kbli5]:[digital_hijau]],3,)</f>
        <v>#N/A</v>
      </c>
      <c r="E924" s="53" t="e">
        <f>VLOOKUP(Table13[[#This Row],[kbli5]],kata_kunci!$B:$H,4,FALSE)</f>
        <v>#N/A</v>
      </c>
      <c r="F924" s="53" t="e">
        <f>VLOOKUP(Table13[[#This Row],[kbli5]],Table1[[#All],[kbli5]:[digital_hijau]],5,)</f>
        <v>#N/A</v>
      </c>
      <c r="G924" s="53" t="e">
        <f>VLOOKUP(Table13[[#This Row],[kbli5]],Table1[[#All],[kbli5]:[digital_hijau]],6,)</f>
        <v>#N/A</v>
      </c>
      <c r="H924" s="54" t="e">
        <f>VLOOKUP(Table13[[#This Row],[kbli5]],kata_kunci!$B:$H,3,FALSE)</f>
        <v>#N/A</v>
      </c>
      <c r="I924" s="84" t="e">
        <f>VLOOKUP(Table13[[#This Row],[kbli5]],kata_kunci!$B:$H,5,FALSE)</f>
        <v>#N/A</v>
      </c>
      <c r="J924" s="84" t="e">
        <f>VLOOKUP(Table13[[#This Row],[kbli5]],kata_kunci!$B:$H,6,FALSE)</f>
        <v>#N/A</v>
      </c>
      <c r="K924" s="84" t="e">
        <f>VLOOKUP(Table13[[#This Row],[kbli5]],kata_kunci!$B:$H,7,FALSE)</f>
        <v>#N/A</v>
      </c>
    </row>
    <row r="925" spans="1:11" ht="45.75" thickBot="1" x14ac:dyDescent="0.3">
      <c r="A925" s="53" t="s">
        <v>996</v>
      </c>
      <c r="B925" s="40">
        <v>47833</v>
      </c>
      <c r="C925" s="41" t="s">
        <v>1189</v>
      </c>
      <c r="D925" s="30" t="e">
        <f>VLOOKUP(Table13[[#This Row],[kbli5]],Table1[[#All],[kbli5]:[digital_hijau]],3,)</f>
        <v>#N/A</v>
      </c>
      <c r="E925" s="53" t="e">
        <f>VLOOKUP(Table13[[#This Row],[kbli5]],kata_kunci!$B:$H,4,FALSE)</f>
        <v>#N/A</v>
      </c>
      <c r="F925" s="53" t="e">
        <f>VLOOKUP(Table13[[#This Row],[kbli5]],Table1[[#All],[kbli5]:[digital_hijau]],5,)</f>
        <v>#N/A</v>
      </c>
      <c r="G925" s="53" t="e">
        <f>VLOOKUP(Table13[[#This Row],[kbli5]],Table1[[#All],[kbli5]:[digital_hijau]],6,)</f>
        <v>#N/A</v>
      </c>
      <c r="H925" s="54" t="e">
        <f>VLOOKUP(Table13[[#This Row],[kbli5]],kata_kunci!$B:$H,3,FALSE)</f>
        <v>#N/A</v>
      </c>
      <c r="I925" s="84" t="e">
        <f>VLOOKUP(Table13[[#This Row],[kbli5]],kata_kunci!$B:$H,5,FALSE)</f>
        <v>#N/A</v>
      </c>
      <c r="J925" s="84" t="e">
        <f>VLOOKUP(Table13[[#This Row],[kbli5]],kata_kunci!$B:$H,6,FALSE)</f>
        <v>#N/A</v>
      </c>
      <c r="K925" s="84" t="e">
        <f>VLOOKUP(Table13[[#This Row],[kbli5]],kata_kunci!$B:$H,7,FALSE)</f>
        <v>#N/A</v>
      </c>
    </row>
    <row r="926" spans="1:11" ht="45.75" thickBot="1" x14ac:dyDescent="0.3">
      <c r="A926" s="53" t="s">
        <v>996</v>
      </c>
      <c r="B926" s="40">
        <v>47901</v>
      </c>
      <c r="C926" s="41" t="s">
        <v>1190</v>
      </c>
      <c r="D926" s="30" t="e">
        <f>VLOOKUP(Table13[[#This Row],[kbli5]],Table1[[#All],[kbli5]:[digital_hijau]],3,)</f>
        <v>#N/A</v>
      </c>
      <c r="E926" s="53" t="e">
        <f>VLOOKUP(Table13[[#This Row],[kbli5]],kata_kunci!$B:$H,4,FALSE)</f>
        <v>#N/A</v>
      </c>
      <c r="F926" s="53" t="e">
        <f>VLOOKUP(Table13[[#This Row],[kbli5]],Table1[[#All],[kbli5]:[digital_hijau]],5,)</f>
        <v>#N/A</v>
      </c>
      <c r="G926" s="35" t="s">
        <v>2090</v>
      </c>
      <c r="H926" s="89" t="e">
        <f>VLOOKUP(Table13[[#This Row],[kbli5]],kata_kunci!$B:$H,3,FALSE)</f>
        <v>#N/A</v>
      </c>
      <c r="I926" s="84" t="e">
        <f>VLOOKUP(Table13[[#This Row],[kbli5]],kata_kunci!$B:$H,5,FALSE)</f>
        <v>#N/A</v>
      </c>
      <c r="J926" s="84" t="e">
        <f>VLOOKUP(Table13[[#This Row],[kbli5]],kata_kunci!$B:$H,6,FALSE)</f>
        <v>#N/A</v>
      </c>
      <c r="K926" s="84" t="e">
        <f>VLOOKUP(Table13[[#This Row],[kbli5]],kata_kunci!$B:$H,7,FALSE)</f>
        <v>#N/A</v>
      </c>
    </row>
    <row r="927" spans="1:11" ht="45.75" thickBot="1" x14ac:dyDescent="0.3">
      <c r="A927" s="53" t="s">
        <v>996</v>
      </c>
      <c r="B927" s="40">
        <v>47909</v>
      </c>
      <c r="C927" s="41" t="s">
        <v>1191</v>
      </c>
      <c r="D927" s="30" t="e">
        <f>VLOOKUP(Table13[[#This Row],[kbli5]],Table1[[#All],[kbli5]:[digital_hijau]],3,)</f>
        <v>#N/A</v>
      </c>
      <c r="E927" s="53" t="e">
        <f>VLOOKUP(Table13[[#This Row],[kbli5]],kata_kunci!$B:$H,4,FALSE)</f>
        <v>#N/A</v>
      </c>
      <c r="F927" s="53" t="e">
        <f>VLOOKUP(Table13[[#This Row],[kbli5]],Table1[[#All],[kbli5]:[digital_hijau]],5,)</f>
        <v>#N/A</v>
      </c>
      <c r="G927" s="35" t="s">
        <v>2090</v>
      </c>
      <c r="H927" s="89" t="e">
        <f>VLOOKUP(Table13[[#This Row],[kbli5]],kata_kunci!$B:$H,3,FALSE)</f>
        <v>#N/A</v>
      </c>
      <c r="I927" s="84" t="e">
        <f>VLOOKUP(Table13[[#This Row],[kbli5]],kata_kunci!$B:$H,5,FALSE)</f>
        <v>#N/A</v>
      </c>
      <c r="J927" s="84" t="e">
        <f>VLOOKUP(Table13[[#This Row],[kbli5]],kata_kunci!$B:$H,6,FALSE)</f>
        <v>#N/A</v>
      </c>
      <c r="K927" s="84" t="e">
        <f>VLOOKUP(Table13[[#This Row],[kbli5]],kata_kunci!$B:$H,7,FALSE)</f>
        <v>#N/A</v>
      </c>
    </row>
    <row r="928" spans="1:11" ht="30.75" thickBot="1" x14ac:dyDescent="0.3">
      <c r="A928" s="53" t="s">
        <v>16</v>
      </c>
      <c r="B928" s="40">
        <v>49111</v>
      </c>
      <c r="C928" s="41" t="s">
        <v>1192</v>
      </c>
      <c r="D928" s="30" t="e">
        <f>VLOOKUP(Table13[[#This Row],[kbli5]],Table1[[#All],[kbli5]:[digital_hijau]],3,)</f>
        <v>#N/A</v>
      </c>
      <c r="E928" s="53" t="e">
        <f>VLOOKUP(Table13[[#This Row],[kbli5]],kata_kunci!$B:$H,4,FALSE)</f>
        <v>#N/A</v>
      </c>
      <c r="F928" s="53" t="e">
        <f>VLOOKUP(Table13[[#This Row],[kbli5]],Table1[[#All],[kbli5]:[digital_hijau]],5,)</f>
        <v>#N/A</v>
      </c>
      <c r="G928" s="53" t="e">
        <f>VLOOKUP(Table13[[#This Row],[kbli5]],Table1[[#All],[kbli5]:[digital_hijau]],6,)</f>
        <v>#N/A</v>
      </c>
      <c r="H928" s="54" t="e">
        <f>VLOOKUP(Table13[[#This Row],[kbli5]],kata_kunci!$B:$H,3,FALSE)</f>
        <v>#N/A</v>
      </c>
      <c r="I928" s="84" t="e">
        <f>VLOOKUP(Table13[[#This Row],[kbli5]],kata_kunci!$B:$H,5,FALSE)</f>
        <v>#N/A</v>
      </c>
      <c r="J928" s="84" t="e">
        <f>VLOOKUP(Table13[[#This Row],[kbli5]],kata_kunci!$B:$H,6,FALSE)</f>
        <v>#N/A</v>
      </c>
      <c r="K928" s="84" t="e">
        <f>VLOOKUP(Table13[[#This Row],[kbli5]],kata_kunci!$B:$H,7,FALSE)</f>
        <v>#N/A</v>
      </c>
    </row>
    <row r="929" spans="1:11" ht="45.75" thickBot="1" x14ac:dyDescent="0.3">
      <c r="A929" s="53" t="s">
        <v>16</v>
      </c>
      <c r="B929" s="40">
        <v>49119</v>
      </c>
      <c r="C929" s="41" t="s">
        <v>1193</v>
      </c>
      <c r="D929" s="30" t="e">
        <f>VLOOKUP(Table13[[#This Row],[kbli5]],Table1[[#All],[kbli5]:[digital_hijau]],3,)</f>
        <v>#N/A</v>
      </c>
      <c r="E929" s="53" t="e">
        <f>VLOOKUP(Table13[[#This Row],[kbli5]],kata_kunci!$B:$H,4,FALSE)</f>
        <v>#N/A</v>
      </c>
      <c r="F929" s="53" t="e">
        <f>VLOOKUP(Table13[[#This Row],[kbli5]],Table1[[#All],[kbli5]:[digital_hijau]],5,)</f>
        <v>#N/A</v>
      </c>
      <c r="G929" s="53" t="e">
        <f>VLOOKUP(Table13[[#This Row],[kbli5]],Table1[[#All],[kbli5]:[digital_hijau]],6,)</f>
        <v>#N/A</v>
      </c>
      <c r="H929" s="54" t="e">
        <f>VLOOKUP(Table13[[#This Row],[kbli5]],kata_kunci!$B:$H,3,FALSE)</f>
        <v>#N/A</v>
      </c>
      <c r="I929" s="84" t="e">
        <f>VLOOKUP(Table13[[#This Row],[kbli5]],kata_kunci!$B:$H,5,FALSE)</f>
        <v>#N/A</v>
      </c>
      <c r="J929" s="84" t="e">
        <f>VLOOKUP(Table13[[#This Row],[kbli5]],kata_kunci!$B:$H,6,FALSE)</f>
        <v>#N/A</v>
      </c>
      <c r="K929" s="84" t="e">
        <f>VLOOKUP(Table13[[#This Row],[kbli5]],kata_kunci!$B:$H,7,FALSE)</f>
        <v>#N/A</v>
      </c>
    </row>
    <row r="930" spans="1:11" ht="30.75" thickBot="1" x14ac:dyDescent="0.3">
      <c r="A930" s="53" t="s">
        <v>16</v>
      </c>
      <c r="B930" s="40">
        <v>49120</v>
      </c>
      <c r="C930" s="41" t="s">
        <v>1194</v>
      </c>
      <c r="D930" s="30" t="e">
        <f>VLOOKUP(Table13[[#This Row],[kbli5]],Table1[[#All],[kbli5]:[digital_hijau]],3,)</f>
        <v>#N/A</v>
      </c>
      <c r="E930" s="53" t="e">
        <f>VLOOKUP(Table13[[#This Row],[kbli5]],kata_kunci!$B:$H,4,FALSE)</f>
        <v>#N/A</v>
      </c>
      <c r="F930" s="53" t="e">
        <f>VLOOKUP(Table13[[#This Row],[kbli5]],Table1[[#All],[kbli5]:[digital_hijau]],5,)</f>
        <v>#N/A</v>
      </c>
      <c r="G930" s="53" t="e">
        <f>VLOOKUP(Table13[[#This Row],[kbli5]],Table1[[#All],[kbli5]:[digital_hijau]],6,)</f>
        <v>#N/A</v>
      </c>
      <c r="H930" s="54" t="e">
        <f>VLOOKUP(Table13[[#This Row],[kbli5]],kata_kunci!$B:$H,3,FALSE)</f>
        <v>#N/A</v>
      </c>
      <c r="I930" s="84" t="e">
        <f>VLOOKUP(Table13[[#This Row],[kbli5]],kata_kunci!$B:$H,5,FALSE)</f>
        <v>#N/A</v>
      </c>
      <c r="J930" s="84" t="e">
        <f>VLOOKUP(Table13[[#This Row],[kbli5]],kata_kunci!$B:$H,6,FALSE)</f>
        <v>#N/A</v>
      </c>
      <c r="K930" s="84" t="e">
        <f>VLOOKUP(Table13[[#This Row],[kbli5]],kata_kunci!$B:$H,7,FALSE)</f>
        <v>#N/A</v>
      </c>
    </row>
    <row r="931" spans="1:11" ht="30.75" thickBot="1" x14ac:dyDescent="0.3">
      <c r="A931" s="53" t="s">
        <v>16</v>
      </c>
      <c r="B931" s="40">
        <v>49211</v>
      </c>
      <c r="C931" s="41" t="s">
        <v>1195</v>
      </c>
      <c r="D931" s="30" t="e">
        <f>VLOOKUP(Table13[[#This Row],[kbli5]],Table1[[#All],[kbli5]:[digital_hijau]],3,)</f>
        <v>#N/A</v>
      </c>
      <c r="E931" s="53" t="e">
        <f>VLOOKUP(Table13[[#This Row],[kbli5]],kata_kunci!$B:$H,4,FALSE)</f>
        <v>#N/A</v>
      </c>
      <c r="F931" s="53" t="e">
        <f>VLOOKUP(Table13[[#This Row],[kbli5]],Table1[[#All],[kbli5]:[digital_hijau]],5,)</f>
        <v>#N/A</v>
      </c>
      <c r="G931" s="53" t="e">
        <f>VLOOKUP(Table13[[#This Row],[kbli5]],Table1[[#All],[kbli5]:[digital_hijau]],6,)</f>
        <v>#N/A</v>
      </c>
      <c r="H931" s="54" t="e">
        <f>VLOOKUP(Table13[[#This Row],[kbli5]],kata_kunci!$B:$H,3,FALSE)</f>
        <v>#N/A</v>
      </c>
      <c r="I931" s="84" t="e">
        <f>VLOOKUP(Table13[[#This Row],[kbli5]],kata_kunci!$B:$H,5,FALSE)</f>
        <v>#N/A</v>
      </c>
      <c r="J931" s="84" t="e">
        <f>VLOOKUP(Table13[[#This Row],[kbli5]],kata_kunci!$B:$H,6,FALSE)</f>
        <v>#N/A</v>
      </c>
      <c r="K931" s="84" t="e">
        <f>VLOOKUP(Table13[[#This Row],[kbli5]],kata_kunci!$B:$H,7,FALSE)</f>
        <v>#N/A</v>
      </c>
    </row>
    <row r="932" spans="1:11" ht="30.75" thickBot="1" x14ac:dyDescent="0.3">
      <c r="A932" s="53" t="s">
        <v>16</v>
      </c>
      <c r="B932" s="40">
        <v>49212</v>
      </c>
      <c r="C932" s="41" t="s">
        <v>1196</v>
      </c>
      <c r="D932" s="30" t="e">
        <f>VLOOKUP(Table13[[#This Row],[kbli5]],Table1[[#All],[kbli5]:[digital_hijau]],3,)</f>
        <v>#N/A</v>
      </c>
      <c r="E932" s="53" t="e">
        <f>VLOOKUP(Table13[[#This Row],[kbli5]],kata_kunci!$B:$H,4,FALSE)</f>
        <v>#N/A</v>
      </c>
      <c r="F932" s="53" t="e">
        <f>VLOOKUP(Table13[[#This Row],[kbli5]],Table1[[#All],[kbli5]:[digital_hijau]],5,)</f>
        <v>#N/A</v>
      </c>
      <c r="G932" s="53" t="e">
        <f>VLOOKUP(Table13[[#This Row],[kbli5]],Table1[[#All],[kbli5]:[digital_hijau]],6,)</f>
        <v>#N/A</v>
      </c>
      <c r="H932" s="54" t="e">
        <f>VLOOKUP(Table13[[#This Row],[kbli5]],kata_kunci!$B:$H,3,FALSE)</f>
        <v>#N/A</v>
      </c>
      <c r="I932" s="84" t="e">
        <f>VLOOKUP(Table13[[#This Row],[kbli5]],kata_kunci!$B:$H,5,FALSE)</f>
        <v>#N/A</v>
      </c>
      <c r="J932" s="84" t="e">
        <f>VLOOKUP(Table13[[#This Row],[kbli5]],kata_kunci!$B:$H,6,FALSE)</f>
        <v>#N/A</v>
      </c>
      <c r="K932" s="84" t="e">
        <f>VLOOKUP(Table13[[#This Row],[kbli5]],kata_kunci!$B:$H,7,FALSE)</f>
        <v>#N/A</v>
      </c>
    </row>
    <row r="933" spans="1:11" ht="15.75" thickBot="1" x14ac:dyDescent="0.3">
      <c r="A933" s="53" t="s">
        <v>16</v>
      </c>
      <c r="B933" s="40">
        <v>49213</v>
      </c>
      <c r="C933" s="41" t="s">
        <v>1197</v>
      </c>
      <c r="D933" s="30" t="e">
        <f>VLOOKUP(Table13[[#This Row],[kbli5]],Table1[[#All],[kbli5]:[digital_hijau]],3,)</f>
        <v>#N/A</v>
      </c>
      <c r="E933" s="53" t="e">
        <f>VLOOKUP(Table13[[#This Row],[kbli5]],kata_kunci!$B:$H,4,FALSE)</f>
        <v>#N/A</v>
      </c>
      <c r="F933" s="53" t="e">
        <f>VLOOKUP(Table13[[#This Row],[kbli5]],Table1[[#All],[kbli5]:[digital_hijau]],5,)</f>
        <v>#N/A</v>
      </c>
      <c r="G933" s="53" t="e">
        <f>VLOOKUP(Table13[[#This Row],[kbli5]],Table1[[#All],[kbli5]:[digital_hijau]],6,)</f>
        <v>#N/A</v>
      </c>
      <c r="H933" s="54" t="e">
        <f>VLOOKUP(Table13[[#This Row],[kbli5]],kata_kunci!$B:$H,3,FALSE)</f>
        <v>#N/A</v>
      </c>
      <c r="I933" s="84" t="e">
        <f>VLOOKUP(Table13[[#This Row],[kbli5]],kata_kunci!$B:$H,5,FALSE)</f>
        <v>#N/A</v>
      </c>
      <c r="J933" s="84" t="e">
        <f>VLOOKUP(Table13[[#This Row],[kbli5]],kata_kunci!$B:$H,6,FALSE)</f>
        <v>#N/A</v>
      </c>
      <c r="K933" s="84" t="e">
        <f>VLOOKUP(Table13[[#This Row],[kbli5]],kata_kunci!$B:$H,7,FALSE)</f>
        <v>#N/A</v>
      </c>
    </row>
    <row r="934" spans="1:11" ht="15.75" thickBot="1" x14ac:dyDescent="0.3">
      <c r="A934" s="53" t="s">
        <v>16</v>
      </c>
      <c r="B934" s="40">
        <v>49214</v>
      </c>
      <c r="C934" s="41" t="s">
        <v>1198</v>
      </c>
      <c r="D934" s="30" t="e">
        <f>VLOOKUP(Table13[[#This Row],[kbli5]],Table1[[#All],[kbli5]:[digital_hijau]],3,)</f>
        <v>#N/A</v>
      </c>
      <c r="E934" s="53" t="e">
        <f>VLOOKUP(Table13[[#This Row],[kbli5]],kata_kunci!$B:$H,4,FALSE)</f>
        <v>#N/A</v>
      </c>
      <c r="F934" s="53" t="e">
        <f>VLOOKUP(Table13[[#This Row],[kbli5]],Table1[[#All],[kbli5]:[digital_hijau]],5,)</f>
        <v>#N/A</v>
      </c>
      <c r="G934" s="53" t="e">
        <f>VLOOKUP(Table13[[#This Row],[kbli5]],Table1[[#All],[kbli5]:[digital_hijau]],6,)</f>
        <v>#N/A</v>
      </c>
      <c r="H934" s="54" t="e">
        <f>VLOOKUP(Table13[[#This Row],[kbli5]],kata_kunci!$B:$H,3,FALSE)</f>
        <v>#N/A</v>
      </c>
      <c r="I934" s="84" t="e">
        <f>VLOOKUP(Table13[[#This Row],[kbli5]],kata_kunci!$B:$H,5,FALSE)</f>
        <v>#N/A</v>
      </c>
      <c r="J934" s="84" t="e">
        <f>VLOOKUP(Table13[[#This Row],[kbli5]],kata_kunci!$B:$H,6,FALSE)</f>
        <v>#N/A</v>
      </c>
      <c r="K934" s="84" t="e">
        <f>VLOOKUP(Table13[[#This Row],[kbli5]],kata_kunci!$B:$H,7,FALSE)</f>
        <v>#N/A</v>
      </c>
    </row>
    <row r="935" spans="1:11" ht="45.75" thickBot="1" x14ac:dyDescent="0.3">
      <c r="A935" s="53" t="s">
        <v>16</v>
      </c>
      <c r="B935" s="40">
        <v>49219</v>
      </c>
      <c r="C935" s="41" t="s">
        <v>1199</v>
      </c>
      <c r="D935" s="30" t="e">
        <f>VLOOKUP(Table13[[#This Row],[kbli5]],Table1[[#All],[kbli5]:[digital_hijau]],3,)</f>
        <v>#N/A</v>
      </c>
      <c r="E935" s="53" t="e">
        <f>VLOOKUP(Table13[[#This Row],[kbli5]],kata_kunci!$B:$H,4,FALSE)</f>
        <v>#N/A</v>
      </c>
      <c r="F935" s="53" t="e">
        <f>VLOOKUP(Table13[[#This Row],[kbli5]],Table1[[#All],[kbli5]:[digital_hijau]],5,)</f>
        <v>#N/A</v>
      </c>
      <c r="G935" s="53" t="e">
        <f>VLOOKUP(Table13[[#This Row],[kbli5]],Table1[[#All],[kbli5]:[digital_hijau]],6,)</f>
        <v>#N/A</v>
      </c>
      <c r="H935" s="54" t="e">
        <f>VLOOKUP(Table13[[#This Row],[kbli5]],kata_kunci!$B:$H,3,FALSE)</f>
        <v>#N/A</v>
      </c>
      <c r="I935" s="84" t="e">
        <f>VLOOKUP(Table13[[#This Row],[kbli5]],kata_kunci!$B:$H,5,FALSE)</f>
        <v>#N/A</v>
      </c>
      <c r="J935" s="84" t="e">
        <f>VLOOKUP(Table13[[#This Row],[kbli5]],kata_kunci!$B:$H,6,FALSE)</f>
        <v>#N/A</v>
      </c>
      <c r="K935" s="84" t="e">
        <f>VLOOKUP(Table13[[#This Row],[kbli5]],kata_kunci!$B:$H,7,FALSE)</f>
        <v>#N/A</v>
      </c>
    </row>
    <row r="936" spans="1:11" ht="30.75" thickBot="1" x14ac:dyDescent="0.3">
      <c r="A936" s="53" t="s">
        <v>16</v>
      </c>
      <c r="B936" s="40">
        <v>49221</v>
      </c>
      <c r="C936" s="41" t="s">
        <v>1200</v>
      </c>
      <c r="D936" s="30" t="e">
        <f>VLOOKUP(Table13[[#This Row],[kbli5]],Table1[[#All],[kbli5]:[digital_hijau]],3,)</f>
        <v>#N/A</v>
      </c>
      <c r="E936" s="53" t="e">
        <f>VLOOKUP(Table13[[#This Row],[kbli5]],kata_kunci!$B:$H,4,FALSE)</f>
        <v>#N/A</v>
      </c>
      <c r="F936" s="53" t="e">
        <f>VLOOKUP(Table13[[#This Row],[kbli5]],Table1[[#All],[kbli5]:[digital_hijau]],5,)</f>
        <v>#N/A</v>
      </c>
      <c r="G936" s="53" t="e">
        <f>VLOOKUP(Table13[[#This Row],[kbli5]],Table1[[#All],[kbli5]:[digital_hijau]],6,)</f>
        <v>#N/A</v>
      </c>
      <c r="H936" s="54" t="e">
        <f>VLOOKUP(Table13[[#This Row],[kbli5]],kata_kunci!$B:$H,3,FALSE)</f>
        <v>#N/A</v>
      </c>
      <c r="I936" s="84" t="e">
        <f>VLOOKUP(Table13[[#This Row],[kbli5]],kata_kunci!$B:$H,5,FALSE)</f>
        <v>#N/A</v>
      </c>
      <c r="J936" s="84" t="e">
        <f>VLOOKUP(Table13[[#This Row],[kbli5]],kata_kunci!$B:$H,6,FALSE)</f>
        <v>#N/A</v>
      </c>
      <c r="K936" s="84" t="e">
        <f>VLOOKUP(Table13[[#This Row],[kbli5]],kata_kunci!$B:$H,7,FALSE)</f>
        <v>#N/A</v>
      </c>
    </row>
    <row r="937" spans="1:11" ht="30.75" thickBot="1" x14ac:dyDescent="0.3">
      <c r="A937" s="53" t="s">
        <v>16</v>
      </c>
      <c r="B937" s="40">
        <v>49222</v>
      </c>
      <c r="C937" s="41" t="s">
        <v>1201</v>
      </c>
      <c r="D937" s="30" t="e">
        <f>VLOOKUP(Table13[[#This Row],[kbli5]],Table1[[#All],[kbli5]:[digital_hijau]],3,)</f>
        <v>#N/A</v>
      </c>
      <c r="E937" s="53" t="e">
        <f>VLOOKUP(Table13[[#This Row],[kbli5]],kata_kunci!$B:$H,4,FALSE)</f>
        <v>#N/A</v>
      </c>
      <c r="F937" s="53" t="e">
        <f>VLOOKUP(Table13[[#This Row],[kbli5]],Table1[[#All],[kbli5]:[digital_hijau]],5,)</f>
        <v>#N/A</v>
      </c>
      <c r="G937" s="53" t="e">
        <f>VLOOKUP(Table13[[#This Row],[kbli5]],Table1[[#All],[kbli5]:[digital_hijau]],6,)</f>
        <v>#N/A</v>
      </c>
      <c r="H937" s="54" t="e">
        <f>VLOOKUP(Table13[[#This Row],[kbli5]],kata_kunci!$B:$H,3,FALSE)</f>
        <v>#N/A</v>
      </c>
      <c r="I937" s="84" t="e">
        <f>VLOOKUP(Table13[[#This Row],[kbli5]],kata_kunci!$B:$H,5,FALSE)</f>
        <v>#N/A</v>
      </c>
      <c r="J937" s="84" t="e">
        <f>VLOOKUP(Table13[[#This Row],[kbli5]],kata_kunci!$B:$H,6,FALSE)</f>
        <v>#N/A</v>
      </c>
      <c r="K937" s="84" t="e">
        <f>VLOOKUP(Table13[[#This Row],[kbli5]],kata_kunci!$B:$H,7,FALSE)</f>
        <v>#N/A</v>
      </c>
    </row>
    <row r="938" spans="1:11" ht="30.75" thickBot="1" x14ac:dyDescent="0.3">
      <c r="A938" s="53" t="s">
        <v>16</v>
      </c>
      <c r="B938" s="40">
        <v>49223</v>
      </c>
      <c r="C938" s="41" t="s">
        <v>1202</v>
      </c>
      <c r="D938" s="30" t="e">
        <f>VLOOKUP(Table13[[#This Row],[kbli5]],Table1[[#All],[kbli5]:[digital_hijau]],3,)</f>
        <v>#N/A</v>
      </c>
      <c r="E938" s="53" t="e">
        <f>VLOOKUP(Table13[[#This Row],[kbli5]],kata_kunci!$B:$H,4,FALSE)</f>
        <v>#N/A</v>
      </c>
      <c r="F938" s="53" t="e">
        <f>VLOOKUP(Table13[[#This Row],[kbli5]],Table1[[#All],[kbli5]:[digital_hijau]],5,)</f>
        <v>#N/A</v>
      </c>
      <c r="G938" s="53" t="e">
        <f>VLOOKUP(Table13[[#This Row],[kbli5]],Table1[[#All],[kbli5]:[digital_hijau]],6,)</f>
        <v>#N/A</v>
      </c>
      <c r="H938" s="54" t="e">
        <f>VLOOKUP(Table13[[#This Row],[kbli5]],kata_kunci!$B:$H,3,FALSE)</f>
        <v>#N/A</v>
      </c>
      <c r="I938" s="84" t="e">
        <f>VLOOKUP(Table13[[#This Row],[kbli5]],kata_kunci!$B:$H,5,FALSE)</f>
        <v>#N/A</v>
      </c>
      <c r="J938" s="84" t="e">
        <f>VLOOKUP(Table13[[#This Row],[kbli5]],kata_kunci!$B:$H,6,FALSE)</f>
        <v>#N/A</v>
      </c>
      <c r="K938" s="84" t="e">
        <f>VLOOKUP(Table13[[#This Row],[kbli5]],kata_kunci!$B:$H,7,FALSE)</f>
        <v>#N/A</v>
      </c>
    </row>
    <row r="939" spans="1:11" ht="45.75" thickBot="1" x14ac:dyDescent="0.3">
      <c r="A939" s="53" t="s">
        <v>16</v>
      </c>
      <c r="B939" s="40">
        <v>49229</v>
      </c>
      <c r="C939" s="41" t="s">
        <v>1203</v>
      </c>
      <c r="D939" s="30" t="e">
        <f>VLOOKUP(Table13[[#This Row],[kbli5]],Table1[[#All],[kbli5]:[digital_hijau]],3,)</f>
        <v>#N/A</v>
      </c>
      <c r="E939" s="53" t="e">
        <f>VLOOKUP(Table13[[#This Row],[kbli5]],kata_kunci!$B:$H,4,FALSE)</f>
        <v>#N/A</v>
      </c>
      <c r="F939" s="53" t="e">
        <f>VLOOKUP(Table13[[#This Row],[kbli5]],Table1[[#All],[kbli5]:[digital_hijau]],5,)</f>
        <v>#N/A</v>
      </c>
      <c r="G939" s="53" t="e">
        <f>VLOOKUP(Table13[[#This Row],[kbli5]],Table1[[#All],[kbli5]:[digital_hijau]],6,)</f>
        <v>#N/A</v>
      </c>
      <c r="H939" s="54" t="e">
        <f>VLOOKUP(Table13[[#This Row],[kbli5]],kata_kunci!$B:$H,3,FALSE)</f>
        <v>#N/A</v>
      </c>
      <c r="I939" s="84" t="e">
        <f>VLOOKUP(Table13[[#This Row],[kbli5]],kata_kunci!$B:$H,5,FALSE)</f>
        <v>#N/A</v>
      </c>
      <c r="J939" s="84" t="e">
        <f>VLOOKUP(Table13[[#This Row],[kbli5]],kata_kunci!$B:$H,6,FALSE)</f>
        <v>#N/A</v>
      </c>
      <c r="K939" s="84" t="e">
        <f>VLOOKUP(Table13[[#This Row],[kbli5]],kata_kunci!$B:$H,7,FALSE)</f>
        <v>#N/A</v>
      </c>
    </row>
    <row r="940" spans="1:11" ht="30.75" thickBot="1" x14ac:dyDescent="0.3">
      <c r="A940" s="53" t="s">
        <v>16</v>
      </c>
      <c r="B940" s="40">
        <v>49231</v>
      </c>
      <c r="C940" s="41" t="s">
        <v>1204</v>
      </c>
      <c r="D940" s="30" t="e">
        <f>VLOOKUP(Table13[[#This Row],[kbli5]],Table1[[#All],[kbli5]:[digital_hijau]],3,)</f>
        <v>#N/A</v>
      </c>
      <c r="E940" s="53" t="e">
        <f>VLOOKUP(Table13[[#This Row],[kbli5]],kata_kunci!$B:$H,4,FALSE)</f>
        <v>#N/A</v>
      </c>
      <c r="F940" s="53" t="e">
        <f>VLOOKUP(Table13[[#This Row],[kbli5]],Table1[[#All],[kbli5]:[digital_hijau]],5,)</f>
        <v>#N/A</v>
      </c>
      <c r="G940" s="53" t="e">
        <f>VLOOKUP(Table13[[#This Row],[kbli5]],Table1[[#All],[kbli5]:[digital_hijau]],6,)</f>
        <v>#N/A</v>
      </c>
      <c r="H940" s="54" t="e">
        <f>VLOOKUP(Table13[[#This Row],[kbli5]],kata_kunci!$B:$H,3,FALSE)</f>
        <v>#N/A</v>
      </c>
      <c r="I940" s="84" t="e">
        <f>VLOOKUP(Table13[[#This Row],[kbli5]],kata_kunci!$B:$H,5,FALSE)</f>
        <v>#N/A</v>
      </c>
      <c r="J940" s="84" t="e">
        <f>VLOOKUP(Table13[[#This Row],[kbli5]],kata_kunci!$B:$H,6,FALSE)</f>
        <v>#N/A</v>
      </c>
      <c r="K940" s="84" t="e">
        <f>VLOOKUP(Table13[[#This Row],[kbli5]],kata_kunci!$B:$H,7,FALSE)</f>
        <v>#N/A</v>
      </c>
    </row>
    <row r="941" spans="1:11" ht="30.75" thickBot="1" x14ac:dyDescent="0.3">
      <c r="A941" s="53" t="s">
        <v>16</v>
      </c>
      <c r="B941" s="40">
        <v>49232</v>
      </c>
      <c r="C941" s="41" t="s">
        <v>1205</v>
      </c>
      <c r="D941" s="30" t="e">
        <f>VLOOKUP(Table13[[#This Row],[kbli5]],Table1[[#All],[kbli5]:[digital_hijau]],3,)</f>
        <v>#N/A</v>
      </c>
      <c r="E941" s="53" t="e">
        <f>VLOOKUP(Table13[[#This Row],[kbli5]],kata_kunci!$B:$H,4,FALSE)</f>
        <v>#N/A</v>
      </c>
      <c r="F941" s="53" t="e">
        <f>VLOOKUP(Table13[[#This Row],[kbli5]],Table1[[#All],[kbli5]:[digital_hijau]],5,)</f>
        <v>#N/A</v>
      </c>
      <c r="G941" s="53" t="e">
        <f>VLOOKUP(Table13[[#This Row],[kbli5]],Table1[[#All],[kbli5]:[digital_hijau]],6,)</f>
        <v>#N/A</v>
      </c>
      <c r="H941" s="54" t="e">
        <f>VLOOKUP(Table13[[#This Row],[kbli5]],kata_kunci!$B:$H,3,FALSE)</f>
        <v>#N/A</v>
      </c>
      <c r="I941" s="84" t="e">
        <f>VLOOKUP(Table13[[#This Row],[kbli5]],kata_kunci!$B:$H,5,FALSE)</f>
        <v>#N/A</v>
      </c>
      <c r="J941" s="84" t="e">
        <f>VLOOKUP(Table13[[#This Row],[kbli5]],kata_kunci!$B:$H,6,FALSE)</f>
        <v>#N/A</v>
      </c>
      <c r="K941" s="84" t="e">
        <f>VLOOKUP(Table13[[#This Row],[kbli5]],kata_kunci!$B:$H,7,FALSE)</f>
        <v>#N/A</v>
      </c>
    </row>
    <row r="942" spans="1:11" ht="30.75" thickBot="1" x14ac:dyDescent="0.3">
      <c r="A942" s="53" t="s">
        <v>16</v>
      </c>
      <c r="B942" s="40">
        <v>49233</v>
      </c>
      <c r="C942" s="41" t="s">
        <v>1206</v>
      </c>
      <c r="D942" s="30" t="e">
        <f>VLOOKUP(Table13[[#This Row],[kbli5]],Table1[[#All],[kbli5]:[digital_hijau]],3,)</f>
        <v>#N/A</v>
      </c>
      <c r="E942" s="53" t="e">
        <f>VLOOKUP(Table13[[#This Row],[kbli5]],kata_kunci!$B:$H,4,FALSE)</f>
        <v>#N/A</v>
      </c>
      <c r="F942" s="53" t="e">
        <f>VLOOKUP(Table13[[#This Row],[kbli5]],Table1[[#All],[kbli5]:[digital_hijau]],5,)</f>
        <v>#N/A</v>
      </c>
      <c r="G942" s="53" t="e">
        <f>VLOOKUP(Table13[[#This Row],[kbli5]],Table1[[#All],[kbli5]:[digital_hijau]],6,)</f>
        <v>#N/A</v>
      </c>
      <c r="H942" s="54" t="e">
        <f>VLOOKUP(Table13[[#This Row],[kbli5]],kata_kunci!$B:$H,3,FALSE)</f>
        <v>#N/A</v>
      </c>
      <c r="I942" s="84" t="e">
        <f>VLOOKUP(Table13[[#This Row],[kbli5]],kata_kunci!$B:$H,5,FALSE)</f>
        <v>#N/A</v>
      </c>
      <c r="J942" s="84" t="e">
        <f>VLOOKUP(Table13[[#This Row],[kbli5]],kata_kunci!$B:$H,6,FALSE)</f>
        <v>#N/A</v>
      </c>
      <c r="K942" s="84" t="e">
        <f>VLOOKUP(Table13[[#This Row],[kbli5]],kata_kunci!$B:$H,7,FALSE)</f>
        <v>#N/A</v>
      </c>
    </row>
    <row r="943" spans="1:11" ht="30.75" thickBot="1" x14ac:dyDescent="0.3">
      <c r="A943" s="53" t="s">
        <v>16</v>
      </c>
      <c r="B943" s="40">
        <v>49291</v>
      </c>
      <c r="C943" s="41" t="s">
        <v>1207</v>
      </c>
      <c r="D943" s="30" t="e">
        <f>VLOOKUP(Table13[[#This Row],[kbli5]],Table1[[#All],[kbli5]:[digital_hijau]],3,)</f>
        <v>#N/A</v>
      </c>
      <c r="E943" s="53" t="e">
        <f>VLOOKUP(Table13[[#This Row],[kbli5]],kata_kunci!$B:$H,4,FALSE)</f>
        <v>#N/A</v>
      </c>
      <c r="F943" s="53" t="e">
        <f>VLOOKUP(Table13[[#This Row],[kbli5]],Table1[[#All],[kbli5]:[digital_hijau]],5,)</f>
        <v>#N/A</v>
      </c>
      <c r="G943" s="53" t="e">
        <f>VLOOKUP(Table13[[#This Row],[kbli5]],Table1[[#All],[kbli5]:[digital_hijau]],6,)</f>
        <v>#N/A</v>
      </c>
      <c r="H943" s="54" t="e">
        <f>VLOOKUP(Table13[[#This Row],[kbli5]],kata_kunci!$B:$H,3,FALSE)</f>
        <v>#N/A</v>
      </c>
      <c r="I943" s="84" t="e">
        <f>VLOOKUP(Table13[[#This Row],[kbli5]],kata_kunci!$B:$H,5,FALSE)</f>
        <v>#N/A</v>
      </c>
      <c r="J943" s="84" t="e">
        <f>VLOOKUP(Table13[[#This Row],[kbli5]],kata_kunci!$B:$H,6,FALSE)</f>
        <v>#N/A</v>
      </c>
      <c r="K943" s="84" t="e">
        <f>VLOOKUP(Table13[[#This Row],[kbli5]],kata_kunci!$B:$H,7,FALSE)</f>
        <v>#N/A</v>
      </c>
    </row>
    <row r="944" spans="1:11" ht="15.75" thickBot="1" x14ac:dyDescent="0.3">
      <c r="A944" s="53" t="s">
        <v>16</v>
      </c>
      <c r="B944" s="40">
        <v>49292</v>
      </c>
      <c r="C944" s="41" t="s">
        <v>1208</v>
      </c>
      <c r="D944" s="30" t="e">
        <f>VLOOKUP(Table13[[#This Row],[kbli5]],Table1[[#All],[kbli5]:[digital_hijau]],3,)</f>
        <v>#N/A</v>
      </c>
      <c r="E944" s="53" t="e">
        <f>VLOOKUP(Table13[[#This Row],[kbli5]],kata_kunci!$B:$H,4,FALSE)</f>
        <v>#N/A</v>
      </c>
      <c r="F944" s="53" t="e">
        <f>VLOOKUP(Table13[[#This Row],[kbli5]],Table1[[#All],[kbli5]:[digital_hijau]],5,)</f>
        <v>#N/A</v>
      </c>
      <c r="G944" s="53" t="e">
        <f>VLOOKUP(Table13[[#This Row],[kbli5]],Table1[[#All],[kbli5]:[digital_hijau]],6,)</f>
        <v>#N/A</v>
      </c>
      <c r="H944" s="54" t="e">
        <f>VLOOKUP(Table13[[#This Row],[kbli5]],kata_kunci!$B:$H,3,FALSE)</f>
        <v>#N/A</v>
      </c>
      <c r="I944" s="84" t="e">
        <f>VLOOKUP(Table13[[#This Row],[kbli5]],kata_kunci!$B:$H,5,FALSE)</f>
        <v>#N/A</v>
      </c>
      <c r="J944" s="84" t="e">
        <f>VLOOKUP(Table13[[#This Row],[kbli5]],kata_kunci!$B:$H,6,FALSE)</f>
        <v>#N/A</v>
      </c>
      <c r="K944" s="84" t="e">
        <f>VLOOKUP(Table13[[#This Row],[kbli5]],kata_kunci!$B:$H,7,FALSE)</f>
        <v>#N/A</v>
      </c>
    </row>
    <row r="945" spans="1:11" ht="15.75" thickBot="1" x14ac:dyDescent="0.3">
      <c r="A945" s="53" t="s">
        <v>16</v>
      </c>
      <c r="B945" s="40">
        <v>49293</v>
      </c>
      <c r="C945" s="41" t="s">
        <v>1209</v>
      </c>
      <c r="D945" s="30" t="e">
        <f>VLOOKUP(Table13[[#This Row],[kbli5]],Table1[[#All],[kbli5]:[digital_hijau]],3,)</f>
        <v>#N/A</v>
      </c>
      <c r="E945" s="53" t="e">
        <f>VLOOKUP(Table13[[#This Row],[kbli5]],kata_kunci!$B:$H,4,FALSE)</f>
        <v>#N/A</v>
      </c>
      <c r="F945" s="53" t="e">
        <f>VLOOKUP(Table13[[#This Row],[kbli5]],Table1[[#All],[kbli5]:[digital_hijau]],5,)</f>
        <v>#N/A</v>
      </c>
      <c r="G945" s="53" t="e">
        <f>VLOOKUP(Table13[[#This Row],[kbli5]],Table1[[#All],[kbli5]:[digital_hijau]],6,)</f>
        <v>#N/A</v>
      </c>
      <c r="H945" s="54" t="e">
        <f>VLOOKUP(Table13[[#This Row],[kbli5]],kata_kunci!$B:$H,3,FALSE)</f>
        <v>#N/A</v>
      </c>
      <c r="I945" s="84" t="e">
        <f>VLOOKUP(Table13[[#This Row],[kbli5]],kata_kunci!$B:$H,5,FALSE)</f>
        <v>#N/A</v>
      </c>
      <c r="J945" s="84" t="e">
        <f>VLOOKUP(Table13[[#This Row],[kbli5]],kata_kunci!$B:$H,6,FALSE)</f>
        <v>#N/A</v>
      </c>
      <c r="K945" s="84" t="e">
        <f>VLOOKUP(Table13[[#This Row],[kbli5]],kata_kunci!$B:$H,7,FALSE)</f>
        <v>#N/A</v>
      </c>
    </row>
    <row r="946" spans="1:11" ht="15.75" thickBot="1" x14ac:dyDescent="0.3">
      <c r="A946" s="53" t="s">
        <v>16</v>
      </c>
      <c r="B946" s="40">
        <v>49294</v>
      </c>
      <c r="C946" s="41" t="s">
        <v>1210</v>
      </c>
      <c r="D946" s="30" t="e">
        <f>VLOOKUP(Table13[[#This Row],[kbli5]],Table1[[#All],[kbli5]:[digital_hijau]],3,)</f>
        <v>#N/A</v>
      </c>
      <c r="E946" s="53" t="e">
        <f>VLOOKUP(Table13[[#This Row],[kbli5]],kata_kunci!$B:$H,4,FALSE)</f>
        <v>#N/A</v>
      </c>
      <c r="F946" s="53" t="e">
        <f>VLOOKUP(Table13[[#This Row],[kbli5]],Table1[[#All],[kbli5]:[digital_hijau]],5,)</f>
        <v>#N/A</v>
      </c>
      <c r="G946" s="53" t="e">
        <f>VLOOKUP(Table13[[#This Row],[kbli5]],Table1[[#All],[kbli5]:[digital_hijau]],6,)</f>
        <v>#N/A</v>
      </c>
      <c r="H946" s="54" t="e">
        <f>VLOOKUP(Table13[[#This Row],[kbli5]],kata_kunci!$B:$H,3,FALSE)</f>
        <v>#N/A</v>
      </c>
      <c r="I946" s="84" t="e">
        <f>VLOOKUP(Table13[[#This Row],[kbli5]],kata_kunci!$B:$H,5,FALSE)</f>
        <v>#N/A</v>
      </c>
      <c r="J946" s="84" t="e">
        <f>VLOOKUP(Table13[[#This Row],[kbli5]],kata_kunci!$B:$H,6,FALSE)</f>
        <v>#N/A</v>
      </c>
      <c r="K946" s="84" t="e">
        <f>VLOOKUP(Table13[[#This Row],[kbli5]],kata_kunci!$B:$H,7,FALSE)</f>
        <v>#N/A</v>
      </c>
    </row>
    <row r="947" spans="1:11" ht="15.75" thickBot="1" x14ac:dyDescent="0.3">
      <c r="A947" s="53" t="s">
        <v>16</v>
      </c>
      <c r="B947" s="40">
        <v>49295</v>
      </c>
      <c r="C947" s="41" t="s">
        <v>1211</v>
      </c>
      <c r="D947" s="30" t="e">
        <f>VLOOKUP(Table13[[#This Row],[kbli5]],Table1[[#All],[kbli5]:[digital_hijau]],3,)</f>
        <v>#N/A</v>
      </c>
      <c r="E947" s="53" t="e">
        <f>VLOOKUP(Table13[[#This Row],[kbli5]],kata_kunci!$B:$H,4,FALSE)</f>
        <v>#N/A</v>
      </c>
      <c r="F947" s="53" t="e">
        <f>VLOOKUP(Table13[[#This Row],[kbli5]],Table1[[#All],[kbli5]:[digital_hijau]],5,)</f>
        <v>#N/A</v>
      </c>
      <c r="G947" s="53" t="e">
        <f>VLOOKUP(Table13[[#This Row],[kbli5]],Table1[[#All],[kbli5]:[digital_hijau]],6,)</f>
        <v>#N/A</v>
      </c>
      <c r="H947" s="54" t="e">
        <f>VLOOKUP(Table13[[#This Row],[kbli5]],kata_kunci!$B:$H,3,FALSE)</f>
        <v>#N/A</v>
      </c>
      <c r="I947" s="84" t="e">
        <f>VLOOKUP(Table13[[#This Row],[kbli5]],kata_kunci!$B:$H,5,FALSE)</f>
        <v>#N/A</v>
      </c>
      <c r="J947" s="84" t="e">
        <f>VLOOKUP(Table13[[#This Row],[kbli5]],kata_kunci!$B:$H,6,FALSE)</f>
        <v>#N/A</v>
      </c>
      <c r="K947" s="84" t="e">
        <f>VLOOKUP(Table13[[#This Row],[kbli5]],kata_kunci!$B:$H,7,FALSE)</f>
        <v>#N/A</v>
      </c>
    </row>
    <row r="948" spans="1:11" ht="15.75" thickBot="1" x14ac:dyDescent="0.3">
      <c r="A948" s="53" t="s">
        <v>16</v>
      </c>
      <c r="B948" s="40">
        <v>49296</v>
      </c>
      <c r="C948" s="41" t="s">
        <v>1212</v>
      </c>
      <c r="D948" s="30" t="e">
        <f>VLOOKUP(Table13[[#This Row],[kbli5]],Table1[[#All],[kbli5]:[digital_hijau]],3,)</f>
        <v>#N/A</v>
      </c>
      <c r="E948" s="53" t="e">
        <f>VLOOKUP(Table13[[#This Row],[kbli5]],kata_kunci!$B:$H,4,FALSE)</f>
        <v>#N/A</v>
      </c>
      <c r="F948" s="53" t="e">
        <f>VLOOKUP(Table13[[#This Row],[kbli5]],Table1[[#All],[kbli5]:[digital_hijau]],5,)</f>
        <v>#N/A</v>
      </c>
      <c r="G948" s="53" t="e">
        <f>VLOOKUP(Table13[[#This Row],[kbli5]],Table1[[#All],[kbli5]:[digital_hijau]],6,)</f>
        <v>#N/A</v>
      </c>
      <c r="H948" s="54" t="e">
        <f>VLOOKUP(Table13[[#This Row],[kbli5]],kata_kunci!$B:$H,3,FALSE)</f>
        <v>#N/A</v>
      </c>
      <c r="I948" s="84" t="e">
        <f>VLOOKUP(Table13[[#This Row],[kbli5]],kata_kunci!$B:$H,5,FALSE)</f>
        <v>#N/A</v>
      </c>
      <c r="J948" s="84" t="e">
        <f>VLOOKUP(Table13[[#This Row],[kbli5]],kata_kunci!$B:$H,6,FALSE)</f>
        <v>#N/A</v>
      </c>
      <c r="K948" s="84" t="e">
        <f>VLOOKUP(Table13[[#This Row],[kbli5]],kata_kunci!$B:$H,7,FALSE)</f>
        <v>#N/A</v>
      </c>
    </row>
    <row r="949" spans="1:11" ht="45.75" thickBot="1" x14ac:dyDescent="0.3">
      <c r="A949" s="53" t="s">
        <v>16</v>
      </c>
      <c r="B949" s="40">
        <v>49297</v>
      </c>
      <c r="C949" s="41" t="s">
        <v>1213</v>
      </c>
      <c r="D949" s="30" t="e">
        <f>VLOOKUP(Table13[[#This Row],[kbli5]],Table1[[#All],[kbli5]:[digital_hijau]],3,)</f>
        <v>#N/A</v>
      </c>
      <c r="E949" s="53" t="e">
        <f>VLOOKUP(Table13[[#This Row],[kbli5]],kata_kunci!$B:$H,4,FALSE)</f>
        <v>#N/A</v>
      </c>
      <c r="F949" s="53" t="e">
        <f>VLOOKUP(Table13[[#This Row],[kbli5]],Table1[[#All],[kbli5]:[digital_hijau]],5,)</f>
        <v>#N/A</v>
      </c>
      <c r="G949" s="53" t="e">
        <f>VLOOKUP(Table13[[#This Row],[kbli5]],Table1[[#All],[kbli5]:[digital_hijau]],6,)</f>
        <v>#N/A</v>
      </c>
      <c r="H949" s="54" t="e">
        <f>VLOOKUP(Table13[[#This Row],[kbli5]],kata_kunci!$B:$H,3,FALSE)</f>
        <v>#N/A</v>
      </c>
      <c r="I949" s="84" t="e">
        <f>VLOOKUP(Table13[[#This Row],[kbli5]],kata_kunci!$B:$H,5,FALSE)</f>
        <v>#N/A</v>
      </c>
      <c r="J949" s="84" t="e">
        <f>VLOOKUP(Table13[[#This Row],[kbli5]],kata_kunci!$B:$H,6,FALSE)</f>
        <v>#N/A</v>
      </c>
      <c r="K949" s="84" t="e">
        <f>VLOOKUP(Table13[[#This Row],[kbli5]],kata_kunci!$B:$H,7,FALSE)</f>
        <v>#N/A</v>
      </c>
    </row>
    <row r="950" spans="1:11" ht="45.75" thickBot="1" x14ac:dyDescent="0.3">
      <c r="A950" s="53" t="s">
        <v>16</v>
      </c>
      <c r="B950" s="40">
        <v>49299</v>
      </c>
      <c r="C950" s="41" t="s">
        <v>1214</v>
      </c>
      <c r="D950" s="30" t="e">
        <f>VLOOKUP(Table13[[#This Row],[kbli5]],Table1[[#All],[kbli5]:[digital_hijau]],3,)</f>
        <v>#N/A</v>
      </c>
      <c r="E950" s="53" t="e">
        <f>VLOOKUP(Table13[[#This Row],[kbli5]],kata_kunci!$B:$H,4,FALSE)</f>
        <v>#N/A</v>
      </c>
      <c r="F950" s="53" t="e">
        <f>VLOOKUP(Table13[[#This Row],[kbli5]],Table1[[#All],[kbli5]:[digital_hijau]],5,)</f>
        <v>#N/A</v>
      </c>
      <c r="G950" s="53" t="e">
        <f>VLOOKUP(Table13[[#This Row],[kbli5]],Table1[[#All],[kbli5]:[digital_hijau]],6,)</f>
        <v>#N/A</v>
      </c>
      <c r="H950" s="54" t="e">
        <f>VLOOKUP(Table13[[#This Row],[kbli5]],kata_kunci!$B:$H,3,FALSE)</f>
        <v>#N/A</v>
      </c>
      <c r="I950" s="84" t="e">
        <f>VLOOKUP(Table13[[#This Row],[kbli5]],kata_kunci!$B:$H,5,FALSE)</f>
        <v>#N/A</v>
      </c>
      <c r="J950" s="84" t="e">
        <f>VLOOKUP(Table13[[#This Row],[kbli5]],kata_kunci!$B:$H,6,FALSE)</f>
        <v>#N/A</v>
      </c>
      <c r="K950" s="84" t="e">
        <f>VLOOKUP(Table13[[#This Row],[kbli5]],kata_kunci!$B:$H,7,FALSE)</f>
        <v>#N/A</v>
      </c>
    </row>
    <row r="951" spans="1:11" ht="30.75" thickBot="1" x14ac:dyDescent="0.3">
      <c r="A951" s="53" t="s">
        <v>16</v>
      </c>
      <c r="B951" s="40">
        <v>49300</v>
      </c>
      <c r="C951" s="41" t="s">
        <v>1215</v>
      </c>
      <c r="D951" s="30" t="e">
        <f>VLOOKUP(Table13[[#This Row],[kbli5]],Table1[[#All],[kbli5]:[digital_hijau]],3,)</f>
        <v>#N/A</v>
      </c>
      <c r="E951" s="53" t="e">
        <f>VLOOKUP(Table13[[#This Row],[kbli5]],kata_kunci!$B:$H,4,FALSE)</f>
        <v>#N/A</v>
      </c>
      <c r="F951" s="53" t="e">
        <f>VLOOKUP(Table13[[#This Row],[kbli5]],Table1[[#All],[kbli5]:[digital_hijau]],5,)</f>
        <v>#N/A</v>
      </c>
      <c r="G951" s="53" t="e">
        <f>VLOOKUP(Table13[[#This Row],[kbli5]],Table1[[#All],[kbli5]:[digital_hijau]],6,)</f>
        <v>#N/A</v>
      </c>
      <c r="H951" s="54" t="e">
        <f>VLOOKUP(Table13[[#This Row],[kbli5]],kata_kunci!$B:$H,3,FALSE)</f>
        <v>#N/A</v>
      </c>
      <c r="I951" s="84" t="e">
        <f>VLOOKUP(Table13[[#This Row],[kbli5]],kata_kunci!$B:$H,5,FALSE)</f>
        <v>#N/A</v>
      </c>
      <c r="J951" s="84" t="e">
        <f>VLOOKUP(Table13[[#This Row],[kbli5]],kata_kunci!$B:$H,6,FALSE)</f>
        <v>#N/A</v>
      </c>
      <c r="K951" s="84" t="e">
        <f>VLOOKUP(Table13[[#This Row],[kbli5]],kata_kunci!$B:$H,7,FALSE)</f>
        <v>#N/A</v>
      </c>
    </row>
    <row r="952" spans="1:11" ht="45.75" thickBot="1" x14ac:dyDescent="0.3">
      <c r="A952" s="53" t="s">
        <v>16</v>
      </c>
      <c r="B952" s="40">
        <v>50111</v>
      </c>
      <c r="C952" s="41" t="s">
        <v>1216</v>
      </c>
      <c r="D952" s="30" t="e">
        <f>VLOOKUP(Table13[[#This Row],[kbli5]],Table1[[#All],[kbli5]:[digital_hijau]],3,)</f>
        <v>#N/A</v>
      </c>
      <c r="E952" s="53" t="e">
        <f>VLOOKUP(Table13[[#This Row],[kbli5]],kata_kunci!$B:$H,4,FALSE)</f>
        <v>#N/A</v>
      </c>
      <c r="F952" s="53" t="e">
        <f>VLOOKUP(Table13[[#This Row],[kbli5]],Table1[[#All],[kbli5]:[digital_hijau]],5,)</f>
        <v>#N/A</v>
      </c>
      <c r="G952" s="53" t="e">
        <f>VLOOKUP(Table13[[#This Row],[kbli5]],Table1[[#All],[kbli5]:[digital_hijau]],6,)</f>
        <v>#N/A</v>
      </c>
      <c r="H952" s="54" t="e">
        <f>VLOOKUP(Table13[[#This Row],[kbli5]],kata_kunci!$B:$H,3,FALSE)</f>
        <v>#N/A</v>
      </c>
      <c r="I952" s="84" t="e">
        <f>VLOOKUP(Table13[[#This Row],[kbli5]],kata_kunci!$B:$H,5,FALSE)</f>
        <v>#N/A</v>
      </c>
      <c r="J952" s="84" t="e">
        <f>VLOOKUP(Table13[[#This Row],[kbli5]],kata_kunci!$B:$H,6,FALSE)</f>
        <v>#N/A</v>
      </c>
      <c r="K952" s="84" t="e">
        <f>VLOOKUP(Table13[[#This Row],[kbli5]],kata_kunci!$B:$H,7,FALSE)</f>
        <v>#N/A</v>
      </c>
    </row>
    <row r="953" spans="1:11" ht="45.75" thickBot="1" x14ac:dyDescent="0.3">
      <c r="A953" s="53" t="s">
        <v>16</v>
      </c>
      <c r="B953" s="40">
        <v>50112</v>
      </c>
      <c r="C953" s="41" t="s">
        <v>1217</v>
      </c>
      <c r="D953" s="30" t="e">
        <f>VLOOKUP(Table13[[#This Row],[kbli5]],Table1[[#All],[kbli5]:[digital_hijau]],3,)</f>
        <v>#N/A</v>
      </c>
      <c r="E953" s="53" t="e">
        <f>VLOOKUP(Table13[[#This Row],[kbli5]],kata_kunci!$B:$H,4,FALSE)</f>
        <v>#N/A</v>
      </c>
      <c r="F953" s="53" t="e">
        <f>VLOOKUP(Table13[[#This Row],[kbli5]],Table1[[#All],[kbli5]:[digital_hijau]],5,)</f>
        <v>#N/A</v>
      </c>
      <c r="G953" s="53" t="e">
        <f>VLOOKUP(Table13[[#This Row],[kbli5]],Table1[[#All],[kbli5]:[digital_hijau]],6,)</f>
        <v>#N/A</v>
      </c>
      <c r="H953" s="54" t="e">
        <f>VLOOKUP(Table13[[#This Row],[kbli5]],kata_kunci!$B:$H,3,FALSE)</f>
        <v>#N/A</v>
      </c>
      <c r="I953" s="84" t="e">
        <f>VLOOKUP(Table13[[#This Row],[kbli5]],kata_kunci!$B:$H,5,FALSE)</f>
        <v>#N/A</v>
      </c>
      <c r="J953" s="84" t="e">
        <f>VLOOKUP(Table13[[#This Row],[kbli5]],kata_kunci!$B:$H,6,FALSE)</f>
        <v>#N/A</v>
      </c>
      <c r="K953" s="84" t="e">
        <f>VLOOKUP(Table13[[#This Row],[kbli5]],kata_kunci!$B:$H,7,FALSE)</f>
        <v>#N/A</v>
      </c>
    </row>
    <row r="954" spans="1:11" ht="30.75" thickBot="1" x14ac:dyDescent="0.3">
      <c r="A954" s="53" t="s">
        <v>16</v>
      </c>
      <c r="B954" s="40">
        <v>50113</v>
      </c>
      <c r="C954" s="41" t="s">
        <v>1218</v>
      </c>
      <c r="D954" s="30" t="e">
        <f>VLOOKUP(Table13[[#This Row],[kbli5]],Table1[[#All],[kbli5]:[digital_hijau]],3,)</f>
        <v>#N/A</v>
      </c>
      <c r="E954" s="53" t="e">
        <f>VLOOKUP(Table13[[#This Row],[kbli5]],kata_kunci!$B:$H,4,FALSE)</f>
        <v>#N/A</v>
      </c>
      <c r="F954" s="53" t="e">
        <f>VLOOKUP(Table13[[#This Row],[kbli5]],Table1[[#All],[kbli5]:[digital_hijau]],5,)</f>
        <v>#N/A</v>
      </c>
      <c r="G954" s="53" t="e">
        <f>VLOOKUP(Table13[[#This Row],[kbli5]],Table1[[#All],[kbli5]:[digital_hijau]],6,)</f>
        <v>#N/A</v>
      </c>
      <c r="H954" s="54" t="e">
        <f>VLOOKUP(Table13[[#This Row],[kbli5]],kata_kunci!$B:$H,3,FALSE)</f>
        <v>#N/A</v>
      </c>
      <c r="I954" s="84" t="e">
        <f>VLOOKUP(Table13[[#This Row],[kbli5]],kata_kunci!$B:$H,5,FALSE)</f>
        <v>#N/A</v>
      </c>
      <c r="J954" s="84" t="e">
        <f>VLOOKUP(Table13[[#This Row],[kbli5]],kata_kunci!$B:$H,6,FALSE)</f>
        <v>#N/A</v>
      </c>
      <c r="K954" s="84" t="e">
        <f>VLOOKUP(Table13[[#This Row],[kbli5]],kata_kunci!$B:$H,7,FALSE)</f>
        <v>#N/A</v>
      </c>
    </row>
    <row r="955" spans="1:11" ht="45.75" thickBot="1" x14ac:dyDescent="0.3">
      <c r="A955" s="53" t="s">
        <v>16</v>
      </c>
      <c r="B955" s="40">
        <v>50114</v>
      </c>
      <c r="C955" s="41" t="s">
        <v>1219</v>
      </c>
      <c r="D955" s="30" t="e">
        <f>VLOOKUP(Table13[[#This Row],[kbli5]],Table1[[#All],[kbli5]:[digital_hijau]],3,)</f>
        <v>#N/A</v>
      </c>
      <c r="E955" s="53" t="e">
        <f>VLOOKUP(Table13[[#This Row],[kbli5]],kata_kunci!$B:$H,4,FALSE)</f>
        <v>#N/A</v>
      </c>
      <c r="F955" s="53" t="e">
        <f>VLOOKUP(Table13[[#This Row],[kbli5]],Table1[[#All],[kbli5]:[digital_hijau]],5,)</f>
        <v>#N/A</v>
      </c>
      <c r="G955" s="53" t="e">
        <f>VLOOKUP(Table13[[#This Row],[kbli5]],Table1[[#All],[kbli5]:[digital_hijau]],6,)</f>
        <v>#N/A</v>
      </c>
      <c r="H955" s="54" t="e">
        <f>VLOOKUP(Table13[[#This Row],[kbli5]],kata_kunci!$B:$H,3,FALSE)</f>
        <v>#N/A</v>
      </c>
      <c r="I955" s="84" t="e">
        <f>VLOOKUP(Table13[[#This Row],[kbli5]],kata_kunci!$B:$H,5,FALSE)</f>
        <v>#N/A</v>
      </c>
      <c r="J955" s="84" t="e">
        <f>VLOOKUP(Table13[[#This Row],[kbli5]],kata_kunci!$B:$H,6,FALSE)</f>
        <v>#N/A</v>
      </c>
      <c r="K955" s="84" t="e">
        <f>VLOOKUP(Table13[[#This Row],[kbli5]],kata_kunci!$B:$H,7,FALSE)</f>
        <v>#N/A</v>
      </c>
    </row>
    <row r="956" spans="1:11" ht="30.75" thickBot="1" x14ac:dyDescent="0.3">
      <c r="A956" s="53" t="s">
        <v>16</v>
      </c>
      <c r="B956" s="40">
        <v>50115</v>
      </c>
      <c r="C956" s="41" t="s">
        <v>1220</v>
      </c>
      <c r="D956" s="30" t="e">
        <f>VLOOKUP(Table13[[#This Row],[kbli5]],Table1[[#All],[kbli5]:[digital_hijau]],3,)</f>
        <v>#N/A</v>
      </c>
      <c r="E956" s="53" t="e">
        <f>VLOOKUP(Table13[[#This Row],[kbli5]],kata_kunci!$B:$H,4,FALSE)</f>
        <v>#N/A</v>
      </c>
      <c r="F956" s="53" t="e">
        <f>VLOOKUP(Table13[[#This Row],[kbli5]],Table1[[#All],[kbli5]:[digital_hijau]],5,)</f>
        <v>#N/A</v>
      </c>
      <c r="G956" s="53" t="e">
        <f>VLOOKUP(Table13[[#This Row],[kbli5]],Table1[[#All],[kbli5]:[digital_hijau]],6,)</f>
        <v>#N/A</v>
      </c>
      <c r="H956" s="54" t="e">
        <f>VLOOKUP(Table13[[#This Row],[kbli5]],kata_kunci!$B:$H,3,FALSE)</f>
        <v>#N/A</v>
      </c>
      <c r="I956" s="84" t="e">
        <f>VLOOKUP(Table13[[#This Row],[kbli5]],kata_kunci!$B:$H,5,FALSE)</f>
        <v>#N/A</v>
      </c>
      <c r="J956" s="84" t="e">
        <f>VLOOKUP(Table13[[#This Row],[kbli5]],kata_kunci!$B:$H,6,FALSE)</f>
        <v>#N/A</v>
      </c>
      <c r="K956" s="84" t="e">
        <f>VLOOKUP(Table13[[#This Row],[kbli5]],kata_kunci!$B:$H,7,FALSE)</f>
        <v>#N/A</v>
      </c>
    </row>
    <row r="957" spans="1:11" ht="45.75" thickBot="1" x14ac:dyDescent="0.3">
      <c r="A957" s="53" t="s">
        <v>16</v>
      </c>
      <c r="B957" s="40">
        <v>50121</v>
      </c>
      <c r="C957" s="41" t="s">
        <v>1221</v>
      </c>
      <c r="D957" s="30" t="e">
        <f>VLOOKUP(Table13[[#This Row],[kbli5]],Table1[[#All],[kbli5]:[digital_hijau]],3,)</f>
        <v>#N/A</v>
      </c>
      <c r="E957" s="53" t="e">
        <f>VLOOKUP(Table13[[#This Row],[kbli5]],kata_kunci!$B:$H,4,FALSE)</f>
        <v>#N/A</v>
      </c>
      <c r="F957" s="53" t="e">
        <f>VLOOKUP(Table13[[#This Row],[kbli5]],Table1[[#All],[kbli5]:[digital_hijau]],5,)</f>
        <v>#N/A</v>
      </c>
      <c r="G957" s="53" t="e">
        <f>VLOOKUP(Table13[[#This Row],[kbli5]],Table1[[#All],[kbli5]:[digital_hijau]],6,)</f>
        <v>#N/A</v>
      </c>
      <c r="H957" s="54" t="e">
        <f>VLOOKUP(Table13[[#This Row],[kbli5]],kata_kunci!$B:$H,3,FALSE)</f>
        <v>#N/A</v>
      </c>
      <c r="I957" s="84" t="e">
        <f>VLOOKUP(Table13[[#This Row],[kbli5]],kata_kunci!$B:$H,5,FALSE)</f>
        <v>#N/A</v>
      </c>
      <c r="J957" s="84" t="e">
        <f>VLOOKUP(Table13[[#This Row],[kbli5]],kata_kunci!$B:$H,6,FALSE)</f>
        <v>#N/A</v>
      </c>
      <c r="K957" s="84" t="e">
        <f>VLOOKUP(Table13[[#This Row],[kbli5]],kata_kunci!$B:$H,7,FALSE)</f>
        <v>#N/A</v>
      </c>
    </row>
    <row r="958" spans="1:11" ht="45.75" thickBot="1" x14ac:dyDescent="0.3">
      <c r="A958" s="53" t="s">
        <v>16</v>
      </c>
      <c r="B958" s="40">
        <v>50122</v>
      </c>
      <c r="C958" s="41" t="s">
        <v>1222</v>
      </c>
      <c r="D958" s="30" t="e">
        <f>VLOOKUP(Table13[[#This Row],[kbli5]],Table1[[#All],[kbli5]:[digital_hijau]],3,)</f>
        <v>#N/A</v>
      </c>
      <c r="E958" s="53" t="e">
        <f>VLOOKUP(Table13[[#This Row],[kbli5]],kata_kunci!$B:$H,4,FALSE)</f>
        <v>#N/A</v>
      </c>
      <c r="F958" s="53" t="e">
        <f>VLOOKUP(Table13[[#This Row],[kbli5]],Table1[[#All],[kbli5]:[digital_hijau]],5,)</f>
        <v>#N/A</v>
      </c>
      <c r="G958" s="53" t="e">
        <f>VLOOKUP(Table13[[#This Row],[kbli5]],Table1[[#All],[kbli5]:[digital_hijau]],6,)</f>
        <v>#N/A</v>
      </c>
      <c r="H958" s="54" t="e">
        <f>VLOOKUP(Table13[[#This Row],[kbli5]],kata_kunci!$B:$H,3,FALSE)</f>
        <v>#N/A</v>
      </c>
      <c r="I958" s="84" t="e">
        <f>VLOOKUP(Table13[[#This Row],[kbli5]],kata_kunci!$B:$H,5,FALSE)</f>
        <v>#N/A</v>
      </c>
      <c r="J958" s="84" t="e">
        <f>VLOOKUP(Table13[[#This Row],[kbli5]],kata_kunci!$B:$H,6,FALSE)</f>
        <v>#N/A</v>
      </c>
      <c r="K958" s="84" t="e">
        <f>VLOOKUP(Table13[[#This Row],[kbli5]],kata_kunci!$B:$H,7,FALSE)</f>
        <v>#N/A</v>
      </c>
    </row>
    <row r="959" spans="1:11" ht="45.75" thickBot="1" x14ac:dyDescent="0.3">
      <c r="A959" s="53" t="s">
        <v>16</v>
      </c>
      <c r="B959" s="40">
        <v>50123</v>
      </c>
      <c r="C959" s="41" t="s">
        <v>1223</v>
      </c>
      <c r="D959" s="30" t="e">
        <f>VLOOKUP(Table13[[#This Row],[kbli5]],Table1[[#All],[kbli5]:[digital_hijau]],3,)</f>
        <v>#N/A</v>
      </c>
      <c r="E959" s="53" t="e">
        <f>VLOOKUP(Table13[[#This Row],[kbli5]],kata_kunci!$B:$H,4,FALSE)</f>
        <v>#N/A</v>
      </c>
      <c r="F959" s="53" t="e">
        <f>VLOOKUP(Table13[[#This Row],[kbli5]],Table1[[#All],[kbli5]:[digital_hijau]],5,)</f>
        <v>#N/A</v>
      </c>
      <c r="G959" s="53" t="e">
        <f>VLOOKUP(Table13[[#This Row],[kbli5]],Table1[[#All],[kbli5]:[digital_hijau]],6,)</f>
        <v>#N/A</v>
      </c>
      <c r="H959" s="54" t="e">
        <f>VLOOKUP(Table13[[#This Row],[kbli5]],kata_kunci!$B:$H,3,FALSE)</f>
        <v>#N/A</v>
      </c>
      <c r="I959" s="84" t="e">
        <f>VLOOKUP(Table13[[#This Row],[kbli5]],kata_kunci!$B:$H,5,FALSE)</f>
        <v>#N/A</v>
      </c>
      <c r="J959" s="84" t="e">
        <f>VLOOKUP(Table13[[#This Row],[kbli5]],kata_kunci!$B:$H,6,FALSE)</f>
        <v>#N/A</v>
      </c>
      <c r="K959" s="84" t="e">
        <f>VLOOKUP(Table13[[#This Row],[kbli5]],kata_kunci!$B:$H,7,FALSE)</f>
        <v>#N/A</v>
      </c>
    </row>
    <row r="960" spans="1:11" ht="45.75" thickBot="1" x14ac:dyDescent="0.3">
      <c r="A960" s="53" t="s">
        <v>16</v>
      </c>
      <c r="B960" s="40">
        <v>50124</v>
      </c>
      <c r="C960" s="41" t="s">
        <v>1224</v>
      </c>
      <c r="D960" s="30" t="e">
        <f>VLOOKUP(Table13[[#This Row],[kbli5]],Table1[[#All],[kbli5]:[digital_hijau]],3,)</f>
        <v>#N/A</v>
      </c>
      <c r="E960" s="53" t="e">
        <f>VLOOKUP(Table13[[#This Row],[kbli5]],kata_kunci!$B:$H,4,FALSE)</f>
        <v>#N/A</v>
      </c>
      <c r="F960" s="53" t="e">
        <f>VLOOKUP(Table13[[#This Row],[kbli5]],Table1[[#All],[kbli5]:[digital_hijau]],5,)</f>
        <v>#N/A</v>
      </c>
      <c r="G960" s="53" t="e">
        <f>VLOOKUP(Table13[[#This Row],[kbli5]],Table1[[#All],[kbli5]:[digital_hijau]],6,)</f>
        <v>#N/A</v>
      </c>
      <c r="H960" s="54" t="e">
        <f>VLOOKUP(Table13[[#This Row],[kbli5]],kata_kunci!$B:$H,3,FALSE)</f>
        <v>#N/A</v>
      </c>
      <c r="I960" s="84" t="e">
        <f>VLOOKUP(Table13[[#This Row],[kbli5]],kata_kunci!$B:$H,5,FALSE)</f>
        <v>#N/A</v>
      </c>
      <c r="J960" s="84" t="e">
        <f>VLOOKUP(Table13[[#This Row],[kbli5]],kata_kunci!$B:$H,6,FALSE)</f>
        <v>#N/A</v>
      </c>
      <c r="K960" s="84" t="e">
        <f>VLOOKUP(Table13[[#This Row],[kbli5]],kata_kunci!$B:$H,7,FALSE)</f>
        <v>#N/A</v>
      </c>
    </row>
    <row r="961" spans="1:11" ht="45.75" thickBot="1" x14ac:dyDescent="0.3">
      <c r="A961" s="53" t="s">
        <v>16</v>
      </c>
      <c r="B961" s="40">
        <v>50125</v>
      </c>
      <c r="C961" s="41" t="s">
        <v>1225</v>
      </c>
      <c r="D961" s="30" t="e">
        <f>VLOOKUP(Table13[[#This Row],[kbli5]],Table1[[#All],[kbli5]:[digital_hijau]],3,)</f>
        <v>#N/A</v>
      </c>
      <c r="E961" s="53" t="e">
        <f>VLOOKUP(Table13[[#This Row],[kbli5]],kata_kunci!$B:$H,4,FALSE)</f>
        <v>#N/A</v>
      </c>
      <c r="F961" s="53" t="e">
        <f>VLOOKUP(Table13[[#This Row],[kbli5]],Table1[[#All],[kbli5]:[digital_hijau]],5,)</f>
        <v>#N/A</v>
      </c>
      <c r="G961" s="53" t="e">
        <f>VLOOKUP(Table13[[#This Row],[kbli5]],Table1[[#All],[kbli5]:[digital_hijau]],6,)</f>
        <v>#N/A</v>
      </c>
      <c r="H961" s="54" t="e">
        <f>VLOOKUP(Table13[[#This Row],[kbli5]],kata_kunci!$B:$H,3,FALSE)</f>
        <v>#N/A</v>
      </c>
      <c r="I961" s="84" t="e">
        <f>VLOOKUP(Table13[[#This Row],[kbli5]],kata_kunci!$B:$H,5,FALSE)</f>
        <v>#N/A</v>
      </c>
      <c r="J961" s="84" t="e">
        <f>VLOOKUP(Table13[[#This Row],[kbli5]],kata_kunci!$B:$H,6,FALSE)</f>
        <v>#N/A</v>
      </c>
      <c r="K961" s="84" t="e">
        <f>VLOOKUP(Table13[[#This Row],[kbli5]],kata_kunci!$B:$H,7,FALSE)</f>
        <v>#N/A</v>
      </c>
    </row>
    <row r="962" spans="1:11" ht="45.75" thickBot="1" x14ac:dyDescent="0.3">
      <c r="A962" s="53" t="s">
        <v>16</v>
      </c>
      <c r="B962" s="40">
        <v>50126</v>
      </c>
      <c r="C962" s="41" t="s">
        <v>1226</v>
      </c>
      <c r="D962" s="30" t="e">
        <f>VLOOKUP(Table13[[#This Row],[kbli5]],Table1[[#All],[kbli5]:[digital_hijau]],3,)</f>
        <v>#N/A</v>
      </c>
      <c r="E962" s="53" t="e">
        <f>VLOOKUP(Table13[[#This Row],[kbli5]],kata_kunci!$B:$H,4,FALSE)</f>
        <v>#N/A</v>
      </c>
      <c r="F962" s="53" t="e">
        <f>VLOOKUP(Table13[[#This Row],[kbli5]],Table1[[#All],[kbli5]:[digital_hijau]],5,)</f>
        <v>#N/A</v>
      </c>
      <c r="G962" s="53" t="e">
        <f>VLOOKUP(Table13[[#This Row],[kbli5]],Table1[[#All],[kbli5]:[digital_hijau]],6,)</f>
        <v>#N/A</v>
      </c>
      <c r="H962" s="54" t="e">
        <f>VLOOKUP(Table13[[#This Row],[kbli5]],kata_kunci!$B:$H,3,FALSE)</f>
        <v>#N/A</v>
      </c>
      <c r="I962" s="84" t="e">
        <f>VLOOKUP(Table13[[#This Row],[kbli5]],kata_kunci!$B:$H,5,FALSE)</f>
        <v>#N/A</v>
      </c>
      <c r="J962" s="84" t="e">
        <f>VLOOKUP(Table13[[#This Row],[kbli5]],kata_kunci!$B:$H,6,FALSE)</f>
        <v>#N/A</v>
      </c>
      <c r="K962" s="84" t="e">
        <f>VLOOKUP(Table13[[#This Row],[kbli5]],kata_kunci!$B:$H,7,FALSE)</f>
        <v>#N/A</v>
      </c>
    </row>
    <row r="963" spans="1:11" ht="45.75" thickBot="1" x14ac:dyDescent="0.3">
      <c r="A963" s="53" t="s">
        <v>16</v>
      </c>
      <c r="B963" s="40">
        <v>50127</v>
      </c>
      <c r="C963" s="41" t="s">
        <v>1227</v>
      </c>
      <c r="D963" s="30" t="e">
        <f>VLOOKUP(Table13[[#This Row],[kbli5]],Table1[[#All],[kbli5]:[digital_hijau]],3,)</f>
        <v>#N/A</v>
      </c>
      <c r="E963" s="53" t="e">
        <f>VLOOKUP(Table13[[#This Row],[kbli5]],kata_kunci!$B:$H,4,FALSE)</f>
        <v>#N/A</v>
      </c>
      <c r="F963" s="53" t="e">
        <f>VLOOKUP(Table13[[#This Row],[kbli5]],Table1[[#All],[kbli5]:[digital_hijau]],5,)</f>
        <v>#N/A</v>
      </c>
      <c r="G963" s="53" t="e">
        <f>VLOOKUP(Table13[[#This Row],[kbli5]],Table1[[#All],[kbli5]:[digital_hijau]],6,)</f>
        <v>#N/A</v>
      </c>
      <c r="H963" s="54" t="e">
        <f>VLOOKUP(Table13[[#This Row],[kbli5]],kata_kunci!$B:$H,3,FALSE)</f>
        <v>#N/A</v>
      </c>
      <c r="I963" s="84" t="e">
        <f>VLOOKUP(Table13[[#This Row],[kbli5]],kata_kunci!$B:$H,5,FALSE)</f>
        <v>#N/A</v>
      </c>
      <c r="J963" s="84" t="e">
        <f>VLOOKUP(Table13[[#This Row],[kbli5]],kata_kunci!$B:$H,6,FALSE)</f>
        <v>#N/A</v>
      </c>
      <c r="K963" s="84" t="e">
        <f>VLOOKUP(Table13[[#This Row],[kbli5]],kata_kunci!$B:$H,7,FALSE)</f>
        <v>#N/A</v>
      </c>
    </row>
    <row r="964" spans="1:11" ht="45.75" thickBot="1" x14ac:dyDescent="0.3">
      <c r="A964" s="53" t="s">
        <v>16</v>
      </c>
      <c r="B964" s="40">
        <v>50131</v>
      </c>
      <c r="C964" s="41" t="s">
        <v>1228</v>
      </c>
      <c r="D964" s="30" t="e">
        <f>VLOOKUP(Table13[[#This Row],[kbli5]],Table1[[#All],[kbli5]:[digital_hijau]],3,)</f>
        <v>#N/A</v>
      </c>
      <c r="E964" s="53" t="e">
        <f>VLOOKUP(Table13[[#This Row],[kbli5]],kata_kunci!$B:$H,4,FALSE)</f>
        <v>#N/A</v>
      </c>
      <c r="F964" s="53" t="e">
        <f>VLOOKUP(Table13[[#This Row],[kbli5]],Table1[[#All],[kbli5]:[digital_hijau]],5,)</f>
        <v>#N/A</v>
      </c>
      <c r="G964" s="53" t="e">
        <f>VLOOKUP(Table13[[#This Row],[kbli5]],Table1[[#All],[kbli5]:[digital_hijau]],6,)</f>
        <v>#N/A</v>
      </c>
      <c r="H964" s="54" t="e">
        <f>VLOOKUP(Table13[[#This Row],[kbli5]],kata_kunci!$B:$H,3,FALSE)</f>
        <v>#N/A</v>
      </c>
      <c r="I964" s="84" t="e">
        <f>VLOOKUP(Table13[[#This Row],[kbli5]],kata_kunci!$B:$H,5,FALSE)</f>
        <v>#N/A</v>
      </c>
      <c r="J964" s="84" t="e">
        <f>VLOOKUP(Table13[[#This Row],[kbli5]],kata_kunci!$B:$H,6,FALSE)</f>
        <v>#N/A</v>
      </c>
      <c r="K964" s="84" t="e">
        <f>VLOOKUP(Table13[[#This Row],[kbli5]],kata_kunci!$B:$H,7,FALSE)</f>
        <v>#N/A</v>
      </c>
    </row>
    <row r="965" spans="1:11" ht="60.75" thickBot="1" x14ac:dyDescent="0.3">
      <c r="A965" s="53" t="s">
        <v>16</v>
      </c>
      <c r="B965" s="40">
        <v>50132</v>
      </c>
      <c r="C965" s="41" t="s">
        <v>1229</v>
      </c>
      <c r="D965" s="30" t="e">
        <f>VLOOKUP(Table13[[#This Row],[kbli5]],Table1[[#All],[kbli5]:[digital_hijau]],3,)</f>
        <v>#N/A</v>
      </c>
      <c r="E965" s="53" t="e">
        <f>VLOOKUP(Table13[[#This Row],[kbli5]],kata_kunci!$B:$H,4,FALSE)</f>
        <v>#N/A</v>
      </c>
      <c r="F965" s="53" t="e">
        <f>VLOOKUP(Table13[[#This Row],[kbli5]],Table1[[#All],[kbli5]:[digital_hijau]],5,)</f>
        <v>#N/A</v>
      </c>
      <c r="G965" s="53" t="e">
        <f>VLOOKUP(Table13[[#This Row],[kbli5]],Table1[[#All],[kbli5]:[digital_hijau]],6,)</f>
        <v>#N/A</v>
      </c>
      <c r="H965" s="54" t="e">
        <f>VLOOKUP(Table13[[#This Row],[kbli5]],kata_kunci!$B:$H,3,FALSE)</f>
        <v>#N/A</v>
      </c>
      <c r="I965" s="84" t="e">
        <f>VLOOKUP(Table13[[#This Row],[kbli5]],kata_kunci!$B:$H,5,FALSE)</f>
        <v>#N/A</v>
      </c>
      <c r="J965" s="84" t="e">
        <f>VLOOKUP(Table13[[#This Row],[kbli5]],kata_kunci!$B:$H,6,FALSE)</f>
        <v>#N/A</v>
      </c>
      <c r="K965" s="84" t="e">
        <f>VLOOKUP(Table13[[#This Row],[kbli5]],kata_kunci!$B:$H,7,FALSE)</f>
        <v>#N/A</v>
      </c>
    </row>
    <row r="966" spans="1:11" ht="60.75" thickBot="1" x14ac:dyDescent="0.3">
      <c r="A966" s="53" t="s">
        <v>16</v>
      </c>
      <c r="B966" s="40">
        <v>50133</v>
      </c>
      <c r="C966" s="41" t="s">
        <v>1230</v>
      </c>
      <c r="D966" s="30" t="e">
        <f>VLOOKUP(Table13[[#This Row],[kbli5]],Table1[[#All],[kbli5]:[digital_hijau]],3,)</f>
        <v>#N/A</v>
      </c>
      <c r="E966" s="53" t="e">
        <f>VLOOKUP(Table13[[#This Row],[kbli5]],kata_kunci!$B:$H,4,FALSE)</f>
        <v>#N/A</v>
      </c>
      <c r="F966" s="53" t="e">
        <f>VLOOKUP(Table13[[#This Row],[kbli5]],Table1[[#All],[kbli5]:[digital_hijau]],5,)</f>
        <v>#N/A</v>
      </c>
      <c r="G966" s="53" t="e">
        <f>VLOOKUP(Table13[[#This Row],[kbli5]],Table1[[#All],[kbli5]:[digital_hijau]],6,)</f>
        <v>#N/A</v>
      </c>
      <c r="H966" s="54" t="e">
        <f>VLOOKUP(Table13[[#This Row],[kbli5]],kata_kunci!$B:$H,3,FALSE)</f>
        <v>#N/A</v>
      </c>
      <c r="I966" s="84" t="e">
        <f>VLOOKUP(Table13[[#This Row],[kbli5]],kata_kunci!$B:$H,5,FALSE)</f>
        <v>#N/A</v>
      </c>
      <c r="J966" s="84" t="e">
        <f>VLOOKUP(Table13[[#This Row],[kbli5]],kata_kunci!$B:$H,6,FALSE)</f>
        <v>#N/A</v>
      </c>
      <c r="K966" s="84" t="e">
        <f>VLOOKUP(Table13[[#This Row],[kbli5]],kata_kunci!$B:$H,7,FALSE)</f>
        <v>#N/A</v>
      </c>
    </row>
    <row r="967" spans="1:11" ht="45.75" thickBot="1" x14ac:dyDescent="0.3">
      <c r="A967" s="53" t="s">
        <v>16</v>
      </c>
      <c r="B967" s="40">
        <v>50134</v>
      </c>
      <c r="C967" s="41" t="s">
        <v>1231</v>
      </c>
      <c r="D967" s="30" t="e">
        <f>VLOOKUP(Table13[[#This Row],[kbli5]],Table1[[#All],[kbli5]:[digital_hijau]],3,)</f>
        <v>#N/A</v>
      </c>
      <c r="E967" s="53" t="e">
        <f>VLOOKUP(Table13[[#This Row],[kbli5]],kata_kunci!$B:$H,4,FALSE)</f>
        <v>#N/A</v>
      </c>
      <c r="F967" s="53" t="e">
        <f>VLOOKUP(Table13[[#This Row],[kbli5]],Table1[[#All],[kbli5]:[digital_hijau]],5,)</f>
        <v>#N/A</v>
      </c>
      <c r="G967" s="53" t="e">
        <f>VLOOKUP(Table13[[#This Row],[kbli5]],Table1[[#All],[kbli5]:[digital_hijau]],6,)</f>
        <v>#N/A</v>
      </c>
      <c r="H967" s="54" t="e">
        <f>VLOOKUP(Table13[[#This Row],[kbli5]],kata_kunci!$B:$H,3,FALSE)</f>
        <v>#N/A</v>
      </c>
      <c r="I967" s="84" t="e">
        <f>VLOOKUP(Table13[[#This Row],[kbli5]],kata_kunci!$B:$H,5,FALSE)</f>
        <v>#N/A</v>
      </c>
      <c r="J967" s="84" t="e">
        <f>VLOOKUP(Table13[[#This Row],[kbli5]],kata_kunci!$B:$H,6,FALSE)</f>
        <v>#N/A</v>
      </c>
      <c r="K967" s="84" t="e">
        <f>VLOOKUP(Table13[[#This Row],[kbli5]],kata_kunci!$B:$H,7,FALSE)</f>
        <v>#N/A</v>
      </c>
    </row>
    <row r="968" spans="1:11" ht="60.75" thickBot="1" x14ac:dyDescent="0.3">
      <c r="A968" s="53" t="s">
        <v>16</v>
      </c>
      <c r="B968" s="40">
        <v>50135</v>
      </c>
      <c r="C968" s="41" t="s">
        <v>1232</v>
      </c>
      <c r="D968" s="30" t="e">
        <f>VLOOKUP(Table13[[#This Row],[kbli5]],Table1[[#All],[kbli5]:[digital_hijau]],3,)</f>
        <v>#N/A</v>
      </c>
      <c r="E968" s="53" t="e">
        <f>VLOOKUP(Table13[[#This Row],[kbli5]],kata_kunci!$B:$H,4,FALSE)</f>
        <v>#N/A</v>
      </c>
      <c r="F968" s="53" t="e">
        <f>VLOOKUP(Table13[[#This Row],[kbli5]],Table1[[#All],[kbli5]:[digital_hijau]],5,)</f>
        <v>#N/A</v>
      </c>
      <c r="G968" s="53" t="e">
        <f>VLOOKUP(Table13[[#This Row],[kbli5]],Table1[[#All],[kbli5]:[digital_hijau]],6,)</f>
        <v>#N/A</v>
      </c>
      <c r="H968" s="54" t="e">
        <f>VLOOKUP(Table13[[#This Row],[kbli5]],kata_kunci!$B:$H,3,FALSE)</f>
        <v>#N/A</v>
      </c>
      <c r="I968" s="84" t="e">
        <f>VLOOKUP(Table13[[#This Row],[kbli5]],kata_kunci!$B:$H,5,FALSE)</f>
        <v>#N/A</v>
      </c>
      <c r="J968" s="84" t="e">
        <f>VLOOKUP(Table13[[#This Row],[kbli5]],kata_kunci!$B:$H,6,FALSE)</f>
        <v>#N/A</v>
      </c>
      <c r="K968" s="84" t="e">
        <f>VLOOKUP(Table13[[#This Row],[kbli5]],kata_kunci!$B:$H,7,FALSE)</f>
        <v>#N/A</v>
      </c>
    </row>
    <row r="969" spans="1:11" ht="45.75" thickBot="1" x14ac:dyDescent="0.3">
      <c r="A969" s="53" t="s">
        <v>16</v>
      </c>
      <c r="B969" s="40">
        <v>50139</v>
      </c>
      <c r="C969" s="41" t="s">
        <v>1233</v>
      </c>
      <c r="D969" s="30" t="e">
        <f>VLOOKUP(Table13[[#This Row],[kbli5]],Table1[[#All],[kbli5]:[digital_hijau]],3,)</f>
        <v>#N/A</v>
      </c>
      <c r="E969" s="53" t="e">
        <f>VLOOKUP(Table13[[#This Row],[kbli5]],kata_kunci!$B:$H,4,FALSE)</f>
        <v>#N/A</v>
      </c>
      <c r="F969" s="53" t="e">
        <f>VLOOKUP(Table13[[#This Row],[kbli5]],Table1[[#All],[kbli5]:[digital_hijau]],5,)</f>
        <v>#N/A</v>
      </c>
      <c r="G969" s="53" t="e">
        <f>VLOOKUP(Table13[[#This Row],[kbli5]],Table1[[#All],[kbli5]:[digital_hijau]],6,)</f>
        <v>#N/A</v>
      </c>
      <c r="H969" s="54" t="e">
        <f>VLOOKUP(Table13[[#This Row],[kbli5]],kata_kunci!$B:$H,3,FALSE)</f>
        <v>#N/A</v>
      </c>
      <c r="I969" s="84" t="e">
        <f>VLOOKUP(Table13[[#This Row],[kbli5]],kata_kunci!$B:$H,5,FALSE)</f>
        <v>#N/A</v>
      </c>
      <c r="J969" s="84" t="e">
        <f>VLOOKUP(Table13[[#This Row],[kbli5]],kata_kunci!$B:$H,6,FALSE)</f>
        <v>#N/A</v>
      </c>
      <c r="K969" s="84" t="e">
        <f>VLOOKUP(Table13[[#This Row],[kbli5]],kata_kunci!$B:$H,7,FALSE)</f>
        <v>#N/A</v>
      </c>
    </row>
    <row r="970" spans="1:11" ht="60.75" thickBot="1" x14ac:dyDescent="0.3">
      <c r="A970" s="53" t="s">
        <v>16</v>
      </c>
      <c r="B970" s="40">
        <v>50141</v>
      </c>
      <c r="C970" s="41" t="s">
        <v>1234</v>
      </c>
      <c r="D970" s="30" t="e">
        <f>VLOOKUP(Table13[[#This Row],[kbli5]],Table1[[#All],[kbli5]:[digital_hijau]],3,)</f>
        <v>#N/A</v>
      </c>
      <c r="E970" s="53" t="e">
        <f>VLOOKUP(Table13[[#This Row],[kbli5]],kata_kunci!$B:$H,4,FALSE)</f>
        <v>#N/A</v>
      </c>
      <c r="F970" s="53" t="e">
        <f>VLOOKUP(Table13[[#This Row],[kbli5]],Table1[[#All],[kbli5]:[digital_hijau]],5,)</f>
        <v>#N/A</v>
      </c>
      <c r="G970" s="53" t="e">
        <f>VLOOKUP(Table13[[#This Row],[kbli5]],Table1[[#All],[kbli5]:[digital_hijau]],6,)</f>
        <v>#N/A</v>
      </c>
      <c r="H970" s="54" t="e">
        <f>VLOOKUP(Table13[[#This Row],[kbli5]],kata_kunci!$B:$H,3,FALSE)</f>
        <v>#N/A</v>
      </c>
      <c r="I970" s="84" t="e">
        <f>VLOOKUP(Table13[[#This Row],[kbli5]],kata_kunci!$B:$H,5,FALSE)</f>
        <v>#N/A</v>
      </c>
      <c r="J970" s="84" t="e">
        <f>VLOOKUP(Table13[[#This Row],[kbli5]],kata_kunci!$B:$H,6,FALSE)</f>
        <v>#N/A</v>
      </c>
      <c r="K970" s="84" t="e">
        <f>VLOOKUP(Table13[[#This Row],[kbli5]],kata_kunci!$B:$H,7,FALSE)</f>
        <v>#N/A</v>
      </c>
    </row>
    <row r="971" spans="1:11" ht="60.75" thickBot="1" x14ac:dyDescent="0.3">
      <c r="A971" s="53" t="s">
        <v>16</v>
      </c>
      <c r="B971" s="40">
        <v>50142</v>
      </c>
      <c r="C971" s="41" t="s">
        <v>1229</v>
      </c>
      <c r="D971" s="30" t="e">
        <f>VLOOKUP(Table13[[#This Row],[kbli5]],Table1[[#All],[kbli5]:[digital_hijau]],3,)</f>
        <v>#N/A</v>
      </c>
      <c r="E971" s="53" t="e">
        <f>VLOOKUP(Table13[[#This Row],[kbli5]],kata_kunci!$B:$H,4,FALSE)</f>
        <v>#N/A</v>
      </c>
      <c r="F971" s="53" t="e">
        <f>VLOOKUP(Table13[[#This Row],[kbli5]],Table1[[#All],[kbli5]:[digital_hijau]],5,)</f>
        <v>#N/A</v>
      </c>
      <c r="G971" s="53" t="e">
        <f>VLOOKUP(Table13[[#This Row],[kbli5]],Table1[[#All],[kbli5]:[digital_hijau]],6,)</f>
        <v>#N/A</v>
      </c>
      <c r="H971" s="54" t="e">
        <f>VLOOKUP(Table13[[#This Row],[kbli5]],kata_kunci!$B:$H,3,FALSE)</f>
        <v>#N/A</v>
      </c>
      <c r="I971" s="84" t="e">
        <f>VLOOKUP(Table13[[#This Row],[kbli5]],kata_kunci!$B:$H,5,FALSE)</f>
        <v>#N/A</v>
      </c>
      <c r="J971" s="84" t="e">
        <f>VLOOKUP(Table13[[#This Row],[kbli5]],kata_kunci!$B:$H,6,FALSE)</f>
        <v>#N/A</v>
      </c>
      <c r="K971" s="84" t="e">
        <f>VLOOKUP(Table13[[#This Row],[kbli5]],kata_kunci!$B:$H,7,FALSE)</f>
        <v>#N/A</v>
      </c>
    </row>
    <row r="972" spans="1:11" ht="60.75" thickBot="1" x14ac:dyDescent="0.3">
      <c r="A972" s="53" t="s">
        <v>16</v>
      </c>
      <c r="B972" s="40">
        <v>50143</v>
      </c>
      <c r="C972" s="41" t="s">
        <v>1230</v>
      </c>
      <c r="D972" s="30" t="e">
        <f>VLOOKUP(Table13[[#This Row],[kbli5]],Table1[[#All],[kbli5]:[digital_hijau]],3,)</f>
        <v>#N/A</v>
      </c>
      <c r="E972" s="53" t="e">
        <f>VLOOKUP(Table13[[#This Row],[kbli5]],kata_kunci!$B:$H,4,FALSE)</f>
        <v>#N/A</v>
      </c>
      <c r="F972" s="53" t="e">
        <f>VLOOKUP(Table13[[#This Row],[kbli5]],Table1[[#All],[kbli5]:[digital_hijau]],5,)</f>
        <v>#N/A</v>
      </c>
      <c r="G972" s="53" t="e">
        <f>VLOOKUP(Table13[[#This Row],[kbli5]],Table1[[#All],[kbli5]:[digital_hijau]],6,)</f>
        <v>#N/A</v>
      </c>
      <c r="H972" s="54" t="e">
        <f>VLOOKUP(Table13[[#This Row],[kbli5]],kata_kunci!$B:$H,3,FALSE)</f>
        <v>#N/A</v>
      </c>
      <c r="I972" s="84" t="e">
        <f>VLOOKUP(Table13[[#This Row],[kbli5]],kata_kunci!$B:$H,5,FALSE)</f>
        <v>#N/A</v>
      </c>
      <c r="J972" s="84" t="e">
        <f>VLOOKUP(Table13[[#This Row],[kbli5]],kata_kunci!$B:$H,6,FALSE)</f>
        <v>#N/A</v>
      </c>
      <c r="K972" s="84" t="e">
        <f>VLOOKUP(Table13[[#This Row],[kbli5]],kata_kunci!$B:$H,7,FALSE)</f>
        <v>#N/A</v>
      </c>
    </row>
    <row r="973" spans="1:11" ht="45.75" thickBot="1" x14ac:dyDescent="0.3">
      <c r="A973" s="53" t="s">
        <v>16</v>
      </c>
      <c r="B973" s="40">
        <v>50144</v>
      </c>
      <c r="C973" s="41" t="s">
        <v>1231</v>
      </c>
      <c r="D973" s="30" t="e">
        <f>VLOOKUP(Table13[[#This Row],[kbli5]],Table1[[#All],[kbli5]:[digital_hijau]],3,)</f>
        <v>#N/A</v>
      </c>
      <c r="E973" s="53" t="e">
        <f>VLOOKUP(Table13[[#This Row],[kbli5]],kata_kunci!$B:$H,4,FALSE)</f>
        <v>#N/A</v>
      </c>
      <c r="F973" s="53" t="e">
        <f>VLOOKUP(Table13[[#This Row],[kbli5]],Table1[[#All],[kbli5]:[digital_hijau]],5,)</f>
        <v>#N/A</v>
      </c>
      <c r="G973" s="53" t="e">
        <f>VLOOKUP(Table13[[#This Row],[kbli5]],Table1[[#All],[kbli5]:[digital_hijau]],6,)</f>
        <v>#N/A</v>
      </c>
      <c r="H973" s="54" t="e">
        <f>VLOOKUP(Table13[[#This Row],[kbli5]],kata_kunci!$B:$H,3,FALSE)</f>
        <v>#N/A</v>
      </c>
      <c r="I973" s="84" t="e">
        <f>VLOOKUP(Table13[[#This Row],[kbli5]],kata_kunci!$B:$H,5,FALSE)</f>
        <v>#N/A</v>
      </c>
      <c r="J973" s="84" t="e">
        <f>VLOOKUP(Table13[[#This Row],[kbli5]],kata_kunci!$B:$H,6,FALSE)</f>
        <v>#N/A</v>
      </c>
      <c r="K973" s="84" t="e">
        <f>VLOOKUP(Table13[[#This Row],[kbli5]],kata_kunci!$B:$H,7,FALSE)</f>
        <v>#N/A</v>
      </c>
    </row>
    <row r="974" spans="1:11" ht="60.75" thickBot="1" x14ac:dyDescent="0.3">
      <c r="A974" s="53" t="s">
        <v>16</v>
      </c>
      <c r="B974" s="40">
        <v>50145</v>
      </c>
      <c r="C974" s="41" t="s">
        <v>1232</v>
      </c>
      <c r="D974" s="30" t="e">
        <f>VLOOKUP(Table13[[#This Row],[kbli5]],Table1[[#All],[kbli5]:[digital_hijau]],3,)</f>
        <v>#N/A</v>
      </c>
      <c r="E974" s="53" t="e">
        <f>VLOOKUP(Table13[[#This Row],[kbli5]],kata_kunci!$B:$H,4,FALSE)</f>
        <v>#N/A</v>
      </c>
      <c r="F974" s="53" t="e">
        <f>VLOOKUP(Table13[[#This Row],[kbli5]],Table1[[#All],[kbli5]:[digital_hijau]],5,)</f>
        <v>#N/A</v>
      </c>
      <c r="G974" s="53" t="e">
        <f>VLOOKUP(Table13[[#This Row],[kbli5]],Table1[[#All],[kbli5]:[digital_hijau]],6,)</f>
        <v>#N/A</v>
      </c>
      <c r="H974" s="54" t="e">
        <f>VLOOKUP(Table13[[#This Row],[kbli5]],kata_kunci!$B:$H,3,FALSE)</f>
        <v>#N/A</v>
      </c>
      <c r="I974" s="84" t="e">
        <f>VLOOKUP(Table13[[#This Row],[kbli5]],kata_kunci!$B:$H,5,FALSE)</f>
        <v>#N/A</v>
      </c>
      <c r="J974" s="84" t="e">
        <f>VLOOKUP(Table13[[#This Row],[kbli5]],kata_kunci!$B:$H,6,FALSE)</f>
        <v>#N/A</v>
      </c>
      <c r="K974" s="84" t="e">
        <f>VLOOKUP(Table13[[#This Row],[kbli5]],kata_kunci!$B:$H,7,FALSE)</f>
        <v>#N/A</v>
      </c>
    </row>
    <row r="975" spans="1:11" ht="30.75" thickBot="1" x14ac:dyDescent="0.3">
      <c r="A975" s="53" t="s">
        <v>16</v>
      </c>
      <c r="B975" s="40">
        <v>50149</v>
      </c>
      <c r="C975" s="41" t="s">
        <v>1235</v>
      </c>
      <c r="D975" s="30" t="e">
        <f>VLOOKUP(Table13[[#This Row],[kbli5]],Table1[[#All],[kbli5]:[digital_hijau]],3,)</f>
        <v>#N/A</v>
      </c>
      <c r="E975" s="53" t="e">
        <f>VLOOKUP(Table13[[#This Row],[kbli5]],kata_kunci!$B:$H,4,FALSE)</f>
        <v>#N/A</v>
      </c>
      <c r="F975" s="53" t="e">
        <f>VLOOKUP(Table13[[#This Row],[kbli5]],Table1[[#All],[kbli5]:[digital_hijau]],5,)</f>
        <v>#N/A</v>
      </c>
      <c r="G975" s="53" t="e">
        <f>VLOOKUP(Table13[[#This Row],[kbli5]],Table1[[#All],[kbli5]:[digital_hijau]],6,)</f>
        <v>#N/A</v>
      </c>
      <c r="H975" s="54" t="e">
        <f>VLOOKUP(Table13[[#This Row],[kbli5]],kata_kunci!$B:$H,3,FALSE)</f>
        <v>#N/A</v>
      </c>
      <c r="I975" s="84" t="e">
        <f>VLOOKUP(Table13[[#This Row],[kbli5]],kata_kunci!$B:$H,5,FALSE)</f>
        <v>#N/A</v>
      </c>
      <c r="J975" s="84" t="e">
        <f>VLOOKUP(Table13[[#This Row],[kbli5]],kata_kunci!$B:$H,6,FALSE)</f>
        <v>#N/A</v>
      </c>
      <c r="K975" s="84" t="e">
        <f>VLOOKUP(Table13[[#This Row],[kbli5]],kata_kunci!$B:$H,7,FALSE)</f>
        <v>#N/A</v>
      </c>
    </row>
    <row r="976" spans="1:11" ht="45.75" thickBot="1" x14ac:dyDescent="0.3">
      <c r="A976" s="53" t="s">
        <v>16</v>
      </c>
      <c r="B976" s="40">
        <v>50211</v>
      </c>
      <c r="C976" s="41" t="s">
        <v>1236</v>
      </c>
      <c r="D976" s="30" t="e">
        <f>VLOOKUP(Table13[[#This Row],[kbli5]],Table1[[#All],[kbli5]:[digital_hijau]],3,)</f>
        <v>#N/A</v>
      </c>
      <c r="E976" s="53" t="e">
        <f>VLOOKUP(Table13[[#This Row],[kbli5]],kata_kunci!$B:$H,4,FALSE)</f>
        <v>#N/A</v>
      </c>
      <c r="F976" s="53" t="e">
        <f>VLOOKUP(Table13[[#This Row],[kbli5]],Table1[[#All],[kbli5]:[digital_hijau]],5,)</f>
        <v>#N/A</v>
      </c>
      <c r="G976" s="53" t="e">
        <f>VLOOKUP(Table13[[#This Row],[kbli5]],Table1[[#All],[kbli5]:[digital_hijau]],6,)</f>
        <v>#N/A</v>
      </c>
      <c r="H976" s="54" t="e">
        <f>VLOOKUP(Table13[[#This Row],[kbli5]],kata_kunci!$B:$H,3,FALSE)</f>
        <v>#N/A</v>
      </c>
      <c r="I976" s="84" t="e">
        <f>VLOOKUP(Table13[[#This Row],[kbli5]],kata_kunci!$B:$H,5,FALSE)</f>
        <v>#N/A</v>
      </c>
      <c r="J976" s="84" t="e">
        <f>VLOOKUP(Table13[[#This Row],[kbli5]],kata_kunci!$B:$H,6,FALSE)</f>
        <v>#N/A</v>
      </c>
      <c r="K976" s="84" t="e">
        <f>VLOOKUP(Table13[[#This Row],[kbli5]],kata_kunci!$B:$H,7,FALSE)</f>
        <v>#N/A</v>
      </c>
    </row>
    <row r="977" spans="1:11" ht="45.75" thickBot="1" x14ac:dyDescent="0.3">
      <c r="A977" s="53" t="s">
        <v>16</v>
      </c>
      <c r="B977" s="40">
        <v>50212</v>
      </c>
      <c r="C977" s="41" t="s">
        <v>1237</v>
      </c>
      <c r="D977" s="30" t="e">
        <f>VLOOKUP(Table13[[#This Row],[kbli5]],Table1[[#All],[kbli5]:[digital_hijau]],3,)</f>
        <v>#N/A</v>
      </c>
      <c r="E977" s="53" t="e">
        <f>VLOOKUP(Table13[[#This Row],[kbli5]],kata_kunci!$B:$H,4,FALSE)</f>
        <v>#N/A</v>
      </c>
      <c r="F977" s="53" t="e">
        <f>VLOOKUP(Table13[[#This Row],[kbli5]],Table1[[#All],[kbli5]:[digital_hijau]],5,)</f>
        <v>#N/A</v>
      </c>
      <c r="G977" s="53" t="e">
        <f>VLOOKUP(Table13[[#This Row],[kbli5]],Table1[[#All],[kbli5]:[digital_hijau]],6,)</f>
        <v>#N/A</v>
      </c>
      <c r="H977" s="54" t="e">
        <f>VLOOKUP(Table13[[#This Row],[kbli5]],kata_kunci!$B:$H,3,FALSE)</f>
        <v>#N/A</v>
      </c>
      <c r="I977" s="84" t="e">
        <f>VLOOKUP(Table13[[#This Row],[kbli5]],kata_kunci!$B:$H,5,FALSE)</f>
        <v>#N/A</v>
      </c>
      <c r="J977" s="84" t="e">
        <f>VLOOKUP(Table13[[#This Row],[kbli5]],kata_kunci!$B:$H,6,FALSE)</f>
        <v>#N/A</v>
      </c>
      <c r="K977" s="84" t="e">
        <f>VLOOKUP(Table13[[#This Row],[kbli5]],kata_kunci!$B:$H,7,FALSE)</f>
        <v>#N/A</v>
      </c>
    </row>
    <row r="978" spans="1:11" ht="30.75" thickBot="1" x14ac:dyDescent="0.3">
      <c r="A978" s="53" t="s">
        <v>16</v>
      </c>
      <c r="B978" s="40">
        <v>50213</v>
      </c>
      <c r="C978" s="41" t="s">
        <v>1238</v>
      </c>
      <c r="D978" s="30" t="e">
        <f>VLOOKUP(Table13[[#This Row],[kbli5]],Table1[[#All],[kbli5]:[digital_hijau]],3,)</f>
        <v>#N/A</v>
      </c>
      <c r="E978" s="53" t="e">
        <f>VLOOKUP(Table13[[#This Row],[kbli5]],kata_kunci!$B:$H,4,FALSE)</f>
        <v>#N/A</v>
      </c>
      <c r="F978" s="53" t="e">
        <f>VLOOKUP(Table13[[#This Row],[kbli5]],Table1[[#All],[kbli5]:[digital_hijau]],5,)</f>
        <v>#N/A</v>
      </c>
      <c r="G978" s="53" t="e">
        <f>VLOOKUP(Table13[[#This Row],[kbli5]],Table1[[#All],[kbli5]:[digital_hijau]],6,)</f>
        <v>#N/A</v>
      </c>
      <c r="H978" s="54" t="e">
        <f>VLOOKUP(Table13[[#This Row],[kbli5]],kata_kunci!$B:$H,3,FALSE)</f>
        <v>#N/A</v>
      </c>
      <c r="I978" s="84" t="e">
        <f>VLOOKUP(Table13[[#This Row],[kbli5]],kata_kunci!$B:$H,5,FALSE)</f>
        <v>#N/A</v>
      </c>
      <c r="J978" s="84" t="e">
        <f>VLOOKUP(Table13[[#This Row],[kbli5]],kata_kunci!$B:$H,6,FALSE)</f>
        <v>#N/A</v>
      </c>
      <c r="K978" s="84" t="e">
        <f>VLOOKUP(Table13[[#This Row],[kbli5]],kata_kunci!$B:$H,7,FALSE)</f>
        <v>#N/A</v>
      </c>
    </row>
    <row r="979" spans="1:11" ht="45.75" thickBot="1" x14ac:dyDescent="0.3">
      <c r="A979" s="53" t="s">
        <v>16</v>
      </c>
      <c r="B979" s="40">
        <v>50221</v>
      </c>
      <c r="C979" s="41" t="s">
        <v>1239</v>
      </c>
      <c r="D979" s="30" t="e">
        <f>VLOOKUP(Table13[[#This Row],[kbli5]],Table1[[#All],[kbli5]:[digital_hijau]],3,)</f>
        <v>#N/A</v>
      </c>
      <c r="E979" s="53" t="e">
        <f>VLOOKUP(Table13[[#This Row],[kbli5]],kata_kunci!$B:$H,4,FALSE)</f>
        <v>#N/A</v>
      </c>
      <c r="F979" s="53" t="e">
        <f>VLOOKUP(Table13[[#This Row],[kbli5]],Table1[[#All],[kbli5]:[digital_hijau]],5,)</f>
        <v>#N/A</v>
      </c>
      <c r="G979" s="53" t="e">
        <f>VLOOKUP(Table13[[#This Row],[kbli5]],Table1[[#All],[kbli5]:[digital_hijau]],6,)</f>
        <v>#N/A</v>
      </c>
      <c r="H979" s="54" t="e">
        <f>VLOOKUP(Table13[[#This Row],[kbli5]],kata_kunci!$B:$H,3,FALSE)</f>
        <v>#N/A</v>
      </c>
      <c r="I979" s="84" t="e">
        <f>VLOOKUP(Table13[[#This Row],[kbli5]],kata_kunci!$B:$H,5,FALSE)</f>
        <v>#N/A</v>
      </c>
      <c r="J979" s="84" t="e">
        <f>VLOOKUP(Table13[[#This Row],[kbli5]],kata_kunci!$B:$H,6,FALSE)</f>
        <v>#N/A</v>
      </c>
      <c r="K979" s="84" t="e">
        <f>VLOOKUP(Table13[[#This Row],[kbli5]],kata_kunci!$B:$H,7,FALSE)</f>
        <v>#N/A</v>
      </c>
    </row>
    <row r="980" spans="1:11" ht="45.75" thickBot="1" x14ac:dyDescent="0.3">
      <c r="A980" s="53" t="s">
        <v>16</v>
      </c>
      <c r="B980" s="40">
        <v>50222</v>
      </c>
      <c r="C980" s="41" t="s">
        <v>1240</v>
      </c>
      <c r="D980" s="30" t="e">
        <f>VLOOKUP(Table13[[#This Row],[kbli5]],Table1[[#All],[kbli5]:[digital_hijau]],3,)</f>
        <v>#N/A</v>
      </c>
      <c r="E980" s="53" t="e">
        <f>VLOOKUP(Table13[[#This Row],[kbli5]],kata_kunci!$B:$H,4,FALSE)</f>
        <v>#N/A</v>
      </c>
      <c r="F980" s="53" t="e">
        <f>VLOOKUP(Table13[[#This Row],[kbli5]],Table1[[#All],[kbli5]:[digital_hijau]],5,)</f>
        <v>#N/A</v>
      </c>
      <c r="G980" s="53" t="e">
        <f>VLOOKUP(Table13[[#This Row],[kbli5]],Table1[[#All],[kbli5]:[digital_hijau]],6,)</f>
        <v>#N/A</v>
      </c>
      <c r="H980" s="54" t="e">
        <f>VLOOKUP(Table13[[#This Row],[kbli5]],kata_kunci!$B:$H,3,FALSE)</f>
        <v>#N/A</v>
      </c>
      <c r="I980" s="84" t="e">
        <f>VLOOKUP(Table13[[#This Row],[kbli5]],kata_kunci!$B:$H,5,FALSE)</f>
        <v>#N/A</v>
      </c>
      <c r="J980" s="84" t="e">
        <f>VLOOKUP(Table13[[#This Row],[kbli5]],kata_kunci!$B:$H,6,FALSE)</f>
        <v>#N/A</v>
      </c>
      <c r="K980" s="84" t="e">
        <f>VLOOKUP(Table13[[#This Row],[kbli5]],kata_kunci!$B:$H,7,FALSE)</f>
        <v>#N/A</v>
      </c>
    </row>
    <row r="981" spans="1:11" ht="45.75" thickBot="1" x14ac:dyDescent="0.3">
      <c r="A981" s="53" t="s">
        <v>16</v>
      </c>
      <c r="B981" s="40">
        <v>50223</v>
      </c>
      <c r="C981" s="41" t="s">
        <v>1241</v>
      </c>
      <c r="D981" s="30" t="e">
        <f>VLOOKUP(Table13[[#This Row],[kbli5]],Table1[[#All],[kbli5]:[digital_hijau]],3,)</f>
        <v>#N/A</v>
      </c>
      <c r="E981" s="53" t="e">
        <f>VLOOKUP(Table13[[#This Row],[kbli5]],kata_kunci!$B:$H,4,FALSE)</f>
        <v>#N/A</v>
      </c>
      <c r="F981" s="53" t="e">
        <f>VLOOKUP(Table13[[#This Row],[kbli5]],Table1[[#All],[kbli5]:[digital_hijau]],5,)</f>
        <v>#N/A</v>
      </c>
      <c r="G981" s="53" t="e">
        <f>VLOOKUP(Table13[[#This Row],[kbli5]],Table1[[#All],[kbli5]:[digital_hijau]],6,)</f>
        <v>#N/A</v>
      </c>
      <c r="H981" s="54" t="e">
        <f>VLOOKUP(Table13[[#This Row],[kbli5]],kata_kunci!$B:$H,3,FALSE)</f>
        <v>#N/A</v>
      </c>
      <c r="I981" s="84" t="e">
        <f>VLOOKUP(Table13[[#This Row],[kbli5]],kata_kunci!$B:$H,5,FALSE)</f>
        <v>#N/A</v>
      </c>
      <c r="J981" s="84" t="e">
        <f>VLOOKUP(Table13[[#This Row],[kbli5]],kata_kunci!$B:$H,6,FALSE)</f>
        <v>#N/A</v>
      </c>
      <c r="K981" s="84" t="e">
        <f>VLOOKUP(Table13[[#This Row],[kbli5]],kata_kunci!$B:$H,7,FALSE)</f>
        <v>#N/A</v>
      </c>
    </row>
    <row r="982" spans="1:11" ht="45.75" thickBot="1" x14ac:dyDescent="0.3">
      <c r="A982" s="53" t="s">
        <v>16</v>
      </c>
      <c r="B982" s="40">
        <v>51101</v>
      </c>
      <c r="C982" s="41" t="s">
        <v>1242</v>
      </c>
      <c r="D982" s="30" t="e">
        <f>VLOOKUP(Table13[[#This Row],[kbli5]],Table1[[#All],[kbli5]:[digital_hijau]],3,)</f>
        <v>#N/A</v>
      </c>
      <c r="E982" s="53" t="e">
        <f>VLOOKUP(Table13[[#This Row],[kbli5]],kata_kunci!$B:$H,4,FALSE)</f>
        <v>#N/A</v>
      </c>
      <c r="F982" s="53" t="e">
        <f>VLOOKUP(Table13[[#This Row],[kbli5]],Table1[[#All],[kbli5]:[digital_hijau]],5,)</f>
        <v>#N/A</v>
      </c>
      <c r="G982" s="53" t="e">
        <f>VLOOKUP(Table13[[#This Row],[kbli5]],Table1[[#All],[kbli5]:[digital_hijau]],6,)</f>
        <v>#N/A</v>
      </c>
      <c r="H982" s="54" t="e">
        <f>VLOOKUP(Table13[[#This Row],[kbli5]],kata_kunci!$B:$H,3,FALSE)</f>
        <v>#N/A</v>
      </c>
      <c r="I982" s="84" t="e">
        <f>VLOOKUP(Table13[[#This Row],[kbli5]],kata_kunci!$B:$H,5,FALSE)</f>
        <v>#N/A</v>
      </c>
      <c r="J982" s="84" t="e">
        <f>VLOOKUP(Table13[[#This Row],[kbli5]],kata_kunci!$B:$H,6,FALSE)</f>
        <v>#N/A</v>
      </c>
      <c r="K982" s="84" t="e">
        <f>VLOOKUP(Table13[[#This Row],[kbli5]],kata_kunci!$B:$H,7,FALSE)</f>
        <v>#N/A</v>
      </c>
    </row>
    <row r="983" spans="1:11" ht="45.75" thickBot="1" x14ac:dyDescent="0.3">
      <c r="A983" s="53" t="s">
        <v>16</v>
      </c>
      <c r="B983" s="40">
        <v>51102</v>
      </c>
      <c r="C983" s="41" t="s">
        <v>1243</v>
      </c>
      <c r="D983" s="30" t="e">
        <f>VLOOKUP(Table13[[#This Row],[kbli5]],Table1[[#All],[kbli5]:[digital_hijau]],3,)</f>
        <v>#N/A</v>
      </c>
      <c r="E983" s="53" t="e">
        <f>VLOOKUP(Table13[[#This Row],[kbli5]],kata_kunci!$B:$H,4,FALSE)</f>
        <v>#N/A</v>
      </c>
      <c r="F983" s="53" t="e">
        <f>VLOOKUP(Table13[[#This Row],[kbli5]],Table1[[#All],[kbli5]:[digital_hijau]],5,)</f>
        <v>#N/A</v>
      </c>
      <c r="G983" s="53" t="e">
        <f>VLOOKUP(Table13[[#This Row],[kbli5]],Table1[[#All],[kbli5]:[digital_hijau]],6,)</f>
        <v>#N/A</v>
      </c>
      <c r="H983" s="54" t="e">
        <f>VLOOKUP(Table13[[#This Row],[kbli5]],kata_kunci!$B:$H,3,FALSE)</f>
        <v>#N/A</v>
      </c>
      <c r="I983" s="84" t="e">
        <f>VLOOKUP(Table13[[#This Row],[kbli5]],kata_kunci!$B:$H,5,FALSE)</f>
        <v>#N/A</v>
      </c>
      <c r="J983" s="84" t="e">
        <f>VLOOKUP(Table13[[#This Row],[kbli5]],kata_kunci!$B:$H,6,FALSE)</f>
        <v>#N/A</v>
      </c>
      <c r="K983" s="84" t="e">
        <f>VLOOKUP(Table13[[#This Row],[kbli5]],kata_kunci!$B:$H,7,FALSE)</f>
        <v>#N/A</v>
      </c>
    </row>
    <row r="984" spans="1:11" ht="30.75" thickBot="1" x14ac:dyDescent="0.3">
      <c r="A984" s="53" t="s">
        <v>16</v>
      </c>
      <c r="B984" s="40">
        <v>51103</v>
      </c>
      <c r="C984" s="41" t="s">
        <v>1244</v>
      </c>
      <c r="D984" s="30" t="e">
        <f>VLOOKUP(Table13[[#This Row],[kbli5]],Table1[[#All],[kbli5]:[digital_hijau]],3,)</f>
        <v>#N/A</v>
      </c>
      <c r="E984" s="53" t="e">
        <f>VLOOKUP(Table13[[#This Row],[kbli5]],kata_kunci!$B:$H,4,FALSE)</f>
        <v>#N/A</v>
      </c>
      <c r="F984" s="53" t="e">
        <f>VLOOKUP(Table13[[#This Row],[kbli5]],Table1[[#All],[kbli5]:[digital_hijau]],5,)</f>
        <v>#N/A</v>
      </c>
      <c r="G984" s="53" t="e">
        <f>VLOOKUP(Table13[[#This Row],[kbli5]],Table1[[#All],[kbli5]:[digital_hijau]],6,)</f>
        <v>#N/A</v>
      </c>
      <c r="H984" s="54" t="e">
        <f>VLOOKUP(Table13[[#This Row],[kbli5]],kata_kunci!$B:$H,3,FALSE)</f>
        <v>#N/A</v>
      </c>
      <c r="I984" s="84" t="e">
        <f>VLOOKUP(Table13[[#This Row],[kbli5]],kata_kunci!$B:$H,5,FALSE)</f>
        <v>#N/A</v>
      </c>
      <c r="J984" s="84" t="e">
        <f>VLOOKUP(Table13[[#This Row],[kbli5]],kata_kunci!$B:$H,6,FALSE)</f>
        <v>#N/A</v>
      </c>
      <c r="K984" s="84" t="e">
        <f>VLOOKUP(Table13[[#This Row],[kbli5]],kata_kunci!$B:$H,7,FALSE)</f>
        <v>#N/A</v>
      </c>
    </row>
    <row r="985" spans="1:11" ht="30.75" thickBot="1" x14ac:dyDescent="0.3">
      <c r="A985" s="53" t="s">
        <v>16</v>
      </c>
      <c r="B985" s="40">
        <v>51201</v>
      </c>
      <c r="C985" s="41" t="s">
        <v>1245</v>
      </c>
      <c r="D985" s="30" t="e">
        <f>VLOOKUP(Table13[[#This Row],[kbli5]],Table1[[#All],[kbli5]:[digital_hijau]],3,)</f>
        <v>#N/A</v>
      </c>
      <c r="E985" s="53" t="e">
        <f>VLOOKUP(Table13[[#This Row],[kbli5]],kata_kunci!$B:$H,4,FALSE)</f>
        <v>#N/A</v>
      </c>
      <c r="F985" s="53" t="e">
        <f>VLOOKUP(Table13[[#This Row],[kbli5]],Table1[[#All],[kbli5]:[digital_hijau]],5,)</f>
        <v>#N/A</v>
      </c>
      <c r="G985" s="53" t="e">
        <f>VLOOKUP(Table13[[#This Row],[kbli5]],Table1[[#All],[kbli5]:[digital_hijau]],6,)</f>
        <v>#N/A</v>
      </c>
      <c r="H985" s="54" t="e">
        <f>VLOOKUP(Table13[[#This Row],[kbli5]],kata_kunci!$B:$H,3,FALSE)</f>
        <v>#N/A</v>
      </c>
      <c r="I985" s="84" t="e">
        <f>VLOOKUP(Table13[[#This Row],[kbli5]],kata_kunci!$B:$H,5,FALSE)</f>
        <v>#N/A</v>
      </c>
      <c r="J985" s="84" t="e">
        <f>VLOOKUP(Table13[[#This Row],[kbli5]],kata_kunci!$B:$H,6,FALSE)</f>
        <v>#N/A</v>
      </c>
      <c r="K985" s="84" t="e">
        <f>VLOOKUP(Table13[[#This Row],[kbli5]],kata_kunci!$B:$H,7,FALSE)</f>
        <v>#N/A</v>
      </c>
    </row>
    <row r="986" spans="1:11" ht="45.75" thickBot="1" x14ac:dyDescent="0.3">
      <c r="A986" s="53" t="s">
        <v>16</v>
      </c>
      <c r="B986" s="40">
        <v>51202</v>
      </c>
      <c r="C986" s="41" t="s">
        <v>1246</v>
      </c>
      <c r="D986" s="30" t="e">
        <f>VLOOKUP(Table13[[#This Row],[kbli5]],Table1[[#All],[kbli5]:[digital_hijau]],3,)</f>
        <v>#N/A</v>
      </c>
      <c r="E986" s="53" t="e">
        <f>VLOOKUP(Table13[[#This Row],[kbli5]],kata_kunci!$B:$H,4,FALSE)</f>
        <v>#N/A</v>
      </c>
      <c r="F986" s="53" t="e">
        <f>VLOOKUP(Table13[[#This Row],[kbli5]],Table1[[#All],[kbli5]:[digital_hijau]],5,)</f>
        <v>#N/A</v>
      </c>
      <c r="G986" s="53" t="e">
        <f>VLOOKUP(Table13[[#This Row],[kbli5]],Table1[[#All],[kbli5]:[digital_hijau]],6,)</f>
        <v>#N/A</v>
      </c>
      <c r="H986" s="54" t="e">
        <f>VLOOKUP(Table13[[#This Row],[kbli5]],kata_kunci!$B:$H,3,FALSE)</f>
        <v>#N/A</v>
      </c>
      <c r="I986" s="84" t="e">
        <f>VLOOKUP(Table13[[#This Row],[kbli5]],kata_kunci!$B:$H,5,FALSE)</f>
        <v>#N/A</v>
      </c>
      <c r="J986" s="84" t="e">
        <f>VLOOKUP(Table13[[#This Row],[kbli5]],kata_kunci!$B:$H,6,FALSE)</f>
        <v>#N/A</v>
      </c>
      <c r="K986" s="84" t="e">
        <f>VLOOKUP(Table13[[#This Row],[kbli5]],kata_kunci!$B:$H,7,FALSE)</f>
        <v>#N/A</v>
      </c>
    </row>
    <row r="987" spans="1:11" ht="30.75" thickBot="1" x14ac:dyDescent="0.3">
      <c r="A987" s="53" t="s">
        <v>16</v>
      </c>
      <c r="B987" s="40">
        <v>51203</v>
      </c>
      <c r="C987" s="41" t="s">
        <v>1247</v>
      </c>
      <c r="D987" s="30" t="e">
        <f>VLOOKUP(Table13[[#This Row],[kbli5]],Table1[[#All],[kbli5]:[digital_hijau]],3,)</f>
        <v>#N/A</v>
      </c>
      <c r="E987" s="53" t="e">
        <f>VLOOKUP(Table13[[#This Row],[kbli5]],kata_kunci!$B:$H,4,FALSE)</f>
        <v>#N/A</v>
      </c>
      <c r="F987" s="53" t="e">
        <f>VLOOKUP(Table13[[#This Row],[kbli5]],Table1[[#All],[kbli5]:[digital_hijau]],5,)</f>
        <v>#N/A</v>
      </c>
      <c r="G987" s="53" t="e">
        <f>VLOOKUP(Table13[[#This Row],[kbli5]],Table1[[#All],[kbli5]:[digital_hijau]],6,)</f>
        <v>#N/A</v>
      </c>
      <c r="H987" s="54" t="e">
        <f>VLOOKUP(Table13[[#This Row],[kbli5]],kata_kunci!$B:$H,3,FALSE)</f>
        <v>#N/A</v>
      </c>
      <c r="I987" s="84" t="e">
        <f>VLOOKUP(Table13[[#This Row],[kbli5]],kata_kunci!$B:$H,5,FALSE)</f>
        <v>#N/A</v>
      </c>
      <c r="J987" s="84" t="e">
        <f>VLOOKUP(Table13[[#This Row],[kbli5]],kata_kunci!$B:$H,6,FALSE)</f>
        <v>#N/A</v>
      </c>
      <c r="K987" s="84" t="e">
        <f>VLOOKUP(Table13[[#This Row],[kbli5]],kata_kunci!$B:$H,7,FALSE)</f>
        <v>#N/A</v>
      </c>
    </row>
    <row r="988" spans="1:11" ht="30.75" thickBot="1" x14ac:dyDescent="0.3">
      <c r="A988" s="53" t="s">
        <v>16</v>
      </c>
      <c r="B988" s="40">
        <v>52101</v>
      </c>
      <c r="C988" s="41" t="s">
        <v>1248</v>
      </c>
      <c r="D988" s="30" t="e">
        <f>VLOOKUP(Table13[[#This Row],[kbli5]],Table1[[#All],[kbli5]:[digital_hijau]],3,)</f>
        <v>#N/A</v>
      </c>
      <c r="E988" s="53" t="e">
        <f>VLOOKUP(Table13[[#This Row],[kbli5]],kata_kunci!$B:$H,4,FALSE)</f>
        <v>#N/A</v>
      </c>
      <c r="F988" s="53" t="e">
        <f>VLOOKUP(Table13[[#This Row],[kbli5]],Table1[[#All],[kbli5]:[digital_hijau]],5,)</f>
        <v>#N/A</v>
      </c>
      <c r="G988" s="53" t="e">
        <f>VLOOKUP(Table13[[#This Row],[kbli5]],Table1[[#All],[kbli5]:[digital_hijau]],6,)</f>
        <v>#N/A</v>
      </c>
      <c r="H988" s="54" t="e">
        <f>VLOOKUP(Table13[[#This Row],[kbli5]],kata_kunci!$B:$H,3,FALSE)</f>
        <v>#N/A</v>
      </c>
      <c r="I988" s="84" t="e">
        <f>VLOOKUP(Table13[[#This Row],[kbli5]],kata_kunci!$B:$H,5,FALSE)</f>
        <v>#N/A</v>
      </c>
      <c r="J988" s="84" t="e">
        <f>VLOOKUP(Table13[[#This Row],[kbli5]],kata_kunci!$B:$H,6,FALSE)</f>
        <v>#N/A</v>
      </c>
      <c r="K988" s="84" t="e">
        <f>VLOOKUP(Table13[[#This Row],[kbli5]],kata_kunci!$B:$H,7,FALSE)</f>
        <v>#N/A</v>
      </c>
    </row>
    <row r="989" spans="1:11" ht="15.75" thickBot="1" x14ac:dyDescent="0.3">
      <c r="A989" s="53" t="s">
        <v>16</v>
      </c>
      <c r="B989" s="40">
        <v>52102</v>
      </c>
      <c r="C989" s="41" t="s">
        <v>1249</v>
      </c>
      <c r="D989" s="30" t="e">
        <f>VLOOKUP(Table13[[#This Row],[kbli5]],Table1[[#All],[kbli5]:[digital_hijau]],3,)</f>
        <v>#N/A</v>
      </c>
      <c r="E989" s="53" t="e">
        <f>VLOOKUP(Table13[[#This Row],[kbli5]],kata_kunci!$B:$H,4,FALSE)</f>
        <v>#N/A</v>
      </c>
      <c r="F989" s="53" t="e">
        <f>VLOOKUP(Table13[[#This Row],[kbli5]],Table1[[#All],[kbli5]:[digital_hijau]],5,)</f>
        <v>#N/A</v>
      </c>
      <c r="G989" s="53" t="e">
        <f>VLOOKUP(Table13[[#This Row],[kbli5]],Table1[[#All],[kbli5]:[digital_hijau]],6,)</f>
        <v>#N/A</v>
      </c>
      <c r="H989" s="54" t="e">
        <f>VLOOKUP(Table13[[#This Row],[kbli5]],kata_kunci!$B:$H,3,FALSE)</f>
        <v>#N/A</v>
      </c>
      <c r="I989" s="84" t="e">
        <f>VLOOKUP(Table13[[#This Row],[kbli5]],kata_kunci!$B:$H,5,FALSE)</f>
        <v>#N/A</v>
      </c>
      <c r="J989" s="84" t="e">
        <f>VLOOKUP(Table13[[#This Row],[kbli5]],kata_kunci!$B:$H,6,FALSE)</f>
        <v>#N/A</v>
      </c>
      <c r="K989" s="84" t="e">
        <f>VLOOKUP(Table13[[#This Row],[kbli5]],kata_kunci!$B:$H,7,FALSE)</f>
        <v>#N/A</v>
      </c>
    </row>
    <row r="990" spans="1:11" ht="30.75" thickBot="1" x14ac:dyDescent="0.3">
      <c r="A990" s="53" t="s">
        <v>16</v>
      </c>
      <c r="B990" s="40">
        <v>52103</v>
      </c>
      <c r="C990" s="41" t="s">
        <v>1250</v>
      </c>
      <c r="D990" s="30" t="e">
        <f>VLOOKUP(Table13[[#This Row],[kbli5]],Table1[[#All],[kbli5]:[digital_hijau]],3,)</f>
        <v>#N/A</v>
      </c>
      <c r="E990" s="53" t="e">
        <f>VLOOKUP(Table13[[#This Row],[kbli5]],kata_kunci!$B:$H,4,FALSE)</f>
        <v>#N/A</v>
      </c>
      <c r="F990" s="53" t="e">
        <f>VLOOKUP(Table13[[#This Row],[kbli5]],Table1[[#All],[kbli5]:[digital_hijau]],5,)</f>
        <v>#N/A</v>
      </c>
      <c r="G990" s="53" t="e">
        <f>VLOOKUP(Table13[[#This Row],[kbli5]],Table1[[#All],[kbli5]:[digital_hijau]],6,)</f>
        <v>#N/A</v>
      </c>
      <c r="H990" s="54" t="e">
        <f>VLOOKUP(Table13[[#This Row],[kbli5]],kata_kunci!$B:$H,3,FALSE)</f>
        <v>#N/A</v>
      </c>
      <c r="I990" s="84" t="e">
        <f>VLOOKUP(Table13[[#This Row],[kbli5]],kata_kunci!$B:$H,5,FALSE)</f>
        <v>#N/A</v>
      </c>
      <c r="J990" s="84" t="e">
        <f>VLOOKUP(Table13[[#This Row],[kbli5]],kata_kunci!$B:$H,6,FALSE)</f>
        <v>#N/A</v>
      </c>
      <c r="K990" s="84" t="e">
        <f>VLOOKUP(Table13[[#This Row],[kbli5]],kata_kunci!$B:$H,7,FALSE)</f>
        <v>#N/A</v>
      </c>
    </row>
    <row r="991" spans="1:11" ht="30.75" thickBot="1" x14ac:dyDescent="0.3">
      <c r="A991" s="53" t="s">
        <v>16</v>
      </c>
      <c r="B991" s="40">
        <v>52104</v>
      </c>
      <c r="C991" s="41" t="s">
        <v>1251</v>
      </c>
      <c r="D991" s="30" t="e">
        <f>VLOOKUP(Table13[[#This Row],[kbli5]],Table1[[#All],[kbli5]:[digital_hijau]],3,)</f>
        <v>#N/A</v>
      </c>
      <c r="E991" s="53" t="e">
        <f>VLOOKUP(Table13[[#This Row],[kbli5]],kata_kunci!$B:$H,4,FALSE)</f>
        <v>#N/A</v>
      </c>
      <c r="F991" s="53" t="e">
        <f>VLOOKUP(Table13[[#This Row],[kbli5]],Table1[[#All],[kbli5]:[digital_hijau]],5,)</f>
        <v>#N/A</v>
      </c>
      <c r="G991" s="53" t="e">
        <f>VLOOKUP(Table13[[#This Row],[kbli5]],Table1[[#All],[kbli5]:[digital_hijau]],6,)</f>
        <v>#N/A</v>
      </c>
      <c r="H991" s="54" t="e">
        <f>VLOOKUP(Table13[[#This Row],[kbli5]],kata_kunci!$B:$H,3,FALSE)</f>
        <v>#N/A</v>
      </c>
      <c r="I991" s="84" t="e">
        <f>VLOOKUP(Table13[[#This Row],[kbli5]],kata_kunci!$B:$H,5,FALSE)</f>
        <v>#N/A</v>
      </c>
      <c r="J991" s="84" t="e">
        <f>VLOOKUP(Table13[[#This Row],[kbli5]],kata_kunci!$B:$H,6,FALSE)</f>
        <v>#N/A</v>
      </c>
      <c r="K991" s="84" t="e">
        <f>VLOOKUP(Table13[[#This Row],[kbli5]],kata_kunci!$B:$H,7,FALSE)</f>
        <v>#N/A</v>
      </c>
    </row>
    <row r="992" spans="1:11" ht="45.75" thickBot="1" x14ac:dyDescent="0.3">
      <c r="A992" s="53" t="s">
        <v>16</v>
      </c>
      <c r="B992" s="40">
        <v>52105</v>
      </c>
      <c r="C992" s="41" t="s">
        <v>1252</v>
      </c>
      <c r="D992" s="30" t="e">
        <f>VLOOKUP(Table13[[#This Row],[kbli5]],Table1[[#All],[kbli5]:[digital_hijau]],3,)</f>
        <v>#N/A</v>
      </c>
      <c r="E992" s="53" t="e">
        <f>VLOOKUP(Table13[[#This Row],[kbli5]],kata_kunci!$B:$H,4,FALSE)</f>
        <v>#N/A</v>
      </c>
      <c r="F992" s="53" t="e">
        <f>VLOOKUP(Table13[[#This Row],[kbli5]],Table1[[#All],[kbli5]:[digital_hijau]],5,)</f>
        <v>#N/A</v>
      </c>
      <c r="G992" s="53" t="e">
        <f>VLOOKUP(Table13[[#This Row],[kbli5]],Table1[[#All],[kbli5]:[digital_hijau]],6,)</f>
        <v>#N/A</v>
      </c>
      <c r="H992" s="54" t="e">
        <f>VLOOKUP(Table13[[#This Row],[kbli5]],kata_kunci!$B:$H,3,FALSE)</f>
        <v>#N/A</v>
      </c>
      <c r="I992" s="84" t="e">
        <f>VLOOKUP(Table13[[#This Row],[kbli5]],kata_kunci!$B:$H,5,FALSE)</f>
        <v>#N/A</v>
      </c>
      <c r="J992" s="84" t="e">
        <f>VLOOKUP(Table13[[#This Row],[kbli5]],kata_kunci!$B:$H,6,FALSE)</f>
        <v>#N/A</v>
      </c>
      <c r="K992" s="84" t="e">
        <f>VLOOKUP(Table13[[#This Row],[kbli5]],kata_kunci!$B:$H,7,FALSE)</f>
        <v>#N/A</v>
      </c>
    </row>
    <row r="993" spans="1:11" ht="30.75" thickBot="1" x14ac:dyDescent="0.3">
      <c r="A993" s="53" t="s">
        <v>16</v>
      </c>
      <c r="B993" s="40">
        <v>52106</v>
      </c>
      <c r="C993" s="41" t="s">
        <v>1253</v>
      </c>
      <c r="D993" s="30" t="e">
        <f>VLOOKUP(Table13[[#This Row],[kbli5]],Table1[[#All],[kbli5]:[digital_hijau]],3,)</f>
        <v>#N/A</v>
      </c>
      <c r="E993" s="53" t="e">
        <f>VLOOKUP(Table13[[#This Row],[kbli5]],kata_kunci!$B:$H,4,FALSE)</f>
        <v>#N/A</v>
      </c>
      <c r="F993" s="53" t="e">
        <f>VLOOKUP(Table13[[#This Row],[kbli5]],Table1[[#All],[kbli5]:[digital_hijau]],5,)</f>
        <v>#N/A</v>
      </c>
      <c r="G993" s="53" t="e">
        <f>VLOOKUP(Table13[[#This Row],[kbli5]],Table1[[#All],[kbli5]:[digital_hijau]],6,)</f>
        <v>#N/A</v>
      </c>
      <c r="H993" s="54" t="e">
        <f>VLOOKUP(Table13[[#This Row],[kbli5]],kata_kunci!$B:$H,3,FALSE)</f>
        <v>#N/A</v>
      </c>
      <c r="I993" s="84" t="e">
        <f>VLOOKUP(Table13[[#This Row],[kbli5]],kata_kunci!$B:$H,5,FALSE)</f>
        <v>#N/A</v>
      </c>
      <c r="J993" s="84" t="e">
        <f>VLOOKUP(Table13[[#This Row],[kbli5]],kata_kunci!$B:$H,6,FALSE)</f>
        <v>#N/A</v>
      </c>
      <c r="K993" s="84" t="e">
        <f>VLOOKUP(Table13[[#This Row],[kbli5]],kata_kunci!$B:$H,7,FALSE)</f>
        <v>#N/A</v>
      </c>
    </row>
    <row r="994" spans="1:11" ht="30.75" thickBot="1" x14ac:dyDescent="0.3">
      <c r="A994" s="53" t="s">
        <v>16</v>
      </c>
      <c r="B994" s="40">
        <v>52107</v>
      </c>
      <c r="C994" s="41" t="s">
        <v>1254</v>
      </c>
      <c r="D994" s="30" t="e">
        <f>VLOOKUP(Table13[[#This Row],[kbli5]],Table1[[#All],[kbli5]:[digital_hijau]],3,)</f>
        <v>#N/A</v>
      </c>
      <c r="E994" s="53" t="e">
        <f>VLOOKUP(Table13[[#This Row],[kbli5]],kata_kunci!$B:$H,4,FALSE)</f>
        <v>#N/A</v>
      </c>
      <c r="F994" s="53" t="e">
        <f>VLOOKUP(Table13[[#This Row],[kbli5]],Table1[[#All],[kbli5]:[digital_hijau]],5,)</f>
        <v>#N/A</v>
      </c>
      <c r="G994" s="53" t="e">
        <f>VLOOKUP(Table13[[#This Row],[kbli5]],Table1[[#All],[kbli5]:[digital_hijau]],6,)</f>
        <v>#N/A</v>
      </c>
      <c r="H994" s="54" t="e">
        <f>VLOOKUP(Table13[[#This Row],[kbli5]],kata_kunci!$B:$H,3,FALSE)</f>
        <v>#N/A</v>
      </c>
      <c r="I994" s="84" t="e">
        <f>VLOOKUP(Table13[[#This Row],[kbli5]],kata_kunci!$B:$H,5,FALSE)</f>
        <v>#N/A</v>
      </c>
      <c r="J994" s="84" t="e">
        <f>VLOOKUP(Table13[[#This Row],[kbli5]],kata_kunci!$B:$H,6,FALSE)</f>
        <v>#N/A</v>
      </c>
      <c r="K994" s="84" t="e">
        <f>VLOOKUP(Table13[[#This Row],[kbli5]],kata_kunci!$B:$H,7,FALSE)</f>
        <v>#N/A</v>
      </c>
    </row>
    <row r="995" spans="1:11" ht="30.75" thickBot="1" x14ac:dyDescent="0.3">
      <c r="A995" s="53" t="s">
        <v>16</v>
      </c>
      <c r="B995" s="40">
        <v>52109</v>
      </c>
      <c r="C995" s="41" t="s">
        <v>1255</v>
      </c>
      <c r="D995" s="30" t="e">
        <f>VLOOKUP(Table13[[#This Row],[kbli5]],Table1[[#All],[kbli5]:[digital_hijau]],3,)</f>
        <v>#N/A</v>
      </c>
      <c r="E995" s="53" t="e">
        <f>VLOOKUP(Table13[[#This Row],[kbli5]],kata_kunci!$B:$H,4,FALSE)</f>
        <v>#N/A</v>
      </c>
      <c r="F995" s="53" t="e">
        <f>VLOOKUP(Table13[[#This Row],[kbli5]],Table1[[#All],[kbli5]:[digital_hijau]],5,)</f>
        <v>#N/A</v>
      </c>
      <c r="G995" s="53" t="e">
        <f>VLOOKUP(Table13[[#This Row],[kbli5]],Table1[[#All],[kbli5]:[digital_hijau]],6,)</f>
        <v>#N/A</v>
      </c>
      <c r="H995" s="54" t="e">
        <f>VLOOKUP(Table13[[#This Row],[kbli5]],kata_kunci!$B:$H,3,FALSE)</f>
        <v>#N/A</v>
      </c>
      <c r="I995" s="84" t="e">
        <f>VLOOKUP(Table13[[#This Row],[kbli5]],kata_kunci!$B:$H,5,FALSE)</f>
        <v>#N/A</v>
      </c>
      <c r="J995" s="84" t="e">
        <f>VLOOKUP(Table13[[#This Row],[kbli5]],kata_kunci!$B:$H,6,FALSE)</f>
        <v>#N/A</v>
      </c>
      <c r="K995" s="84" t="e">
        <f>VLOOKUP(Table13[[#This Row],[kbli5]],kata_kunci!$B:$H,7,FALSE)</f>
        <v>#N/A</v>
      </c>
    </row>
    <row r="996" spans="1:11" ht="15.75" thickBot="1" x14ac:dyDescent="0.3">
      <c r="A996" s="53" t="s">
        <v>16</v>
      </c>
      <c r="B996" s="40">
        <v>52211</v>
      </c>
      <c r="C996" s="41" t="s">
        <v>1256</v>
      </c>
      <c r="D996" s="30" t="e">
        <f>VLOOKUP(Table13[[#This Row],[kbli5]],Table1[[#All],[kbli5]:[digital_hijau]],3,)</f>
        <v>#N/A</v>
      </c>
      <c r="E996" s="53" t="e">
        <f>VLOOKUP(Table13[[#This Row],[kbli5]],kata_kunci!$B:$H,4,FALSE)</f>
        <v>#N/A</v>
      </c>
      <c r="F996" s="53" t="e">
        <f>VLOOKUP(Table13[[#This Row],[kbli5]],Table1[[#All],[kbli5]:[digital_hijau]],5,)</f>
        <v>#N/A</v>
      </c>
      <c r="G996" s="53" t="e">
        <f>VLOOKUP(Table13[[#This Row],[kbli5]],Table1[[#All],[kbli5]:[digital_hijau]],6,)</f>
        <v>#N/A</v>
      </c>
      <c r="H996" s="54" t="e">
        <f>VLOOKUP(Table13[[#This Row],[kbli5]],kata_kunci!$B:$H,3,FALSE)</f>
        <v>#N/A</v>
      </c>
      <c r="I996" s="84" t="e">
        <f>VLOOKUP(Table13[[#This Row],[kbli5]],kata_kunci!$B:$H,5,FALSE)</f>
        <v>#N/A</v>
      </c>
      <c r="J996" s="84" t="e">
        <f>VLOOKUP(Table13[[#This Row],[kbli5]],kata_kunci!$B:$H,6,FALSE)</f>
        <v>#N/A</v>
      </c>
      <c r="K996" s="84" t="e">
        <f>VLOOKUP(Table13[[#This Row],[kbli5]],kata_kunci!$B:$H,7,FALSE)</f>
        <v>#N/A</v>
      </c>
    </row>
    <row r="997" spans="1:11" ht="60.75" thickBot="1" x14ac:dyDescent="0.3">
      <c r="A997" s="53" t="s">
        <v>16</v>
      </c>
      <c r="B997" s="40">
        <v>52212</v>
      </c>
      <c r="C997" s="41" t="s">
        <v>1257</v>
      </c>
      <c r="D997" s="30" t="e">
        <f>VLOOKUP(Table13[[#This Row],[kbli5]],Table1[[#All],[kbli5]:[digital_hijau]],3,)</f>
        <v>#N/A</v>
      </c>
      <c r="E997" s="53" t="e">
        <f>VLOOKUP(Table13[[#This Row],[kbli5]],kata_kunci!$B:$H,4,FALSE)</f>
        <v>#N/A</v>
      </c>
      <c r="F997" s="53" t="e">
        <f>VLOOKUP(Table13[[#This Row],[kbli5]],Table1[[#All],[kbli5]:[digital_hijau]],5,)</f>
        <v>#N/A</v>
      </c>
      <c r="G997" s="53" t="e">
        <f>VLOOKUP(Table13[[#This Row],[kbli5]],Table1[[#All],[kbli5]:[digital_hijau]],6,)</f>
        <v>#N/A</v>
      </c>
      <c r="H997" s="54" t="e">
        <f>VLOOKUP(Table13[[#This Row],[kbli5]],kata_kunci!$B:$H,3,FALSE)</f>
        <v>#N/A</v>
      </c>
      <c r="I997" s="84" t="e">
        <f>VLOOKUP(Table13[[#This Row],[kbli5]],kata_kunci!$B:$H,5,FALSE)</f>
        <v>#N/A</v>
      </c>
      <c r="J997" s="84" t="e">
        <f>VLOOKUP(Table13[[#This Row],[kbli5]],kata_kunci!$B:$H,6,FALSE)</f>
        <v>#N/A</v>
      </c>
      <c r="K997" s="84" t="e">
        <f>VLOOKUP(Table13[[#This Row],[kbli5]],kata_kunci!$B:$H,7,FALSE)</f>
        <v>#N/A</v>
      </c>
    </row>
    <row r="998" spans="1:11" ht="15.75" thickBot="1" x14ac:dyDescent="0.3">
      <c r="A998" s="53" t="s">
        <v>16</v>
      </c>
      <c r="B998" s="40">
        <v>52213</v>
      </c>
      <c r="C998" s="41" t="s">
        <v>1258</v>
      </c>
      <c r="D998" s="30" t="e">
        <f>VLOOKUP(Table13[[#This Row],[kbli5]],Table1[[#All],[kbli5]:[digital_hijau]],3,)</f>
        <v>#N/A</v>
      </c>
      <c r="E998" s="53" t="e">
        <f>VLOOKUP(Table13[[#This Row],[kbli5]],kata_kunci!$B:$H,4,FALSE)</f>
        <v>#N/A</v>
      </c>
      <c r="F998" s="53" t="e">
        <f>VLOOKUP(Table13[[#This Row],[kbli5]],Table1[[#All],[kbli5]:[digital_hijau]],5,)</f>
        <v>#N/A</v>
      </c>
      <c r="G998" s="53" t="e">
        <f>VLOOKUP(Table13[[#This Row],[kbli5]],Table1[[#All],[kbli5]:[digital_hijau]],6,)</f>
        <v>#N/A</v>
      </c>
      <c r="H998" s="54" t="e">
        <f>VLOOKUP(Table13[[#This Row],[kbli5]],kata_kunci!$B:$H,3,FALSE)</f>
        <v>#N/A</v>
      </c>
      <c r="I998" s="84" t="e">
        <f>VLOOKUP(Table13[[#This Row],[kbli5]],kata_kunci!$B:$H,5,FALSE)</f>
        <v>#N/A</v>
      </c>
      <c r="J998" s="84" t="e">
        <f>VLOOKUP(Table13[[#This Row],[kbli5]],kata_kunci!$B:$H,6,FALSE)</f>
        <v>#N/A</v>
      </c>
      <c r="K998" s="84" t="e">
        <f>VLOOKUP(Table13[[#This Row],[kbli5]],kata_kunci!$B:$H,7,FALSE)</f>
        <v>#N/A</v>
      </c>
    </row>
    <row r="999" spans="1:11" ht="45.75" thickBot="1" x14ac:dyDescent="0.3">
      <c r="A999" s="53" t="s">
        <v>16</v>
      </c>
      <c r="B999" s="40">
        <v>52214</v>
      </c>
      <c r="C999" s="41" t="s">
        <v>1259</v>
      </c>
      <c r="D999" s="30" t="e">
        <f>VLOOKUP(Table13[[#This Row],[kbli5]],Table1[[#All],[kbli5]:[digital_hijau]],3,)</f>
        <v>#N/A</v>
      </c>
      <c r="E999" s="53" t="e">
        <f>VLOOKUP(Table13[[#This Row],[kbli5]],kata_kunci!$B:$H,4,FALSE)</f>
        <v>#N/A</v>
      </c>
      <c r="F999" s="53" t="e">
        <f>VLOOKUP(Table13[[#This Row],[kbli5]],Table1[[#All],[kbli5]:[digital_hijau]],5,)</f>
        <v>#N/A</v>
      </c>
      <c r="G999" s="53" t="e">
        <f>VLOOKUP(Table13[[#This Row],[kbli5]],Table1[[#All],[kbli5]:[digital_hijau]],6,)</f>
        <v>#N/A</v>
      </c>
      <c r="H999" s="54" t="e">
        <f>VLOOKUP(Table13[[#This Row],[kbli5]],kata_kunci!$B:$H,3,FALSE)</f>
        <v>#N/A</v>
      </c>
      <c r="I999" s="84" t="e">
        <f>VLOOKUP(Table13[[#This Row],[kbli5]],kata_kunci!$B:$H,5,FALSE)</f>
        <v>#N/A</v>
      </c>
      <c r="J999" s="84" t="e">
        <f>VLOOKUP(Table13[[#This Row],[kbli5]],kata_kunci!$B:$H,6,FALSE)</f>
        <v>#N/A</v>
      </c>
      <c r="K999" s="84" t="e">
        <f>VLOOKUP(Table13[[#This Row],[kbli5]],kata_kunci!$B:$H,7,FALSE)</f>
        <v>#N/A</v>
      </c>
    </row>
    <row r="1000" spans="1:11" ht="45.75" thickBot="1" x14ac:dyDescent="0.3">
      <c r="A1000" s="53" t="s">
        <v>16</v>
      </c>
      <c r="B1000" s="40">
        <v>52215</v>
      </c>
      <c r="C1000" s="41" t="s">
        <v>1260</v>
      </c>
      <c r="D1000" s="30" t="e">
        <f>VLOOKUP(Table13[[#This Row],[kbli5]],Table1[[#All],[kbli5]:[digital_hijau]],3,)</f>
        <v>#N/A</v>
      </c>
      <c r="E1000" s="53" t="e">
        <f>VLOOKUP(Table13[[#This Row],[kbli5]],kata_kunci!$B:$H,4,FALSE)</f>
        <v>#N/A</v>
      </c>
      <c r="F1000" s="53" t="e">
        <f>VLOOKUP(Table13[[#This Row],[kbli5]],Table1[[#All],[kbli5]:[digital_hijau]],5,)</f>
        <v>#N/A</v>
      </c>
      <c r="G1000" s="53" t="e">
        <f>VLOOKUP(Table13[[#This Row],[kbli5]],Table1[[#All],[kbli5]:[digital_hijau]],6,)</f>
        <v>#N/A</v>
      </c>
      <c r="H1000" s="54" t="e">
        <f>VLOOKUP(Table13[[#This Row],[kbli5]],kata_kunci!$B:$H,3,FALSE)</f>
        <v>#N/A</v>
      </c>
      <c r="I1000" s="84" t="e">
        <f>VLOOKUP(Table13[[#This Row],[kbli5]],kata_kunci!$B:$H,5,FALSE)</f>
        <v>#N/A</v>
      </c>
      <c r="J1000" s="84" t="e">
        <f>VLOOKUP(Table13[[#This Row],[kbli5]],kata_kunci!$B:$H,6,FALSE)</f>
        <v>#N/A</v>
      </c>
      <c r="K1000" s="84" t="e">
        <f>VLOOKUP(Table13[[#This Row],[kbli5]],kata_kunci!$B:$H,7,FALSE)</f>
        <v>#N/A</v>
      </c>
    </row>
    <row r="1001" spans="1:11" ht="45.75" thickBot="1" x14ac:dyDescent="0.3">
      <c r="A1001" s="53" t="s">
        <v>16</v>
      </c>
      <c r="B1001" s="40">
        <v>52219</v>
      </c>
      <c r="C1001" s="41" t="s">
        <v>1261</v>
      </c>
      <c r="D1001" s="30" t="e">
        <f>VLOOKUP(Table13[[#This Row],[kbli5]],Table1[[#All],[kbli5]:[digital_hijau]],3,)</f>
        <v>#N/A</v>
      </c>
      <c r="E1001" s="53" t="e">
        <f>VLOOKUP(Table13[[#This Row],[kbli5]],kata_kunci!$B:$H,4,FALSE)</f>
        <v>#N/A</v>
      </c>
      <c r="F1001" s="53" t="e">
        <f>VLOOKUP(Table13[[#This Row],[kbli5]],Table1[[#All],[kbli5]:[digital_hijau]],5,)</f>
        <v>#N/A</v>
      </c>
      <c r="G1001" s="53" t="e">
        <f>VLOOKUP(Table13[[#This Row],[kbli5]],Table1[[#All],[kbli5]:[digital_hijau]],6,)</f>
        <v>#N/A</v>
      </c>
      <c r="H1001" s="54" t="e">
        <f>VLOOKUP(Table13[[#This Row],[kbli5]],kata_kunci!$B:$H,3,FALSE)</f>
        <v>#N/A</v>
      </c>
      <c r="I1001" s="84" t="e">
        <f>VLOOKUP(Table13[[#This Row],[kbli5]],kata_kunci!$B:$H,5,FALSE)</f>
        <v>#N/A</v>
      </c>
      <c r="J1001" s="84" t="e">
        <f>VLOOKUP(Table13[[#This Row],[kbli5]],kata_kunci!$B:$H,6,FALSE)</f>
        <v>#N/A</v>
      </c>
      <c r="K1001" s="84" t="e">
        <f>VLOOKUP(Table13[[#This Row],[kbli5]],kata_kunci!$B:$H,7,FALSE)</f>
        <v>#N/A</v>
      </c>
    </row>
    <row r="1002" spans="1:11" ht="30.75" thickBot="1" x14ac:dyDescent="0.3">
      <c r="A1002" s="53" t="s">
        <v>16</v>
      </c>
      <c r="B1002" s="40">
        <v>52221</v>
      </c>
      <c r="C1002" s="41" t="s">
        <v>1262</v>
      </c>
      <c r="D1002" s="30" t="e">
        <f>VLOOKUP(Table13[[#This Row],[kbli5]],Table1[[#All],[kbli5]:[digital_hijau]],3,)</f>
        <v>#N/A</v>
      </c>
      <c r="E1002" s="53" t="e">
        <f>VLOOKUP(Table13[[#This Row],[kbli5]],kata_kunci!$B:$H,4,FALSE)</f>
        <v>#N/A</v>
      </c>
      <c r="F1002" s="53" t="e">
        <f>VLOOKUP(Table13[[#This Row],[kbli5]],Table1[[#All],[kbli5]:[digital_hijau]],5,)</f>
        <v>#N/A</v>
      </c>
      <c r="G1002" s="53" t="e">
        <f>VLOOKUP(Table13[[#This Row],[kbli5]],Table1[[#All],[kbli5]:[digital_hijau]],6,)</f>
        <v>#N/A</v>
      </c>
      <c r="H1002" s="54" t="e">
        <f>VLOOKUP(Table13[[#This Row],[kbli5]],kata_kunci!$B:$H,3,FALSE)</f>
        <v>#N/A</v>
      </c>
      <c r="I1002" s="84" t="e">
        <f>VLOOKUP(Table13[[#This Row],[kbli5]],kata_kunci!$B:$H,5,FALSE)</f>
        <v>#N/A</v>
      </c>
      <c r="J1002" s="84" t="e">
        <f>VLOOKUP(Table13[[#This Row],[kbli5]],kata_kunci!$B:$H,6,FALSE)</f>
        <v>#N/A</v>
      </c>
      <c r="K1002" s="84" t="e">
        <f>VLOOKUP(Table13[[#This Row],[kbli5]],kata_kunci!$B:$H,7,FALSE)</f>
        <v>#N/A</v>
      </c>
    </row>
    <row r="1003" spans="1:11" ht="45.75" thickBot="1" x14ac:dyDescent="0.3">
      <c r="A1003" s="53" t="s">
        <v>16</v>
      </c>
      <c r="B1003" s="40">
        <v>52222</v>
      </c>
      <c r="C1003" s="41" t="s">
        <v>1263</v>
      </c>
      <c r="D1003" s="30" t="e">
        <f>VLOOKUP(Table13[[#This Row],[kbli5]],Table1[[#All],[kbli5]:[digital_hijau]],3,)</f>
        <v>#N/A</v>
      </c>
      <c r="E1003" s="53" t="e">
        <f>VLOOKUP(Table13[[#This Row],[kbli5]],kata_kunci!$B:$H,4,FALSE)</f>
        <v>#N/A</v>
      </c>
      <c r="F1003" s="53" t="e">
        <f>VLOOKUP(Table13[[#This Row],[kbli5]],Table1[[#All],[kbli5]:[digital_hijau]],5,)</f>
        <v>#N/A</v>
      </c>
      <c r="G1003" s="53" t="e">
        <f>VLOOKUP(Table13[[#This Row],[kbli5]],Table1[[#All],[kbli5]:[digital_hijau]],6,)</f>
        <v>#N/A</v>
      </c>
      <c r="H1003" s="54" t="e">
        <f>VLOOKUP(Table13[[#This Row],[kbli5]],kata_kunci!$B:$H,3,FALSE)</f>
        <v>#N/A</v>
      </c>
      <c r="I1003" s="84" t="e">
        <f>VLOOKUP(Table13[[#This Row],[kbli5]],kata_kunci!$B:$H,5,FALSE)</f>
        <v>#N/A</v>
      </c>
      <c r="J1003" s="84" t="e">
        <f>VLOOKUP(Table13[[#This Row],[kbli5]],kata_kunci!$B:$H,6,FALSE)</f>
        <v>#N/A</v>
      </c>
      <c r="K1003" s="84" t="e">
        <f>VLOOKUP(Table13[[#This Row],[kbli5]],kata_kunci!$B:$H,7,FALSE)</f>
        <v>#N/A</v>
      </c>
    </row>
    <row r="1004" spans="1:11" ht="45.75" thickBot="1" x14ac:dyDescent="0.3">
      <c r="A1004" s="53" t="s">
        <v>16</v>
      </c>
      <c r="B1004" s="40">
        <v>52223</v>
      </c>
      <c r="C1004" s="41" t="s">
        <v>1264</v>
      </c>
      <c r="D1004" s="30" t="e">
        <f>VLOOKUP(Table13[[#This Row],[kbli5]],Table1[[#All],[kbli5]:[digital_hijau]],3,)</f>
        <v>#N/A</v>
      </c>
      <c r="E1004" s="53" t="e">
        <f>VLOOKUP(Table13[[#This Row],[kbli5]],kata_kunci!$B:$H,4,FALSE)</f>
        <v>#N/A</v>
      </c>
      <c r="F1004" s="53" t="e">
        <f>VLOOKUP(Table13[[#This Row],[kbli5]],Table1[[#All],[kbli5]:[digital_hijau]],5,)</f>
        <v>#N/A</v>
      </c>
      <c r="G1004" s="53" t="e">
        <f>VLOOKUP(Table13[[#This Row],[kbli5]],Table1[[#All],[kbli5]:[digital_hijau]],6,)</f>
        <v>#N/A</v>
      </c>
      <c r="H1004" s="54" t="e">
        <f>VLOOKUP(Table13[[#This Row],[kbli5]],kata_kunci!$B:$H,3,FALSE)</f>
        <v>#N/A</v>
      </c>
      <c r="I1004" s="84" t="e">
        <f>VLOOKUP(Table13[[#This Row],[kbli5]],kata_kunci!$B:$H,5,FALSE)</f>
        <v>#N/A</v>
      </c>
      <c r="J1004" s="84" t="e">
        <f>VLOOKUP(Table13[[#This Row],[kbli5]],kata_kunci!$B:$H,6,FALSE)</f>
        <v>#N/A</v>
      </c>
      <c r="K1004" s="84" t="e">
        <f>VLOOKUP(Table13[[#This Row],[kbli5]],kata_kunci!$B:$H,7,FALSE)</f>
        <v>#N/A</v>
      </c>
    </row>
    <row r="1005" spans="1:11" ht="30.75" thickBot="1" x14ac:dyDescent="0.3">
      <c r="A1005" s="53" t="s">
        <v>16</v>
      </c>
      <c r="B1005" s="40">
        <v>52224</v>
      </c>
      <c r="C1005" s="41" t="s">
        <v>1265</v>
      </c>
      <c r="D1005" s="30" t="e">
        <f>VLOOKUP(Table13[[#This Row],[kbli5]],Table1[[#All],[kbli5]:[digital_hijau]],3,)</f>
        <v>#N/A</v>
      </c>
      <c r="E1005" s="53" t="e">
        <f>VLOOKUP(Table13[[#This Row],[kbli5]],kata_kunci!$B:$H,4,FALSE)</f>
        <v>#N/A</v>
      </c>
      <c r="F1005" s="53" t="e">
        <f>VLOOKUP(Table13[[#This Row],[kbli5]],Table1[[#All],[kbli5]:[digital_hijau]],5,)</f>
        <v>#N/A</v>
      </c>
      <c r="G1005" s="53" t="e">
        <f>VLOOKUP(Table13[[#This Row],[kbli5]],Table1[[#All],[kbli5]:[digital_hijau]],6,)</f>
        <v>#N/A</v>
      </c>
      <c r="H1005" s="54" t="e">
        <f>VLOOKUP(Table13[[#This Row],[kbli5]],kata_kunci!$B:$H,3,FALSE)</f>
        <v>#N/A</v>
      </c>
      <c r="I1005" s="84" t="e">
        <f>VLOOKUP(Table13[[#This Row],[kbli5]],kata_kunci!$B:$H,5,FALSE)</f>
        <v>#N/A</v>
      </c>
      <c r="J1005" s="84" t="e">
        <f>VLOOKUP(Table13[[#This Row],[kbli5]],kata_kunci!$B:$H,6,FALSE)</f>
        <v>#N/A</v>
      </c>
      <c r="K1005" s="84" t="e">
        <f>VLOOKUP(Table13[[#This Row],[kbli5]],kata_kunci!$B:$H,7,FALSE)</f>
        <v>#N/A</v>
      </c>
    </row>
    <row r="1006" spans="1:11" ht="30.75" thickBot="1" x14ac:dyDescent="0.3">
      <c r="A1006" s="53" t="s">
        <v>16</v>
      </c>
      <c r="B1006" s="40">
        <v>52225</v>
      </c>
      <c r="C1006" s="41" t="s">
        <v>1266</v>
      </c>
      <c r="D1006" s="30" t="e">
        <f>VLOOKUP(Table13[[#This Row],[kbli5]],Table1[[#All],[kbli5]:[digital_hijau]],3,)</f>
        <v>#N/A</v>
      </c>
      <c r="E1006" s="53" t="e">
        <f>VLOOKUP(Table13[[#This Row],[kbli5]],kata_kunci!$B:$H,4,FALSE)</f>
        <v>#N/A</v>
      </c>
      <c r="F1006" s="53" t="e">
        <f>VLOOKUP(Table13[[#This Row],[kbli5]],Table1[[#All],[kbli5]:[digital_hijau]],5,)</f>
        <v>#N/A</v>
      </c>
      <c r="G1006" s="53" t="e">
        <f>VLOOKUP(Table13[[#This Row],[kbli5]],Table1[[#All],[kbli5]:[digital_hijau]],6,)</f>
        <v>#N/A</v>
      </c>
      <c r="H1006" s="54" t="e">
        <f>VLOOKUP(Table13[[#This Row],[kbli5]],kata_kunci!$B:$H,3,FALSE)</f>
        <v>#N/A</v>
      </c>
      <c r="I1006" s="84" t="e">
        <f>VLOOKUP(Table13[[#This Row],[kbli5]],kata_kunci!$B:$H,5,FALSE)</f>
        <v>#N/A</v>
      </c>
      <c r="J1006" s="84" t="e">
        <f>VLOOKUP(Table13[[#This Row],[kbli5]],kata_kunci!$B:$H,6,FALSE)</f>
        <v>#N/A</v>
      </c>
      <c r="K1006" s="84" t="e">
        <f>VLOOKUP(Table13[[#This Row],[kbli5]],kata_kunci!$B:$H,7,FALSE)</f>
        <v>#N/A</v>
      </c>
    </row>
    <row r="1007" spans="1:11" ht="30.75" thickBot="1" x14ac:dyDescent="0.3">
      <c r="A1007" s="53" t="s">
        <v>16</v>
      </c>
      <c r="B1007" s="40">
        <v>52226</v>
      </c>
      <c r="C1007" s="41" t="s">
        <v>1267</v>
      </c>
      <c r="D1007" s="30" t="e">
        <f>VLOOKUP(Table13[[#This Row],[kbli5]],Table1[[#All],[kbli5]:[digital_hijau]],3,)</f>
        <v>#N/A</v>
      </c>
      <c r="E1007" s="53" t="e">
        <f>VLOOKUP(Table13[[#This Row],[kbli5]],kata_kunci!$B:$H,4,FALSE)</f>
        <v>#N/A</v>
      </c>
      <c r="F1007" s="53" t="e">
        <f>VLOOKUP(Table13[[#This Row],[kbli5]],Table1[[#All],[kbli5]:[digital_hijau]],5,)</f>
        <v>#N/A</v>
      </c>
      <c r="G1007" s="53" t="e">
        <f>VLOOKUP(Table13[[#This Row],[kbli5]],Table1[[#All],[kbli5]:[digital_hijau]],6,)</f>
        <v>#N/A</v>
      </c>
      <c r="H1007" s="54" t="e">
        <f>VLOOKUP(Table13[[#This Row],[kbli5]],kata_kunci!$B:$H,3,FALSE)</f>
        <v>#N/A</v>
      </c>
      <c r="I1007" s="84" t="e">
        <f>VLOOKUP(Table13[[#This Row],[kbli5]],kata_kunci!$B:$H,5,FALSE)</f>
        <v>#N/A</v>
      </c>
      <c r="J1007" s="84" t="e">
        <f>VLOOKUP(Table13[[#This Row],[kbli5]],kata_kunci!$B:$H,6,FALSE)</f>
        <v>#N/A</v>
      </c>
      <c r="K1007" s="84" t="e">
        <f>VLOOKUP(Table13[[#This Row],[kbli5]],kata_kunci!$B:$H,7,FALSE)</f>
        <v>#N/A</v>
      </c>
    </row>
    <row r="1008" spans="1:11" ht="30.75" thickBot="1" x14ac:dyDescent="0.3">
      <c r="A1008" s="53" t="s">
        <v>16</v>
      </c>
      <c r="B1008" s="40">
        <v>52227</v>
      </c>
      <c r="C1008" s="41" t="s">
        <v>1268</v>
      </c>
      <c r="D1008" s="30" t="e">
        <f>VLOOKUP(Table13[[#This Row],[kbli5]],Table1[[#All],[kbli5]:[digital_hijau]],3,)</f>
        <v>#N/A</v>
      </c>
      <c r="E1008" s="53" t="e">
        <f>VLOOKUP(Table13[[#This Row],[kbli5]],kata_kunci!$B:$H,4,FALSE)</f>
        <v>#N/A</v>
      </c>
      <c r="F1008" s="53" t="e">
        <f>VLOOKUP(Table13[[#This Row],[kbli5]],Table1[[#All],[kbli5]:[digital_hijau]],5,)</f>
        <v>#N/A</v>
      </c>
      <c r="G1008" s="53" t="e">
        <f>VLOOKUP(Table13[[#This Row],[kbli5]],Table1[[#All],[kbli5]:[digital_hijau]],6,)</f>
        <v>#N/A</v>
      </c>
      <c r="H1008" s="54" t="e">
        <f>VLOOKUP(Table13[[#This Row],[kbli5]],kata_kunci!$B:$H,3,FALSE)</f>
        <v>#N/A</v>
      </c>
      <c r="I1008" s="84" t="e">
        <f>VLOOKUP(Table13[[#This Row],[kbli5]],kata_kunci!$B:$H,5,FALSE)</f>
        <v>#N/A</v>
      </c>
      <c r="J1008" s="84" t="e">
        <f>VLOOKUP(Table13[[#This Row],[kbli5]],kata_kunci!$B:$H,6,FALSE)</f>
        <v>#N/A</v>
      </c>
      <c r="K1008" s="84" t="e">
        <f>VLOOKUP(Table13[[#This Row],[kbli5]],kata_kunci!$B:$H,7,FALSE)</f>
        <v>#N/A</v>
      </c>
    </row>
    <row r="1009" spans="1:11" ht="45.75" thickBot="1" x14ac:dyDescent="0.3">
      <c r="A1009" s="53" t="s">
        <v>16</v>
      </c>
      <c r="B1009" s="40">
        <v>52229</v>
      </c>
      <c r="C1009" s="41" t="s">
        <v>1269</v>
      </c>
      <c r="D1009" s="30" t="e">
        <f>VLOOKUP(Table13[[#This Row],[kbli5]],Table1[[#All],[kbli5]:[digital_hijau]],3,)</f>
        <v>#N/A</v>
      </c>
      <c r="E1009" s="53" t="e">
        <f>VLOOKUP(Table13[[#This Row],[kbli5]],kata_kunci!$B:$H,4,FALSE)</f>
        <v>#N/A</v>
      </c>
      <c r="F1009" s="53" t="e">
        <f>VLOOKUP(Table13[[#This Row],[kbli5]],Table1[[#All],[kbli5]:[digital_hijau]],5,)</f>
        <v>#N/A</v>
      </c>
      <c r="G1009" s="53" t="e">
        <f>VLOOKUP(Table13[[#This Row],[kbli5]],Table1[[#All],[kbli5]:[digital_hijau]],6,)</f>
        <v>#N/A</v>
      </c>
      <c r="H1009" s="54" t="e">
        <f>VLOOKUP(Table13[[#This Row],[kbli5]],kata_kunci!$B:$H,3,FALSE)</f>
        <v>#N/A</v>
      </c>
      <c r="I1009" s="84" t="e">
        <f>VLOOKUP(Table13[[#This Row],[kbli5]],kata_kunci!$B:$H,5,FALSE)</f>
        <v>#N/A</v>
      </c>
      <c r="J1009" s="84" t="e">
        <f>VLOOKUP(Table13[[#This Row],[kbli5]],kata_kunci!$B:$H,6,FALSE)</f>
        <v>#N/A</v>
      </c>
      <c r="K1009" s="84" t="e">
        <f>VLOOKUP(Table13[[#This Row],[kbli5]],kata_kunci!$B:$H,7,FALSE)</f>
        <v>#N/A</v>
      </c>
    </row>
    <row r="1010" spans="1:11" ht="30.75" thickBot="1" x14ac:dyDescent="0.3">
      <c r="A1010" s="53" t="s">
        <v>16</v>
      </c>
      <c r="B1010" s="40">
        <v>52231</v>
      </c>
      <c r="C1010" s="41" t="s">
        <v>1270</v>
      </c>
      <c r="D1010" s="30" t="e">
        <f>VLOOKUP(Table13[[#This Row],[kbli5]],Table1[[#All],[kbli5]:[digital_hijau]],3,)</f>
        <v>#N/A</v>
      </c>
      <c r="E1010" s="53" t="e">
        <f>VLOOKUP(Table13[[#This Row],[kbli5]],kata_kunci!$B:$H,4,FALSE)</f>
        <v>#N/A</v>
      </c>
      <c r="F1010" s="53" t="e">
        <f>VLOOKUP(Table13[[#This Row],[kbli5]],Table1[[#All],[kbli5]:[digital_hijau]],5,)</f>
        <v>#N/A</v>
      </c>
      <c r="G1010" s="53" t="e">
        <f>VLOOKUP(Table13[[#This Row],[kbli5]],Table1[[#All],[kbli5]:[digital_hijau]],6,)</f>
        <v>#N/A</v>
      </c>
      <c r="H1010" s="54" t="e">
        <f>VLOOKUP(Table13[[#This Row],[kbli5]],kata_kunci!$B:$H,3,FALSE)</f>
        <v>#N/A</v>
      </c>
      <c r="I1010" s="84" t="e">
        <f>VLOOKUP(Table13[[#This Row],[kbli5]],kata_kunci!$B:$H,5,FALSE)</f>
        <v>#N/A</v>
      </c>
      <c r="J1010" s="84" t="e">
        <f>VLOOKUP(Table13[[#This Row],[kbli5]],kata_kunci!$B:$H,6,FALSE)</f>
        <v>#N/A</v>
      </c>
      <c r="K1010" s="84" t="e">
        <f>VLOOKUP(Table13[[#This Row],[kbli5]],kata_kunci!$B:$H,7,FALSE)</f>
        <v>#N/A</v>
      </c>
    </row>
    <row r="1011" spans="1:11" ht="30.75" thickBot="1" x14ac:dyDescent="0.3">
      <c r="A1011" s="53" t="s">
        <v>16</v>
      </c>
      <c r="B1011" s="40">
        <v>52232</v>
      </c>
      <c r="C1011" s="41" t="s">
        <v>1271</v>
      </c>
      <c r="D1011" s="30" t="e">
        <f>VLOOKUP(Table13[[#This Row],[kbli5]],Table1[[#All],[kbli5]:[digital_hijau]],3,)</f>
        <v>#N/A</v>
      </c>
      <c r="E1011" s="53" t="e">
        <f>VLOOKUP(Table13[[#This Row],[kbli5]],kata_kunci!$B:$H,4,FALSE)</f>
        <v>#N/A</v>
      </c>
      <c r="F1011" s="53" t="e">
        <f>VLOOKUP(Table13[[#This Row],[kbli5]],Table1[[#All],[kbli5]:[digital_hijau]],5,)</f>
        <v>#N/A</v>
      </c>
      <c r="G1011" s="53" t="e">
        <f>VLOOKUP(Table13[[#This Row],[kbli5]],Table1[[#All],[kbli5]:[digital_hijau]],6,)</f>
        <v>#N/A</v>
      </c>
      <c r="H1011" s="54" t="e">
        <f>VLOOKUP(Table13[[#This Row],[kbli5]],kata_kunci!$B:$H,3,FALSE)</f>
        <v>#N/A</v>
      </c>
      <c r="I1011" s="84" t="e">
        <f>VLOOKUP(Table13[[#This Row],[kbli5]],kata_kunci!$B:$H,5,FALSE)</f>
        <v>#N/A</v>
      </c>
      <c r="J1011" s="84" t="e">
        <f>VLOOKUP(Table13[[#This Row],[kbli5]],kata_kunci!$B:$H,6,FALSE)</f>
        <v>#N/A</v>
      </c>
      <c r="K1011" s="84" t="e">
        <f>VLOOKUP(Table13[[#This Row],[kbli5]],kata_kunci!$B:$H,7,FALSE)</f>
        <v>#N/A</v>
      </c>
    </row>
    <row r="1012" spans="1:11" ht="45.75" thickBot="1" x14ac:dyDescent="0.3">
      <c r="A1012" s="53" t="s">
        <v>16</v>
      </c>
      <c r="B1012" s="40">
        <v>52233</v>
      </c>
      <c r="C1012" s="41" t="s">
        <v>1272</v>
      </c>
      <c r="D1012" s="30" t="e">
        <f>VLOOKUP(Table13[[#This Row],[kbli5]],Table1[[#All],[kbli5]:[digital_hijau]],3,)</f>
        <v>#N/A</v>
      </c>
      <c r="E1012" s="53" t="e">
        <f>VLOOKUP(Table13[[#This Row],[kbli5]],kata_kunci!$B:$H,4,FALSE)</f>
        <v>#N/A</v>
      </c>
      <c r="F1012" s="53" t="e">
        <f>VLOOKUP(Table13[[#This Row],[kbli5]],Table1[[#All],[kbli5]:[digital_hijau]],5,)</f>
        <v>#N/A</v>
      </c>
      <c r="G1012" s="53" t="e">
        <f>VLOOKUP(Table13[[#This Row],[kbli5]],Table1[[#All],[kbli5]:[digital_hijau]],6,)</f>
        <v>#N/A</v>
      </c>
      <c r="H1012" s="54" t="e">
        <f>VLOOKUP(Table13[[#This Row],[kbli5]],kata_kunci!$B:$H,3,FALSE)</f>
        <v>#N/A</v>
      </c>
      <c r="I1012" s="84" t="e">
        <f>VLOOKUP(Table13[[#This Row],[kbli5]],kata_kunci!$B:$H,5,FALSE)</f>
        <v>#N/A</v>
      </c>
      <c r="J1012" s="84" t="e">
        <f>VLOOKUP(Table13[[#This Row],[kbli5]],kata_kunci!$B:$H,6,FALSE)</f>
        <v>#N/A</v>
      </c>
      <c r="K1012" s="84" t="e">
        <f>VLOOKUP(Table13[[#This Row],[kbli5]],kata_kunci!$B:$H,7,FALSE)</f>
        <v>#N/A</v>
      </c>
    </row>
    <row r="1013" spans="1:11" ht="45.75" thickBot="1" x14ac:dyDescent="0.3">
      <c r="A1013" s="53" t="s">
        <v>16</v>
      </c>
      <c r="B1013" s="40">
        <v>52234</v>
      </c>
      <c r="C1013" s="41" t="s">
        <v>1273</v>
      </c>
      <c r="D1013" s="30" t="e">
        <f>VLOOKUP(Table13[[#This Row],[kbli5]],Table1[[#All],[kbli5]:[digital_hijau]],3,)</f>
        <v>#N/A</v>
      </c>
      <c r="E1013" s="53" t="e">
        <f>VLOOKUP(Table13[[#This Row],[kbli5]],kata_kunci!$B:$H,4,FALSE)</f>
        <v>#N/A</v>
      </c>
      <c r="F1013" s="53" t="e">
        <f>VLOOKUP(Table13[[#This Row],[kbli5]],Table1[[#All],[kbli5]:[digital_hijau]],5,)</f>
        <v>#N/A</v>
      </c>
      <c r="G1013" s="53" t="e">
        <f>VLOOKUP(Table13[[#This Row],[kbli5]],Table1[[#All],[kbli5]:[digital_hijau]],6,)</f>
        <v>#N/A</v>
      </c>
      <c r="H1013" s="54" t="e">
        <f>VLOOKUP(Table13[[#This Row],[kbli5]],kata_kunci!$B:$H,3,FALSE)</f>
        <v>#N/A</v>
      </c>
      <c r="I1013" s="84" t="e">
        <f>VLOOKUP(Table13[[#This Row],[kbli5]],kata_kunci!$B:$H,5,FALSE)</f>
        <v>#N/A</v>
      </c>
      <c r="J1013" s="84" t="e">
        <f>VLOOKUP(Table13[[#This Row],[kbli5]],kata_kunci!$B:$H,6,FALSE)</f>
        <v>#N/A</v>
      </c>
      <c r="K1013" s="84" t="e">
        <f>VLOOKUP(Table13[[#This Row],[kbli5]],kata_kunci!$B:$H,7,FALSE)</f>
        <v>#N/A</v>
      </c>
    </row>
    <row r="1014" spans="1:11" ht="45.75" thickBot="1" x14ac:dyDescent="0.3">
      <c r="A1014" s="53" t="s">
        <v>16</v>
      </c>
      <c r="B1014" s="40">
        <v>52239</v>
      </c>
      <c r="C1014" s="41" t="s">
        <v>1274</v>
      </c>
      <c r="D1014" s="30" t="e">
        <f>VLOOKUP(Table13[[#This Row],[kbli5]],Table1[[#All],[kbli5]:[digital_hijau]],3,)</f>
        <v>#N/A</v>
      </c>
      <c r="E1014" s="53" t="e">
        <f>VLOOKUP(Table13[[#This Row],[kbli5]],kata_kunci!$B:$H,4,FALSE)</f>
        <v>#N/A</v>
      </c>
      <c r="F1014" s="53" t="e">
        <f>VLOOKUP(Table13[[#This Row],[kbli5]],Table1[[#All],[kbli5]:[digital_hijau]],5,)</f>
        <v>#N/A</v>
      </c>
      <c r="G1014" s="53" t="e">
        <f>VLOOKUP(Table13[[#This Row],[kbli5]],Table1[[#All],[kbli5]:[digital_hijau]],6,)</f>
        <v>#N/A</v>
      </c>
      <c r="H1014" s="54" t="e">
        <f>VLOOKUP(Table13[[#This Row],[kbli5]],kata_kunci!$B:$H,3,FALSE)</f>
        <v>#N/A</v>
      </c>
      <c r="I1014" s="84" t="e">
        <f>VLOOKUP(Table13[[#This Row],[kbli5]],kata_kunci!$B:$H,5,FALSE)</f>
        <v>#N/A</v>
      </c>
      <c r="J1014" s="84" t="e">
        <f>VLOOKUP(Table13[[#This Row],[kbli5]],kata_kunci!$B:$H,6,FALSE)</f>
        <v>#N/A</v>
      </c>
      <c r="K1014" s="84" t="e">
        <f>VLOOKUP(Table13[[#This Row],[kbli5]],kata_kunci!$B:$H,7,FALSE)</f>
        <v>#N/A</v>
      </c>
    </row>
    <row r="1015" spans="1:11" ht="30.75" thickBot="1" x14ac:dyDescent="0.3">
      <c r="A1015" s="53" t="s">
        <v>16</v>
      </c>
      <c r="B1015" s="40">
        <v>52240</v>
      </c>
      <c r="C1015" s="41" t="s">
        <v>1275</v>
      </c>
      <c r="D1015" s="30" t="e">
        <f>VLOOKUP(Table13[[#This Row],[kbli5]],Table1[[#All],[kbli5]:[digital_hijau]],3,)</f>
        <v>#N/A</v>
      </c>
      <c r="E1015" s="53" t="e">
        <f>VLOOKUP(Table13[[#This Row],[kbli5]],kata_kunci!$B:$H,4,FALSE)</f>
        <v>#N/A</v>
      </c>
      <c r="F1015" s="53" t="e">
        <f>VLOOKUP(Table13[[#This Row],[kbli5]],Table1[[#All],[kbli5]:[digital_hijau]],5,)</f>
        <v>#N/A</v>
      </c>
      <c r="G1015" s="53" t="e">
        <f>VLOOKUP(Table13[[#This Row],[kbli5]],Table1[[#All],[kbli5]:[digital_hijau]],6,)</f>
        <v>#N/A</v>
      </c>
      <c r="H1015" s="54" t="e">
        <f>VLOOKUP(Table13[[#This Row],[kbli5]],kata_kunci!$B:$H,3,FALSE)</f>
        <v>#N/A</v>
      </c>
      <c r="I1015" s="84" t="e">
        <f>VLOOKUP(Table13[[#This Row],[kbli5]],kata_kunci!$B:$H,5,FALSE)</f>
        <v>#N/A</v>
      </c>
      <c r="J1015" s="84" t="e">
        <f>VLOOKUP(Table13[[#This Row],[kbli5]],kata_kunci!$B:$H,6,FALSE)</f>
        <v>#N/A</v>
      </c>
      <c r="K1015" s="84" t="e">
        <f>VLOOKUP(Table13[[#This Row],[kbli5]],kata_kunci!$B:$H,7,FALSE)</f>
        <v>#N/A</v>
      </c>
    </row>
    <row r="1016" spans="1:11" ht="15.75" thickBot="1" x14ac:dyDescent="0.3">
      <c r="A1016" s="53" t="s">
        <v>16</v>
      </c>
      <c r="B1016" s="40">
        <v>52291</v>
      </c>
      <c r="C1016" s="41" t="s">
        <v>1276</v>
      </c>
      <c r="D1016" s="30" t="e">
        <f>VLOOKUP(Table13[[#This Row],[kbli5]],Table1[[#All],[kbli5]:[digital_hijau]],3,)</f>
        <v>#N/A</v>
      </c>
      <c r="E1016" s="53" t="e">
        <f>VLOOKUP(Table13[[#This Row],[kbli5]],kata_kunci!$B:$H,4,FALSE)</f>
        <v>#N/A</v>
      </c>
      <c r="F1016" s="53" t="e">
        <f>VLOOKUP(Table13[[#This Row],[kbli5]],Table1[[#All],[kbli5]:[digital_hijau]],5,)</f>
        <v>#N/A</v>
      </c>
      <c r="G1016" s="53" t="e">
        <f>VLOOKUP(Table13[[#This Row],[kbli5]],Table1[[#All],[kbli5]:[digital_hijau]],6,)</f>
        <v>#N/A</v>
      </c>
      <c r="H1016" s="54" t="e">
        <f>VLOOKUP(Table13[[#This Row],[kbli5]],kata_kunci!$B:$H,3,FALSE)</f>
        <v>#N/A</v>
      </c>
      <c r="I1016" s="84" t="e">
        <f>VLOOKUP(Table13[[#This Row],[kbli5]],kata_kunci!$B:$H,5,FALSE)</f>
        <v>#N/A</v>
      </c>
      <c r="J1016" s="84" t="e">
        <f>VLOOKUP(Table13[[#This Row],[kbli5]],kata_kunci!$B:$H,6,FALSE)</f>
        <v>#N/A</v>
      </c>
      <c r="K1016" s="84" t="e">
        <f>VLOOKUP(Table13[[#This Row],[kbli5]],kata_kunci!$B:$H,7,FALSE)</f>
        <v>#N/A</v>
      </c>
    </row>
    <row r="1017" spans="1:11" ht="15.75" thickBot="1" x14ac:dyDescent="0.3">
      <c r="A1017" s="53" t="s">
        <v>16</v>
      </c>
      <c r="B1017" s="40">
        <v>52292</v>
      </c>
      <c r="C1017" s="41" t="s">
        <v>1277</v>
      </c>
      <c r="D1017" s="30" t="e">
        <f>VLOOKUP(Table13[[#This Row],[kbli5]],Table1[[#All],[kbli5]:[digital_hijau]],3,)</f>
        <v>#N/A</v>
      </c>
      <c r="E1017" s="53" t="e">
        <f>VLOOKUP(Table13[[#This Row],[kbli5]],kata_kunci!$B:$H,4,FALSE)</f>
        <v>#N/A</v>
      </c>
      <c r="F1017" s="53" t="e">
        <f>VLOOKUP(Table13[[#This Row],[kbli5]],Table1[[#All],[kbli5]:[digital_hijau]],5,)</f>
        <v>#N/A</v>
      </c>
      <c r="G1017" s="53" t="e">
        <f>VLOOKUP(Table13[[#This Row],[kbli5]],Table1[[#All],[kbli5]:[digital_hijau]],6,)</f>
        <v>#N/A</v>
      </c>
      <c r="H1017" s="54" t="e">
        <f>VLOOKUP(Table13[[#This Row],[kbli5]],kata_kunci!$B:$H,3,FALSE)</f>
        <v>#N/A</v>
      </c>
      <c r="I1017" s="84" t="e">
        <f>VLOOKUP(Table13[[#This Row],[kbli5]],kata_kunci!$B:$H,5,FALSE)</f>
        <v>#N/A</v>
      </c>
      <c r="J1017" s="84" t="e">
        <f>VLOOKUP(Table13[[#This Row],[kbli5]],kata_kunci!$B:$H,6,FALSE)</f>
        <v>#N/A</v>
      </c>
      <c r="K1017" s="84" t="e">
        <f>VLOOKUP(Table13[[#This Row],[kbli5]],kata_kunci!$B:$H,7,FALSE)</f>
        <v>#N/A</v>
      </c>
    </row>
    <row r="1018" spans="1:11" ht="30.75" thickBot="1" x14ac:dyDescent="0.3">
      <c r="A1018" s="53" t="s">
        <v>16</v>
      </c>
      <c r="B1018" s="40">
        <v>52299</v>
      </c>
      <c r="C1018" s="41" t="s">
        <v>1278</v>
      </c>
      <c r="D1018" s="30" t="e">
        <f>VLOOKUP(Table13[[#This Row],[kbli5]],Table1[[#All],[kbli5]:[digital_hijau]],3,)</f>
        <v>#N/A</v>
      </c>
      <c r="E1018" s="53" t="e">
        <f>VLOOKUP(Table13[[#This Row],[kbli5]],kata_kunci!$B:$H,4,FALSE)</f>
        <v>#N/A</v>
      </c>
      <c r="F1018" s="53" t="e">
        <f>VLOOKUP(Table13[[#This Row],[kbli5]],Table1[[#All],[kbli5]:[digital_hijau]],5,)</f>
        <v>#N/A</v>
      </c>
      <c r="G1018" s="53" t="e">
        <f>VLOOKUP(Table13[[#This Row],[kbli5]],Table1[[#All],[kbli5]:[digital_hijau]],6,)</f>
        <v>#N/A</v>
      </c>
      <c r="H1018" s="54" t="e">
        <f>VLOOKUP(Table13[[#This Row],[kbli5]],kata_kunci!$B:$H,3,FALSE)</f>
        <v>#N/A</v>
      </c>
      <c r="I1018" s="84" t="e">
        <f>VLOOKUP(Table13[[#This Row],[kbli5]],kata_kunci!$B:$H,5,FALSE)</f>
        <v>#N/A</v>
      </c>
      <c r="J1018" s="84" t="e">
        <f>VLOOKUP(Table13[[#This Row],[kbli5]],kata_kunci!$B:$H,6,FALSE)</f>
        <v>#N/A</v>
      </c>
      <c r="K1018" s="84" t="e">
        <f>VLOOKUP(Table13[[#This Row],[kbli5]],kata_kunci!$B:$H,7,FALSE)</f>
        <v>#N/A</v>
      </c>
    </row>
    <row r="1019" spans="1:11" ht="30.75" thickBot="1" x14ac:dyDescent="0.3">
      <c r="A1019" s="53" t="s">
        <v>16</v>
      </c>
      <c r="B1019" s="40">
        <v>52311</v>
      </c>
      <c r="C1019" s="41" t="s">
        <v>1279</v>
      </c>
      <c r="D1019" s="30" t="e">
        <f>VLOOKUP(Table13[[#This Row],[kbli5]],Table1[[#All],[kbli5]:[digital_hijau]],3,)</f>
        <v>#N/A</v>
      </c>
      <c r="E1019" s="53" t="e">
        <f>VLOOKUP(Table13[[#This Row],[kbli5]],kata_kunci!$B:$H,4,FALSE)</f>
        <v>#N/A</v>
      </c>
      <c r="F1019" s="53" t="e">
        <f>VLOOKUP(Table13[[#This Row],[kbli5]],Table1[[#All],[kbli5]:[digital_hijau]],5,)</f>
        <v>#N/A</v>
      </c>
      <c r="G1019" s="35" t="s">
        <v>2090</v>
      </c>
      <c r="H1019" s="89" t="e">
        <f>VLOOKUP(Table13[[#This Row],[kbli5]],kata_kunci!$B:$H,3,FALSE)</f>
        <v>#N/A</v>
      </c>
      <c r="I1019" s="84" t="e">
        <f>VLOOKUP(Table13[[#This Row],[kbli5]],kata_kunci!$B:$H,5,FALSE)</f>
        <v>#N/A</v>
      </c>
      <c r="J1019" s="84" t="e">
        <f>VLOOKUP(Table13[[#This Row],[kbli5]],kata_kunci!$B:$H,6,FALSE)</f>
        <v>#N/A</v>
      </c>
      <c r="K1019" s="84" t="e">
        <f>VLOOKUP(Table13[[#This Row],[kbli5]],kata_kunci!$B:$H,7,FALSE)</f>
        <v>#N/A</v>
      </c>
    </row>
    <row r="1020" spans="1:11" ht="30.75" thickBot="1" x14ac:dyDescent="0.3">
      <c r="A1020" s="53" t="s">
        <v>16</v>
      </c>
      <c r="B1020" s="40">
        <v>52312</v>
      </c>
      <c r="C1020" s="41" t="s">
        <v>1280</v>
      </c>
      <c r="D1020" s="30" t="e">
        <f>VLOOKUP(Table13[[#This Row],[kbli5]],Table1[[#All],[kbli5]:[digital_hijau]],3,)</f>
        <v>#N/A</v>
      </c>
      <c r="E1020" s="53" t="e">
        <f>VLOOKUP(Table13[[#This Row],[kbli5]],kata_kunci!$B:$H,4,FALSE)</f>
        <v>#N/A</v>
      </c>
      <c r="F1020" s="53" t="e">
        <f>VLOOKUP(Table13[[#This Row],[kbli5]],Table1[[#All],[kbli5]:[digital_hijau]],5,)</f>
        <v>#N/A</v>
      </c>
      <c r="G1020" s="35" t="s">
        <v>2090</v>
      </c>
      <c r="H1020" s="89" t="e">
        <f>VLOOKUP(Table13[[#This Row],[kbli5]],kata_kunci!$B:$H,3,FALSE)</f>
        <v>#N/A</v>
      </c>
      <c r="I1020" s="84" t="e">
        <f>VLOOKUP(Table13[[#This Row],[kbli5]],kata_kunci!$B:$H,5,FALSE)</f>
        <v>#N/A</v>
      </c>
      <c r="J1020" s="84" t="e">
        <f>VLOOKUP(Table13[[#This Row],[kbli5]],kata_kunci!$B:$H,6,FALSE)</f>
        <v>#N/A</v>
      </c>
      <c r="K1020" s="84" t="e">
        <f>VLOOKUP(Table13[[#This Row],[kbli5]],kata_kunci!$B:$H,7,FALSE)</f>
        <v>#N/A</v>
      </c>
    </row>
    <row r="1021" spans="1:11" ht="60.75" thickBot="1" x14ac:dyDescent="0.3">
      <c r="A1021" s="53" t="s">
        <v>16</v>
      </c>
      <c r="B1021" s="40">
        <v>52313</v>
      </c>
      <c r="C1021" s="41" t="s">
        <v>1281</v>
      </c>
      <c r="D1021" s="30" t="e">
        <f>VLOOKUP(Table13[[#This Row],[kbli5]],Table1[[#All],[kbli5]:[digital_hijau]],3,)</f>
        <v>#N/A</v>
      </c>
      <c r="E1021" s="53" t="e">
        <f>VLOOKUP(Table13[[#This Row],[kbli5]],kata_kunci!$B:$H,4,FALSE)</f>
        <v>#N/A</v>
      </c>
      <c r="F1021" s="53" t="e">
        <f>VLOOKUP(Table13[[#This Row],[kbli5]],Table1[[#All],[kbli5]:[digital_hijau]],5,)</f>
        <v>#N/A</v>
      </c>
      <c r="G1021" s="35" t="s">
        <v>2090</v>
      </c>
      <c r="H1021" s="89" t="e">
        <f>VLOOKUP(Table13[[#This Row],[kbli5]],kata_kunci!$B:$H,3,FALSE)</f>
        <v>#N/A</v>
      </c>
      <c r="I1021" s="84" t="e">
        <f>VLOOKUP(Table13[[#This Row],[kbli5]],kata_kunci!$B:$H,5,FALSE)</f>
        <v>#N/A</v>
      </c>
      <c r="J1021" s="84" t="e">
        <f>VLOOKUP(Table13[[#This Row],[kbli5]],kata_kunci!$B:$H,6,FALSE)</f>
        <v>#N/A</v>
      </c>
      <c r="K1021" s="84" t="e">
        <f>VLOOKUP(Table13[[#This Row],[kbli5]],kata_kunci!$B:$H,7,FALSE)</f>
        <v>#N/A</v>
      </c>
    </row>
    <row r="1022" spans="1:11" ht="45.75" thickBot="1" x14ac:dyDescent="0.3">
      <c r="A1022" s="53" t="s">
        <v>16</v>
      </c>
      <c r="B1022" s="40">
        <v>52319</v>
      </c>
      <c r="C1022" s="41" t="s">
        <v>1282</v>
      </c>
      <c r="D1022" s="30" t="e">
        <f>VLOOKUP(Table13[[#This Row],[kbli5]],Table1[[#All],[kbli5]:[digital_hijau]],3,)</f>
        <v>#N/A</v>
      </c>
      <c r="E1022" s="53" t="e">
        <f>VLOOKUP(Table13[[#This Row],[kbli5]],kata_kunci!$B:$H,4,FALSE)</f>
        <v>#N/A</v>
      </c>
      <c r="F1022" s="53" t="e">
        <f>VLOOKUP(Table13[[#This Row],[kbli5]],Table1[[#All],[kbli5]:[digital_hijau]],5,)</f>
        <v>#N/A</v>
      </c>
      <c r="G1022" s="35" t="s">
        <v>2090</v>
      </c>
      <c r="H1022" s="89" t="e">
        <f>VLOOKUP(Table13[[#This Row],[kbli5]],kata_kunci!$B:$H,3,FALSE)</f>
        <v>#N/A</v>
      </c>
      <c r="I1022" s="84" t="e">
        <f>VLOOKUP(Table13[[#This Row],[kbli5]],kata_kunci!$B:$H,5,FALSE)</f>
        <v>#N/A</v>
      </c>
      <c r="J1022" s="84" t="e">
        <f>VLOOKUP(Table13[[#This Row],[kbli5]],kata_kunci!$B:$H,6,FALSE)</f>
        <v>#N/A</v>
      </c>
      <c r="K1022" s="84" t="e">
        <f>VLOOKUP(Table13[[#This Row],[kbli5]],kata_kunci!$B:$H,7,FALSE)</f>
        <v>#N/A</v>
      </c>
    </row>
    <row r="1023" spans="1:11" ht="30.75" thickBot="1" x14ac:dyDescent="0.3">
      <c r="A1023" s="53" t="s">
        <v>16</v>
      </c>
      <c r="B1023" s="40">
        <v>52321</v>
      </c>
      <c r="C1023" s="41" t="s">
        <v>1283</v>
      </c>
      <c r="D1023" s="30" t="e">
        <f>VLOOKUP(Table13[[#This Row],[kbli5]],Table1[[#All],[kbli5]:[digital_hijau]],3,)</f>
        <v>#N/A</v>
      </c>
      <c r="E1023" s="53" t="e">
        <f>VLOOKUP(Table13[[#This Row],[kbli5]],kata_kunci!$B:$H,4,FALSE)</f>
        <v>#N/A</v>
      </c>
      <c r="F1023" s="53" t="e">
        <f>VLOOKUP(Table13[[#This Row],[kbli5]],Table1[[#All],[kbli5]:[digital_hijau]],5,)</f>
        <v>#N/A</v>
      </c>
      <c r="G1023" s="35" t="s">
        <v>2090</v>
      </c>
      <c r="H1023" s="89" t="e">
        <f>VLOOKUP(Table13[[#This Row],[kbli5]],kata_kunci!$B:$H,3,FALSE)</f>
        <v>#N/A</v>
      </c>
      <c r="I1023" s="84" t="e">
        <f>VLOOKUP(Table13[[#This Row],[kbli5]],kata_kunci!$B:$H,5,FALSE)</f>
        <v>#N/A</v>
      </c>
      <c r="J1023" s="84" t="e">
        <f>VLOOKUP(Table13[[#This Row],[kbli5]],kata_kunci!$B:$H,6,FALSE)</f>
        <v>#N/A</v>
      </c>
      <c r="K1023" s="84" t="e">
        <f>VLOOKUP(Table13[[#This Row],[kbli5]],kata_kunci!$B:$H,7,FALSE)</f>
        <v>#N/A</v>
      </c>
    </row>
    <row r="1024" spans="1:11" ht="30.75" thickBot="1" x14ac:dyDescent="0.3">
      <c r="A1024" s="53" t="s">
        <v>16</v>
      </c>
      <c r="B1024" s="40">
        <v>52322</v>
      </c>
      <c r="C1024" s="41" t="s">
        <v>1284</v>
      </c>
      <c r="D1024" s="30" t="e">
        <f>VLOOKUP(Table13[[#This Row],[kbli5]],Table1[[#All],[kbli5]:[digital_hijau]],3,)</f>
        <v>#N/A</v>
      </c>
      <c r="E1024" s="53" t="e">
        <f>VLOOKUP(Table13[[#This Row],[kbli5]],kata_kunci!$B:$H,4,FALSE)</f>
        <v>#N/A</v>
      </c>
      <c r="F1024" s="53" t="e">
        <f>VLOOKUP(Table13[[#This Row],[kbli5]],Table1[[#All],[kbli5]:[digital_hijau]],5,)</f>
        <v>#N/A</v>
      </c>
      <c r="G1024" s="35" t="s">
        <v>2090</v>
      </c>
      <c r="H1024" s="89" t="e">
        <f>VLOOKUP(Table13[[#This Row],[kbli5]],kata_kunci!$B:$H,3,FALSE)</f>
        <v>#N/A</v>
      </c>
      <c r="I1024" s="84" t="e">
        <f>VLOOKUP(Table13[[#This Row],[kbli5]],kata_kunci!$B:$H,5,FALSE)</f>
        <v>#N/A</v>
      </c>
      <c r="J1024" s="84" t="e">
        <f>VLOOKUP(Table13[[#This Row],[kbli5]],kata_kunci!$B:$H,6,FALSE)</f>
        <v>#N/A</v>
      </c>
      <c r="K1024" s="84" t="e">
        <f>VLOOKUP(Table13[[#This Row],[kbli5]],kata_kunci!$B:$H,7,FALSE)</f>
        <v>#N/A</v>
      </c>
    </row>
    <row r="1025" spans="1:11" ht="60.75" thickBot="1" x14ac:dyDescent="0.3">
      <c r="A1025" s="53" t="s">
        <v>16</v>
      </c>
      <c r="B1025" s="40">
        <v>52323</v>
      </c>
      <c r="C1025" s="41" t="s">
        <v>1285</v>
      </c>
      <c r="D1025" s="30" t="e">
        <f>VLOOKUP(Table13[[#This Row],[kbli5]],Table1[[#All],[kbli5]:[digital_hijau]],3,)</f>
        <v>#N/A</v>
      </c>
      <c r="E1025" s="53" t="e">
        <f>VLOOKUP(Table13[[#This Row],[kbli5]],kata_kunci!$B:$H,4,FALSE)</f>
        <v>#N/A</v>
      </c>
      <c r="F1025" s="53" t="e">
        <f>VLOOKUP(Table13[[#This Row],[kbli5]],Table1[[#All],[kbli5]:[digital_hijau]],5,)</f>
        <v>#N/A</v>
      </c>
      <c r="G1025" s="35" t="s">
        <v>2090</v>
      </c>
      <c r="H1025" s="89" t="e">
        <f>VLOOKUP(Table13[[#This Row],[kbli5]],kata_kunci!$B:$H,3,FALSE)</f>
        <v>#N/A</v>
      </c>
      <c r="I1025" s="84" t="e">
        <f>VLOOKUP(Table13[[#This Row],[kbli5]],kata_kunci!$B:$H,5,FALSE)</f>
        <v>#N/A</v>
      </c>
      <c r="J1025" s="84" t="e">
        <f>VLOOKUP(Table13[[#This Row],[kbli5]],kata_kunci!$B:$H,6,FALSE)</f>
        <v>#N/A</v>
      </c>
      <c r="K1025" s="84" t="e">
        <f>VLOOKUP(Table13[[#This Row],[kbli5]],kata_kunci!$B:$H,7,FALSE)</f>
        <v>#N/A</v>
      </c>
    </row>
    <row r="1026" spans="1:11" ht="45.75" thickBot="1" x14ac:dyDescent="0.3">
      <c r="A1026" s="53" t="s">
        <v>16</v>
      </c>
      <c r="B1026" s="40">
        <v>52329</v>
      </c>
      <c r="C1026" s="41" t="s">
        <v>1286</v>
      </c>
      <c r="D1026" s="30" t="e">
        <f>VLOOKUP(Table13[[#This Row],[kbli5]],Table1[[#All],[kbli5]:[digital_hijau]],3,)</f>
        <v>#N/A</v>
      </c>
      <c r="E1026" s="53" t="e">
        <f>VLOOKUP(Table13[[#This Row],[kbli5]],kata_kunci!$B:$H,4,FALSE)</f>
        <v>#N/A</v>
      </c>
      <c r="F1026" s="53" t="e">
        <f>VLOOKUP(Table13[[#This Row],[kbli5]],Table1[[#All],[kbli5]:[digital_hijau]],5,)</f>
        <v>#N/A</v>
      </c>
      <c r="G1026" s="35" t="s">
        <v>2090</v>
      </c>
      <c r="H1026" s="89" t="e">
        <f>VLOOKUP(Table13[[#This Row],[kbli5]],kata_kunci!$B:$H,3,FALSE)</f>
        <v>#N/A</v>
      </c>
      <c r="I1026" s="84" t="e">
        <f>VLOOKUP(Table13[[#This Row],[kbli5]],kata_kunci!$B:$H,5,FALSE)</f>
        <v>#N/A</v>
      </c>
      <c r="J1026" s="84" t="e">
        <f>VLOOKUP(Table13[[#This Row],[kbli5]],kata_kunci!$B:$H,6,FALSE)</f>
        <v>#N/A</v>
      </c>
      <c r="K1026" s="84" t="e">
        <f>VLOOKUP(Table13[[#This Row],[kbli5]],kata_kunci!$B:$H,7,FALSE)</f>
        <v>#N/A</v>
      </c>
    </row>
    <row r="1027" spans="1:11" ht="15.75" thickBot="1" x14ac:dyDescent="0.3">
      <c r="A1027" s="53" t="s">
        <v>16</v>
      </c>
      <c r="B1027" s="40">
        <v>53100</v>
      </c>
      <c r="C1027" s="41" t="s">
        <v>17</v>
      </c>
      <c r="D1027" s="30" t="e">
        <f>VLOOKUP(Table13[[#This Row],[kbli5]],Table1[[#All],[kbli5]:[digital_hijau]],3,)</f>
        <v>#N/A</v>
      </c>
      <c r="E1027" s="53" t="e">
        <f>VLOOKUP(Table13[[#This Row],[kbli5]],kata_kunci!$B:$H,4,FALSE)</f>
        <v>#N/A</v>
      </c>
      <c r="F1027" s="53" t="e">
        <f>VLOOKUP(Table13[[#This Row],[kbli5]],Table1[[#All],[kbli5]:[digital_hijau]],5,)</f>
        <v>#N/A</v>
      </c>
      <c r="G1027" s="53" t="e">
        <f>VLOOKUP(Table13[[#This Row],[kbli5]],Table1[[#All],[kbli5]:[digital_hijau]],6,)</f>
        <v>#N/A</v>
      </c>
      <c r="H1027" s="54" t="e">
        <f>VLOOKUP(Table13[[#This Row],[kbli5]],kata_kunci!$B:$H,3,FALSE)</f>
        <v>#N/A</v>
      </c>
      <c r="I1027" s="84" t="e">
        <f>VLOOKUP(Table13[[#This Row],[kbli5]],kata_kunci!$B:$H,5,FALSE)</f>
        <v>#N/A</v>
      </c>
      <c r="J1027" s="84" t="e">
        <f>VLOOKUP(Table13[[#This Row],[kbli5]],kata_kunci!$B:$H,6,FALSE)</f>
        <v>#N/A</v>
      </c>
      <c r="K1027" s="84" t="e">
        <f>VLOOKUP(Table13[[#This Row],[kbli5]],kata_kunci!$B:$H,7,FALSE)</f>
        <v>#N/A</v>
      </c>
    </row>
    <row r="1028" spans="1:11" ht="15.75" thickBot="1" x14ac:dyDescent="0.3">
      <c r="A1028" s="53" t="s">
        <v>16</v>
      </c>
      <c r="B1028" s="40">
        <v>53200</v>
      </c>
      <c r="C1028" s="41" t="s">
        <v>18</v>
      </c>
      <c r="D1028" s="30" t="e">
        <f>VLOOKUP(Table13[[#This Row],[kbli5]],Table1[[#All],[kbli5]:[digital_hijau]],3,)</f>
        <v>#N/A</v>
      </c>
      <c r="E1028" s="53" t="e">
        <f>VLOOKUP(Table13[[#This Row],[kbli5]],kata_kunci!$B:$H,4,FALSE)</f>
        <v>#N/A</v>
      </c>
      <c r="F1028" s="53" t="e">
        <f>VLOOKUP(Table13[[#This Row],[kbli5]],Table1[[#All],[kbli5]:[digital_hijau]],5,)</f>
        <v>#N/A</v>
      </c>
      <c r="G1028" s="53" t="e">
        <f>VLOOKUP(Table13[[#This Row],[kbli5]],Table1[[#All],[kbli5]:[digital_hijau]],6,)</f>
        <v>#N/A</v>
      </c>
      <c r="H1028" s="54" t="e">
        <f>VLOOKUP(Table13[[#This Row],[kbli5]],kata_kunci!$B:$H,3,FALSE)</f>
        <v>#N/A</v>
      </c>
      <c r="I1028" s="84" t="e">
        <f>VLOOKUP(Table13[[#This Row],[kbli5]],kata_kunci!$B:$H,5,FALSE)</f>
        <v>#N/A</v>
      </c>
      <c r="J1028" s="84" t="e">
        <f>VLOOKUP(Table13[[#This Row],[kbli5]],kata_kunci!$B:$H,6,FALSE)</f>
        <v>#N/A</v>
      </c>
      <c r="K1028" s="84" t="e">
        <f>VLOOKUP(Table13[[#This Row],[kbli5]],kata_kunci!$B:$H,7,FALSE)</f>
        <v>#N/A</v>
      </c>
    </row>
    <row r="1029" spans="1:11" ht="45.75" thickBot="1" x14ac:dyDescent="0.3">
      <c r="A1029" s="53" t="s">
        <v>16</v>
      </c>
      <c r="B1029" s="40">
        <v>53301</v>
      </c>
      <c r="C1029" s="41" t="s">
        <v>1287</v>
      </c>
      <c r="D1029" s="30" t="e">
        <f>VLOOKUP(Table13[[#This Row],[kbli5]],Table1[[#All],[kbli5]:[digital_hijau]],3,)</f>
        <v>#N/A</v>
      </c>
      <c r="E1029" s="53" t="e">
        <f>VLOOKUP(Table13[[#This Row],[kbli5]],kata_kunci!$B:$H,4,FALSE)</f>
        <v>#N/A</v>
      </c>
      <c r="F1029" s="53" t="e">
        <f>VLOOKUP(Table13[[#This Row],[kbli5]],Table1[[#All],[kbli5]:[digital_hijau]],5,)</f>
        <v>#N/A</v>
      </c>
      <c r="G1029" s="35" t="s">
        <v>2090</v>
      </c>
      <c r="H1029" s="89" t="e">
        <f>VLOOKUP(Table13[[#This Row],[kbli5]],kata_kunci!$B:$H,3,FALSE)</f>
        <v>#N/A</v>
      </c>
      <c r="I1029" s="84" t="e">
        <f>VLOOKUP(Table13[[#This Row],[kbli5]],kata_kunci!$B:$H,5,FALSE)</f>
        <v>#N/A</v>
      </c>
      <c r="J1029" s="84" t="e">
        <f>VLOOKUP(Table13[[#This Row],[kbli5]],kata_kunci!$B:$H,6,FALSE)</f>
        <v>#N/A</v>
      </c>
      <c r="K1029" s="84" t="e">
        <f>VLOOKUP(Table13[[#This Row],[kbli5]],kata_kunci!$B:$H,7,FALSE)</f>
        <v>#N/A</v>
      </c>
    </row>
    <row r="1030" spans="1:11" ht="30.75" thickBot="1" x14ac:dyDescent="0.3">
      <c r="A1030" s="53" t="s">
        <v>16</v>
      </c>
      <c r="B1030" s="40">
        <v>53309</v>
      </c>
      <c r="C1030" s="41" t="s">
        <v>1288</v>
      </c>
      <c r="D1030" s="30" t="e">
        <f>VLOOKUP(Table13[[#This Row],[kbli5]],Table1[[#All],[kbli5]:[digital_hijau]],3,)</f>
        <v>#N/A</v>
      </c>
      <c r="E1030" s="53" t="e">
        <f>VLOOKUP(Table13[[#This Row],[kbli5]],kata_kunci!$B:$H,4,FALSE)</f>
        <v>#N/A</v>
      </c>
      <c r="F1030" s="53" t="e">
        <f>VLOOKUP(Table13[[#This Row],[kbli5]],Table1[[#All],[kbli5]:[digital_hijau]],5,)</f>
        <v>#N/A</v>
      </c>
      <c r="G1030" s="35" t="s">
        <v>2090</v>
      </c>
      <c r="H1030" s="89" t="e">
        <f>VLOOKUP(Table13[[#This Row],[kbli5]],kata_kunci!$B:$H,3,FALSE)</f>
        <v>#N/A</v>
      </c>
      <c r="I1030" s="84" t="e">
        <f>VLOOKUP(Table13[[#This Row],[kbli5]],kata_kunci!$B:$H,5,FALSE)</f>
        <v>#N/A</v>
      </c>
      <c r="J1030" s="84" t="e">
        <f>VLOOKUP(Table13[[#This Row],[kbli5]],kata_kunci!$B:$H,6,FALSE)</f>
        <v>#N/A</v>
      </c>
      <c r="K1030" s="84" t="e">
        <f>VLOOKUP(Table13[[#This Row],[kbli5]],kata_kunci!$B:$H,7,FALSE)</f>
        <v>#N/A</v>
      </c>
    </row>
    <row r="1031" spans="1:11" ht="116.25" thickBot="1" x14ac:dyDescent="0.3">
      <c r="A1031" s="53" t="s">
        <v>19</v>
      </c>
      <c r="B1031" s="40">
        <v>55101</v>
      </c>
      <c r="C1031" s="41" t="s">
        <v>20</v>
      </c>
      <c r="D1031" s="30" t="str">
        <f>VLOOKUP(Table13[[#This Row],[kbli5]],Table1[[#All],[kbli5]:[digital_hijau]],3,)</f>
        <v>Hotel Btg 5; Hotel internasional berbintang lima (misalnya jaringan hotel global); Resort mewah dengan standar bintang lima; Labersa hotel; Araduta hotel;</v>
      </c>
      <c r="E1031" s="53" t="str">
        <f>VLOOKUP(Table13[[#This Row],[kbli5]],kata_kunci!$B:$H,4,FALSE)</f>
        <v>- Hotel bintang lima;- Akomodasi;- Penginapan;- Perhotelan;- Hospitality;- Penyediaan kamar;- Jasa hotel;- Resort mewah;- Layanan inap;- Fasilitas hotel;</v>
      </c>
      <c r="F1031" s="53" t="str">
        <f>VLOOKUP(Table13[[#This Row],[kbli5]],Table1[[#All],[kbli5]:[digital_hijau]],5,)</f>
        <v>Esensial</v>
      </c>
      <c r="G1031" s="53" t="str">
        <f>VLOOKUP(Table13[[#This Row],[kbli5]],Table1[[#All],[kbli5]:[digital_hijau]],6,)</f>
        <v>Industri Digital; Ekonomi Hijau;</v>
      </c>
      <c r="H1031" s="54" t="str">
        <f>VLOOKUP(Table13[[#This Row],[kbli5]],kata_kunci!$B:$H,3,FALSE)</f>
        <v>mencakup kegiatan penyediaan akomodasi yang biasanya;berbasis harian atau mingguan; untuk tinggal dalam jangka waktu yang;singkat; memenuhi ketentuan sebagai hotel bintang lima; serta;menggunakan sebagian atau seluruh bangunan;</v>
      </c>
      <c r="I1031" s="84" t="str">
        <f>VLOOKUP(Table13[[#This Row],[kbli5]],kata_kunci!$B:$H,5,FALSE)</f>
        <v xml:space="preserve"> Menyediakan akomodasi; Melayani tamu; Mengelola hotel; Menyelenggarakan penginapan; Menawarkan fasilitas perhotelan; Mengoperasikan hotel berbintang; Menyewakan kamar;</v>
      </c>
      <c r="J1031" s="84" t="str">
        <f>VLOOKUP(Table13[[#This Row],[kbli5]],kata_kunci!$B:$H,6,FALSE)</f>
        <v>Mengacu ke KBLI;</v>
      </c>
      <c r="K1031" s="84" t="str">
        <f>VLOOKUP(Table13[[#This Row],[kbli5]],kata_kunci!$B:$H,7,FALSE)</f>
        <v xml:space="preserve"> Jasa penginapan hotel bintang lima; Jasa akomodasi premium; Penyewaan kamar hotel mewah; Jasa pelayanan hospitality; Jasa penyelenggaraan konferensi dan acara; Jasa makanan dan minuman hotel; Jasa spa dan rekreasi hotel; Paket menginap/resort; Layanan room service dan concierge; Fasilitas perhotelan berbintang lima;</v>
      </c>
    </row>
    <row r="1032" spans="1:11" ht="78" thickBot="1" x14ac:dyDescent="0.3">
      <c r="A1032" s="53" t="s">
        <v>19</v>
      </c>
      <c r="B1032" s="40">
        <v>55102</v>
      </c>
      <c r="C1032" s="41" t="s">
        <v>21</v>
      </c>
      <c r="D1032" s="30" t="str">
        <f>VLOOKUP(Table13[[#This Row],[kbli5]],Table1[[#All],[kbli5]:[digital_hijau]],3,)</f>
        <v>Hotel Btg 4; Premiere; Fox; Zuri PKU &amp; Dumai; Asnof;</v>
      </c>
      <c r="E1032" s="53" t="str">
        <f>VLOOKUP(Table13[[#This Row],[kbli5]],kata_kunci!$B:$H,4,FALSE)</f>
        <v>-Hotel bintang empat;- Akomodasi;- Penginapan;- Jasa hotel;- Hospitality;- Penyediaan kamar;</v>
      </c>
      <c r="F1032" s="53" t="str">
        <f>VLOOKUP(Table13[[#This Row],[kbli5]],Table1[[#All],[kbli5]:[digital_hijau]],5,)</f>
        <v>Esensial</v>
      </c>
      <c r="G1032" s="35" t="s">
        <v>2091</v>
      </c>
      <c r="H1032" s="54" t="str">
        <f>VLOOKUP(Table13[[#This Row],[kbli5]],kata_kunci!$B:$H,3,FALSE)</f>
        <v>usaha penyediaan jasa penginapan dengan standar hotel bintang empat; yang menyediakan fasilitas lengkap dan pelayanan profesional; namun di bawah standar hotel bintang lima.;</v>
      </c>
      <c r="I1032" s="84" t="str">
        <f>VLOOKUP(Table13[[#This Row],[kbli5]],kata_kunci!$B:$H,5,FALSE)</f>
        <v xml:space="preserve"> Menyediakan akomodasi; Mengoperasikan hotel; Melayani penginapan; Mengelola reservasi; Menyelenggarakan layanan perhotelan;</v>
      </c>
      <c r="J1032" s="84" t="str">
        <f>VLOOKUP(Table13[[#This Row],[kbli5]],kata_kunci!$B:$H,6,FALSE)</f>
        <v>Mengacu ke KBLI;</v>
      </c>
      <c r="K1032" s="84" t="str">
        <f>VLOOKUP(Table13[[#This Row],[kbli5]],kata_kunci!$B:$H,7,FALSE)</f>
        <v xml:space="preserve"> Jasa penginapan hotel bintang empat; Jasa akomodasi hotel; Jasa perhotelan; Penyewaan kamar hotel; Jasa hospitality;</v>
      </c>
    </row>
    <row r="1033" spans="1:11" ht="78" thickBot="1" x14ac:dyDescent="0.3">
      <c r="A1033" s="53" t="s">
        <v>19</v>
      </c>
      <c r="B1033" s="40">
        <v>55103</v>
      </c>
      <c r="C1033" s="41" t="s">
        <v>22</v>
      </c>
      <c r="D1033" s="30" t="str">
        <f>VLOOKUP(Table13[[#This Row],[kbli5]],Table1[[#All],[kbli5]:[digital_hijau]],3,)</f>
        <v>Hotel Btg 3; Swiss Bellin SKA; Furaya; Dafam;</v>
      </c>
      <c r="E1033" s="53" t="str">
        <f>VLOOKUP(Table13[[#This Row],[kbli5]],kata_kunci!$B:$H,4,FALSE)</f>
        <v>- Hotel bintang tiga;- Penginapan;- Akomodasi;- Jasa hotel;- Hospitality;- Penyediaan kamar;</v>
      </c>
      <c r="F1033" s="53" t="str">
        <f>VLOOKUP(Table13[[#This Row],[kbli5]],Table1[[#All],[kbli5]:[digital_hijau]],5,)</f>
        <v>Esensial</v>
      </c>
      <c r="G1033" s="53">
        <f>VLOOKUP(Table13[[#This Row],[kbli5]],Table1[[#All],[kbli5]:[digital_hijau]],6,)</f>
        <v>0</v>
      </c>
      <c r="H1033" s="54" t="str">
        <f>VLOOKUP(Table13[[#This Row],[kbli5]],kata_kunci!$B:$H,3,FALSE)</f>
        <v>usaha penyediaan jasa penginapan pada hotel berbintang tiga dengan fasilitas dan pelayanan yang cukup lengkap untuk tamu umum; wisatawan; maupun perjalanan bisnis.;</v>
      </c>
      <c r="I1033" s="84" t="str">
        <f>VLOOKUP(Table13[[#This Row],[kbli5]],kata_kunci!$B:$H,5,FALSE)</f>
        <v xml:space="preserve"> Menyediakan kamar penginapan hotel; Melayani reservasi dan tamu hotel; Menyediakan restoran/café hotel; Menyelenggarakan ruang rapat sederhana; Mengoperasikan layanan laundry dan room service; Menyediakan fasilitas rekreasi dasar;</v>
      </c>
      <c r="J1033" s="84" t="str">
        <f>VLOOKUP(Table13[[#This Row],[kbli5]],kata_kunci!$B:$H,6,FALSE)</f>
        <v>Mengacu ke KBLI;</v>
      </c>
      <c r="K1033" s="84" t="str">
        <f>VLOOKUP(Table13[[#This Row],[kbli5]],kata_kunci!$B:$H,7,FALSE)</f>
        <v xml:space="preserve"> Jasa penginapan hotel bintang tiga; Jasa akomodasi hotel; Jasa perhotelan; Penyewaan kamar hotel; Jasa hospitality;</v>
      </c>
    </row>
    <row r="1034" spans="1:11" ht="65.25" thickBot="1" x14ac:dyDescent="0.3">
      <c r="A1034" s="53" t="s">
        <v>19</v>
      </c>
      <c r="B1034" s="40">
        <v>55104</v>
      </c>
      <c r="C1034" s="16" t="s">
        <v>23</v>
      </c>
      <c r="D1034" s="30" t="str">
        <f>VLOOKUP(Table13[[#This Row],[kbli5]],Table1[[#All],[kbli5]:[digital_hijau]],3,)</f>
        <v>Hotel Btg 2;</v>
      </c>
      <c r="E1034" s="53" t="str">
        <f>VLOOKUP(Table13[[#This Row],[kbli5]],kata_kunci!$B:$H,4,FALSE)</f>
        <v>- Hotel bintang dua;Penginapan;Akomodasi;Jasa hotel;Penyediaan kamar;Perhotelan;</v>
      </c>
      <c r="F1034" s="53" t="str">
        <f>VLOOKUP(Table13[[#This Row],[kbli5]],Table1[[#All],[kbli5]:[digital_hijau]],5,)</f>
        <v>Esensial</v>
      </c>
      <c r="G1034" s="53">
        <f>VLOOKUP(Table13[[#This Row],[kbli5]],Table1[[#All],[kbli5]:[digital_hijau]],6,)</f>
        <v>0</v>
      </c>
      <c r="H1034" s="54" t="str">
        <f>VLOOKUP(Table13[[#This Row],[kbli5]],kata_kunci!$B:$H,3,FALSE)</f>
        <v>usaha penyediaan jasa penginapan pada hotel berbintang dua dengan fasilitas standar dan pelayanan dasar bagi wisatawan maupun pelaku perjalanan.;</v>
      </c>
      <c r="I1034" s="84" t="str">
        <f>VLOOKUP(Table13[[#This Row],[kbli5]],kata_kunci!$B:$H,5,FALSE)</f>
        <v>Menyediakan kamar penginapan;Melayani reservasi tamu;Menyediakan layanan kebersihan kamar;Menyediakan restoran sederhana/café;Mengoperasikan layanan perhotelan dasar;</v>
      </c>
      <c r="J1034" s="84" t="str">
        <f>VLOOKUP(Table13[[#This Row],[kbli5]],kata_kunci!$B:$H,6,FALSE)</f>
        <v>Mengacu ke KBLI;</v>
      </c>
      <c r="K1034" s="84" t="str">
        <f>VLOOKUP(Table13[[#This Row],[kbli5]],kata_kunci!$B:$H,7,FALSE)</f>
        <v>Jasa penginapan hotel bintang dua;Jasa akomodasi hotel;Penyewaan kamar hotel;Jasa perhotelan;Jasa hospitality;</v>
      </c>
    </row>
    <row r="1035" spans="1:11" ht="65.25" thickBot="1" x14ac:dyDescent="0.3">
      <c r="A1035" s="53" t="s">
        <v>19</v>
      </c>
      <c r="B1035" s="40">
        <v>55105</v>
      </c>
      <c r="C1035" s="16" t="s">
        <v>24</v>
      </c>
      <c r="D1035" s="30" t="str">
        <f>VLOOKUP(Table13[[#This Row],[kbli5]],Table1[[#All],[kbli5]:[digital_hijau]],3,)</f>
        <v>Hotel Btg 1; Hotel melati berbintang; Budget hotel; Hotel transit sederhana; Hotel wisata kecil; holiday hotel; sabrina 45 hotel;</v>
      </c>
      <c r="E1035" s="53" t="str">
        <f>VLOOKUP(Table13[[#This Row],[kbli5]],kata_kunci!$B:$H,4,FALSE)</f>
        <v>Hotel bintang satu;Penginapan;Akomodasi;Hotel sederhana;Penyediaan kamar;</v>
      </c>
      <c r="F1035" s="53" t="str">
        <f>VLOOKUP(Table13[[#This Row],[kbli5]],Table1[[#All],[kbli5]:[digital_hijau]],5,)</f>
        <v>Esensial</v>
      </c>
      <c r="G1035" s="53">
        <f>VLOOKUP(Table13[[#This Row],[kbli5]],Table1[[#All],[kbli5]:[digital_hijau]],6,)</f>
        <v>0</v>
      </c>
      <c r="H1035" s="54" t="str">
        <f>VLOOKUP(Table13[[#This Row],[kbli5]],kata_kunci!$B:$H,3,FALSE)</f>
        <v>usaha penyediaan jasa penginapan pada hotel berbintang satu dengan fasilitas dasar dan pelayanan sederhana untuk tamu umum atau wisatawan.;</v>
      </c>
      <c r="I1035" s="84" t="str">
        <f>VLOOKUP(Table13[[#This Row],[kbli5]],kata_kunci!$B:$H,5,FALSE)</f>
        <v>Menyediakan kamar penginapan sederhana;Melayani tamu hotel;Mengelola reservasi kamar;Menyediakan layanan kebersihan kamar;Mengoperasikan fasilitas penginapan dasar;</v>
      </c>
      <c r="J1035" s="84" t="str">
        <f>VLOOKUP(Table13[[#This Row],[kbli5]],kata_kunci!$B:$H,6,FALSE)</f>
        <v>Mengacu ke KBLI;</v>
      </c>
      <c r="K1035" s="84" t="str">
        <f>VLOOKUP(Table13[[#This Row],[kbli5]],kata_kunci!$B:$H,7,FALSE)</f>
        <v>Jasa penginapan hotel bintang satu;Jasa akomodasi hotel;Penyewaan kamar;Jasa perhotelan sederhana;</v>
      </c>
    </row>
    <row r="1036" spans="1:11" ht="65.25" thickBot="1" x14ac:dyDescent="0.3">
      <c r="A1036" s="53" t="s">
        <v>19</v>
      </c>
      <c r="B1036" s="40">
        <v>55106</v>
      </c>
      <c r="C1036" s="16" t="s">
        <v>25</v>
      </c>
      <c r="D1036" s="30" t="str">
        <f>VLOOKUP(Table13[[#This Row],[kbli5]],Table1[[#All],[kbli5]:[digital_hijau]],3,)</f>
        <v>Hotel Non Bintang; Losmen; Wisma penginapan; Hotel melati; Guest house sederhana; Penginapan harian;</v>
      </c>
      <c r="E1036" s="53" t="str">
        <f>VLOOKUP(Table13[[#This Row],[kbli5]],kata_kunci!$B:$H,4,FALSE)</f>
        <v>Hotel melati;Losmen;Penginapan;Akomodasi sederhana;Wisma;Guest house sederhana;</v>
      </c>
      <c r="F1036" s="53" t="str">
        <f>VLOOKUP(Table13[[#This Row],[kbli5]],Table1[[#All],[kbli5]:[digital_hijau]],5,)</f>
        <v>Esensial</v>
      </c>
      <c r="G1036" s="53">
        <f>VLOOKUP(Table13[[#This Row],[kbli5]],Table1[[#All],[kbli5]:[digital_hijau]],6,)</f>
        <v>0</v>
      </c>
      <c r="H1036" s="54" t="str">
        <f>VLOOKUP(Table13[[#This Row],[kbli5]],kata_kunci!$B:$H,3,FALSE)</f>
        <v>usaha penyediaan jasa penginapan pada hotel melati atau penginapan nonbintang dengan fasilitas sederhana dan pelayanan dasar.;</v>
      </c>
      <c r="I1036" s="84" t="str">
        <f>VLOOKUP(Table13[[#This Row],[kbli5]],kata_kunci!$B:$H,5,FALSE)</f>
        <v>Menyediakan penginapan;Melayani tamu;Menyewakan kamar;Mengelola penginapan;Mengoperasikan hotel melati;</v>
      </c>
      <c r="J1036" s="84" t="str">
        <f>VLOOKUP(Table13[[#This Row],[kbli5]],kata_kunci!$B:$H,6,FALSE)</f>
        <v>Mengacu ke KBLI;</v>
      </c>
      <c r="K1036" s="84" t="str">
        <f>VLOOKUP(Table13[[#This Row],[kbli5]],kata_kunci!$B:$H,7,FALSE)</f>
        <v>Jasa penginapan hotel melati;Jasa akomodasi sederhana;Penyewaan kamar harian;Jasa losmen/penginapan;</v>
      </c>
    </row>
    <row r="1037" spans="1:11" ht="103.5" thickBot="1" x14ac:dyDescent="0.3">
      <c r="A1037" s="53" t="s">
        <v>19</v>
      </c>
      <c r="B1037" s="40">
        <v>55201</v>
      </c>
      <c r="C1037" s="41" t="s">
        <v>26</v>
      </c>
      <c r="D1037" s="30" t="str">
        <f>VLOOKUP(Table13[[#This Row],[kbli5]],Table1[[#All],[kbli5]:[digital_hijau]],3,)</f>
        <v>Homestay; Cottage wisata pantai; Bungalow resort; Cabin wisata alam; Eco lodge; Penginapan wisata keluarga;</v>
      </c>
      <c r="E1037" s="53" t="str">
        <f>VLOOKUP(Table13[[#This Row],[kbli5]],kata_kunci!$B:$H,4,FALSE)</f>
        <v>Akomodasi jangka pendek;Cottage;Bungalow;Cabin;Penginapan wisata;Wisma wisata;</v>
      </c>
      <c r="F1037" s="53" t="str">
        <f>VLOOKUP(Table13[[#This Row],[kbli5]],Table1[[#All],[kbli5]:[digital_hijau]],5,)</f>
        <v>Esensial</v>
      </c>
      <c r="G1037" s="53">
        <f>VLOOKUP(Table13[[#This Row],[kbli5]],Table1[[#All],[kbli5]:[digital_hijau]],6,)</f>
        <v>0</v>
      </c>
      <c r="H1037" s="54" t="str">
        <f>VLOOKUP(Table13[[#This Row],[kbli5]],kata_kunci!$B:$H,3,FALSE)</f>
        <v>usaha penyediaan jasa akomodasi atau penginapan jangka pendek bagi pengunjung; wisatawan; atau pelaku perjalanan selain hotel; yang biasanya berbentuk cottage; bungalow; cabin; atau penginapan wisata sejenis.;</v>
      </c>
      <c r="I1037" s="84" t="str">
        <f>VLOOKUP(Table13[[#This Row],[kbli5]],kata_kunci!$B:$H,5,FALSE)</f>
        <v>Menyediakan akomodasi;Menyewakan penginapan;Mengelola penginapan wisata;Melayani tamu;Mengoperasikan akomodasi wisata;</v>
      </c>
      <c r="J1037" s="84" t="str">
        <f>VLOOKUP(Table13[[#This Row],[kbli5]],kata_kunci!$B:$H,6,FALSE)</f>
        <v>Mengacu ke KBLI;</v>
      </c>
      <c r="K1037" s="84" t="str">
        <f>VLOOKUP(Table13[[#This Row],[kbli5]],kata_kunci!$B:$H,7,FALSE)</f>
        <v>Jasa akomodasi jangka pendek;Jasa penginapan wisata;Penyewaan cottage/villa/bungalow;Jasa inap wisata;</v>
      </c>
    </row>
    <row r="1038" spans="1:11" ht="129" thickBot="1" x14ac:dyDescent="0.3">
      <c r="A1038" s="53" t="s">
        <v>19</v>
      </c>
      <c r="B1038" s="40">
        <v>55202</v>
      </c>
      <c r="C1038" s="41" t="s">
        <v>1289</v>
      </c>
      <c r="D1038" s="30" t="str">
        <f>VLOOKUP(Table13[[#This Row],[kbli5]],Table1[[#All],[kbli5]:[digital_hijau]],3,)</f>
        <v>Hostel Remaja; Bumi perkemahan; Camping ground; Kemping; Karavan; Campervan; Area camping; Wisata alam;</v>
      </c>
      <c r="E1038" s="53" t="str">
        <f>VLOOKUP(Table13[[#This Row],[kbli5]],kata_kunci!$B:$H,4,FALSE)</f>
        <v>Camping ground wisata alam;Area campervan;Bumi perkemahan pramuka;Eco camping park;Tempat wisata camping keluarg;</v>
      </c>
      <c r="F1038" s="53" t="str">
        <f>VLOOKUP(Table13[[#This Row],[kbli5]],Table1[[#All],[kbli5]:[digital_hijau]],5,)</f>
        <v>Potensial</v>
      </c>
      <c r="G1038" s="53">
        <f>VLOOKUP(Table13[[#This Row],[kbli5]],Table1[[#All],[kbli5]:[digital_hijau]],6,)</f>
        <v>0</v>
      </c>
      <c r="H1038" s="54" t="str">
        <f>VLOOKUP(Table13[[#This Row],[kbli5]],kata_kunci!$B:$H,3,FALSE)</f>
        <v>penyediaan akomodasi jangka pendek berupa ;ruangan/kamar yang dapat digunakan untuk bermalam bersama-sama ;(sharing room) atau sendiri dalam rangka kegiatan pariwisata dengan ;tujuan untuk rekreasi; memperluas pengetahuan/pengalaman; dan ;perjalanan;</v>
      </c>
      <c r="I1038" s="84" t="str">
        <f>VLOOKUP(Table13[[#This Row],[kbli5]],kata_kunci!$B:$H,5,FALSE)</f>
        <v>Menyediakan tempat perkemahan;Mengelola camping ground;Menyewakan area camping;Mengoperasikan bumi perkemahan;Melayani wisata berkemah;Menyediakan fasilitas karavan;</v>
      </c>
      <c r="J1038" s="84" t="str">
        <f>VLOOKUP(Table13[[#This Row],[kbli5]],kata_kunci!$B:$H,6,FALSE)</f>
        <v>Mengacu ke KBLI;</v>
      </c>
      <c r="K1038" s="84" t="str">
        <f>VLOOKUP(Table13[[#This Row],[kbli5]],kata_kunci!$B:$H,7,FALSE)</f>
        <v>Jasa bumi perkemahan;Jasa camping ground;Jasa penyediaan tempat karavan;Jasa akomodasi perkemahan;Penyewaan area camping;</v>
      </c>
    </row>
    <row r="1039" spans="1:11" ht="90.75" thickBot="1" x14ac:dyDescent="0.3">
      <c r="A1039" s="53" t="s">
        <v>19</v>
      </c>
      <c r="B1039" s="40">
        <v>55203</v>
      </c>
      <c r="C1039" s="41" t="s">
        <v>1290</v>
      </c>
      <c r="D1039" s="30" t="str">
        <f>VLOOKUP(Table13[[#This Row],[kbli5]],Table1[[#All],[kbli5]:[digital_hijau]],3,)</f>
        <v>Aktivitas Vila; Vila wisata keluarga; Vila pegunungan; Vila pantai; Private villa; Resort villa;</v>
      </c>
      <c r="E1039" s="53" t="str">
        <f>VLOOKUP(Table13[[#This Row],[kbli5]],kata_kunci!$B:$H,4,FALSE)</f>
        <v>Vila;Villa;Rumah liburan;Penginapan wisata;Akomodasi wisata;Vila harian;</v>
      </c>
      <c r="F1039" s="53" t="str">
        <f>VLOOKUP(Table13[[#This Row],[kbli5]],Table1[[#All],[kbli5]:[digital_hijau]],5,)</f>
        <v>Potensial</v>
      </c>
      <c r="G1039" s="53">
        <f>VLOOKUP(Table13[[#This Row],[kbli5]],Table1[[#All],[kbli5]:[digital_hijau]],6,)</f>
        <v>0</v>
      </c>
      <c r="H1039" s="54" t="str">
        <f>VLOOKUP(Table13[[#This Row],[kbli5]],kata_kunci!$B:$H,3,FALSE)</f>
        <v>penyediaan akomodasi jangka pendek bagi ;umum yang merupakan rumah-rumah pribadi yang khusus disewakan ;kepada wisatawan berikut fasilitasnya dan dikelola sendiri oleh ;pemiliknya.;</v>
      </c>
      <c r="I1039" s="84" t="str">
        <f>VLOOKUP(Table13[[#This Row],[kbli5]],kata_kunci!$B:$H,5,FALSE)</f>
        <v>Menyediakan akomodasi;Menyewakan vila;Mengelola vila wisata;Melayani tamu penginapan;Mengoperasikan vila;Menyediakan fasilitas inap;</v>
      </c>
      <c r="J1039" s="84" t="str">
        <f>VLOOKUP(Table13[[#This Row],[kbli5]],kata_kunci!$B:$H,6,FALSE)</f>
        <v>Mengacu ke KBLI;</v>
      </c>
      <c r="K1039" s="84" t="str">
        <f>VLOOKUP(Table13[[#This Row],[kbli5]],kata_kunci!$B:$H,7,FALSE)</f>
        <v>Jasa penyewaan vila;Jasa akomodasi vila;Jasa penginapan wisata;Penyewaan rumah liburan;Jasa inap harian;</v>
      </c>
    </row>
    <row r="1040" spans="1:11" ht="129" thickBot="1" x14ac:dyDescent="0.3">
      <c r="A1040" s="53" t="s">
        <v>19</v>
      </c>
      <c r="B1040" s="40">
        <v>55204</v>
      </c>
      <c r="C1040" s="41" t="s">
        <v>1291</v>
      </c>
      <c r="D1040" s="30" t="str">
        <f>VLOOKUP(Table13[[#This Row],[kbli5]],Table1[[#All],[kbli5]:[digital_hijau]],3,)</f>
        <v>Apartemen hotel; Kampar Lake Villa; Riau Holiday House; Pekanbaru Guest House; Siak Heritage Cottage; Bengkalis Beach Bungalow;</v>
      </c>
      <c r="E1040" s="53" t="str">
        <f>VLOOKUP(Table13[[#This Row],[kbli5]],kata_kunci!$B:$H,4,FALSE)</f>
        <v>Vila harian;Villa rental;Cottage;Bungalow;Guest house;Holiday house;Vacation rental;Apartemen harian;Sewa vila;Sewa penginapan harian;Rumah liburan;Homestay;Short stay accommodation;</v>
      </c>
      <c r="F1040" s="53" t="str">
        <f>VLOOKUP(Table13[[#This Row],[kbli5]],Table1[[#All],[kbli5]:[digital_hijau]],5,)</f>
        <v>Umum Ditemukan</v>
      </c>
      <c r="G1040" s="53">
        <f>VLOOKUP(Table13[[#This Row],[kbli5]],Table1[[#All],[kbli5]:[digital_hijau]],6,)</f>
        <v>0</v>
      </c>
      <c r="H1040" s="54" t="str">
        <f>VLOOKUP(Table13[[#This Row],[kbli5]],kata_kunci!$B:$H,3,FALSE)</f>
        <v>penyediaan akomodasi jangka pendek bagi masyarakat dengan mengelola dan mengoperasikan unit apartemen sebagai hotel untuk hunian sementara. Pembayaran dilakukan sesuai ketentuan yang berlaku; seperti pada apartemen hotel (apartel) atau kondominium hotel (condotel);</v>
      </c>
      <c r="I1040" s="84" t="str">
        <f>VLOOKUP(Table13[[#This Row],[kbli5]],kata_kunci!$B:$H,5,FALSE)</f>
        <v>Menyediakan akomodasi;Mengelola apartemen hotel;Mengoperasikan condotel;Menyewakan unit;Menerima tamu;Melayani tamu;Membersihkan unit;Memasarkan penginapan;Mengelola reservasi;Menyediakan fasilitas menginap;</v>
      </c>
      <c r="J1040" s="84" t="str">
        <f>VLOOKUP(Table13[[#This Row],[kbli5]],kata_kunci!$B:$H,6,FALSE)</f>
        <v>Mengacu ke KBLI;</v>
      </c>
      <c r="K1040" s="84" t="str">
        <f>VLOOKUP(Table13[[#This Row],[kbli5]],kata_kunci!$B:$H,7,FALSE)</f>
        <v>Jasa akomodasi jangka pendek;Jasa penginapan harian;Jasa sewa vila;Jasa sewa apartemen harian;Jasa sewa cottage;Jasa pengelolaan rumah liburan;Jasa penyewaan bungalow;</v>
      </c>
    </row>
    <row r="1041" spans="1:11" ht="78" thickBot="1" x14ac:dyDescent="0.3">
      <c r="A1041" s="53" t="s">
        <v>19</v>
      </c>
      <c r="B1041" s="40">
        <v>55209</v>
      </c>
      <c r="C1041" s="41" t="s">
        <v>1292</v>
      </c>
      <c r="D1041" s="30" t="str">
        <f>VLOOKUP(Table13[[#This Row],[kbli5]],Table1[[#All],[kbli5]:[digital_hijau]],3,)</f>
        <v>Akomodasi jangka pendek lainnya; Bono Riverside Lodge; Siak Heritage Stay; Kampar Tourist House; Riau Visitor Lodge; Wisma Wisata Melayu;</v>
      </c>
      <c r="E1041" s="53" t="str">
        <f>VLOOKUP(Table13[[#This Row],[kbli5]],kata_kunci!$B:$H,4,FALSE)</f>
        <v>penyediaan akomodasi;penginapan jangka pendek;penyewaan penginapan harian;hostel;glamping;cabin;cottage;hotel kapsul;rumah pohon wisata;bed and breakfast;</v>
      </c>
      <c r="F1041" s="53" t="str">
        <f>VLOOKUP(Table13[[#This Row],[kbli5]],Table1[[#All],[kbli5]:[digital_hijau]],5,)</f>
        <v>Umum Ditemukan</v>
      </c>
      <c r="G1041" s="53">
        <f>VLOOKUP(Table13[[#This Row],[kbli5]],Table1[[#All],[kbli5]:[digital_hijau]],6,)</f>
        <v>0</v>
      </c>
      <c r="H1041" s="54" t="str">
        <f>VLOOKUP(Table13[[#This Row],[kbli5]],kata_kunci!$B:$H,3,FALSE)</f>
        <v>klasifikasi usaha untuk penyediaan akomodasi/penginapan jangka pendek selain yang sudah masuk kategori khusus seperti homestay; villa; atau apartemen hotel.;</v>
      </c>
      <c r="I1041" s="84" t="str">
        <f>VLOOKUP(Table13[[#This Row],[kbli5]],kata_kunci!$B:$H,5,FALSE)</f>
        <v>menyediakan;menyewakan;mengelola;mengoperasikan;melayani;menyelenggarakan;menerima tamu;memfasilitasi penginapan;menjalankan usaha akomodasi;menawarkan jasa menginap;</v>
      </c>
      <c r="J1041" s="84" t="str">
        <f>VLOOKUP(Table13[[#This Row],[kbli5]],kata_kunci!$B:$H,6,FALSE)</f>
        <v>Mengacu ke KBLI;</v>
      </c>
      <c r="K1041" s="84" t="str">
        <f>VLOOKUP(Table13[[#This Row],[kbli5]],kata_kunci!$B:$H,7,FALSE)</f>
        <v>jasa sewa kamar harian;jasa menginap wisata;penyewaan cabin/glamping;layanan hostel backpacker;paket staycation;penyewaan tempat tidur kapsul;layanan breakfast tambahan;penyewaan area camping eksklusif;</v>
      </c>
    </row>
    <row r="1042" spans="1:11" ht="65.25" thickBot="1" x14ac:dyDescent="0.3">
      <c r="A1042" s="53" t="s">
        <v>19</v>
      </c>
      <c r="B1042" s="40">
        <v>55300</v>
      </c>
      <c r="C1042" s="41" t="s">
        <v>1293</v>
      </c>
      <c r="D1042" s="30" t="str">
        <f>VLOOKUP(Table13[[#This Row],[kbli5]],Table1[[#All],[kbli5]:[digital_hijau]],3,)</f>
        <v>Bumi Perkemahan; Camping Ground Kampar; Campervan Park; Eco Camp;</v>
      </c>
      <c r="E1042" s="53" t="str">
        <f>VLOOKUP(Table13[[#This Row],[kbli5]],kata_kunci!$B:$H,4,FALSE)</f>
        <v>jasa sewa area camping;jasa penginapan tenda;penyewaan lahan campervan;jasa wisata berkemah;penyewaan shelter wisata;paket camping keluarga;area persinggahan caravan;</v>
      </c>
      <c r="F1042" s="53" t="str">
        <f>VLOOKUP(Table13[[#This Row],[kbli5]],Table1[[#All],[kbli5]:[digital_hijau]],5,)</f>
        <v>Umum Ditemukan</v>
      </c>
      <c r="G1042" s="53">
        <f>VLOOKUP(Table13[[#This Row],[kbli5]],Table1[[#All],[kbli5]:[digital_hijau]],6,)</f>
        <v>0</v>
      </c>
      <c r="H1042" s="54" t="str">
        <f>VLOOKUP(Table13[[#This Row],[kbli5]],kata_kunci!$B:$H,3,FALSE)</f>
        <v>kegiatan usaha penyediaan tempat menginap di alam terbuka seperti camping ground; caravan park; dan area persinggahan wisata.;</v>
      </c>
      <c r="I1042" s="84" t="str">
        <f>VLOOKUP(Table13[[#This Row],[kbli5]],kata_kunci!$B:$H,5,FALSE)</f>
        <v>bumi perkemahan;camping ground;persinggahan karavan;taman karavan;akomodasi alam terbuka;tempat berkemah;caravan park;bivouac;shelter wisata alam;</v>
      </c>
      <c r="J1042" s="84" t="str">
        <f>VLOOKUP(Table13[[#This Row],[kbli5]],kata_kunci!$B:$H,6,FALSE)</f>
        <v>Mengacu ke KBLI;</v>
      </c>
      <c r="K1042" s="84" t="str">
        <f>VLOOKUP(Table13[[#This Row],[kbli5]],kata_kunci!$B:$H,7,FALSE)</f>
        <v>menyediakan;mengelola;mengoperasikan;menyewakan;menyelenggarakan;memfasilitasi;menerima wisatawan;menyediakan area camping;</v>
      </c>
    </row>
    <row r="1043" spans="1:11" ht="30.75" thickBot="1" x14ac:dyDescent="0.3">
      <c r="A1043" s="53" t="s">
        <v>19</v>
      </c>
      <c r="B1043" s="40">
        <v>55400</v>
      </c>
      <c r="C1043" s="41" t="s">
        <v>1294</v>
      </c>
      <c r="D1043" s="30" t="e">
        <f>VLOOKUP(Table13[[#This Row],[kbli5]],Table1[[#All],[kbli5]:[digital_hijau]],3,)</f>
        <v>#N/A</v>
      </c>
      <c r="E1043" s="53" t="str">
        <f>VLOOKUP(Table13[[#This Row],[kbli5]],kata_kunci!$B:$H,4,FALSE)</f>
        <v>hostel;rumah singgah;dormitory;guest house sederhana;penginapan backpacker;akomodasi bersama;shared accommodation;asrama wisata;lodging house;</v>
      </c>
      <c r="F1043" s="53" t="e">
        <f>VLOOKUP(Table13[[#This Row],[kbli5]],Table1[[#All],[kbli5]:[digital_hijau]],5,)</f>
        <v>#N/A</v>
      </c>
      <c r="G1043" s="35" t="s">
        <v>2090</v>
      </c>
      <c r="H1043" s="89" t="str">
        <f>VLOOKUP(Table13[[#This Row],[kbli5]],kata_kunci!$B:$H,3,FALSE)</f>
        <v>mencakup usaha penyediaan akomodasi sederhana dengan sistem bersama/shared accommodation yang biasanya dipakai untuk pelajar; pekerja; backpacker; atau tamu sementara;</v>
      </c>
      <c r="I1043" s="84" t="str">
        <f>VLOOKUP(Table13[[#This Row],[kbli5]],kata_kunci!$B:$H,5,FALSE)</f>
        <v>menyediakan;mengelola;mengoperasikan;menyewakan;menyelenggarakan;menerima tamu;menyediakan tempat tinggal sementara;</v>
      </c>
      <c r="J1043" s="84" t="str">
        <f>VLOOKUP(Table13[[#This Row],[kbli5]],kata_kunci!$B:$H,6,FALSE)</f>
        <v>Mengacu ke KBLI;</v>
      </c>
      <c r="K1043" s="84" t="str">
        <f>VLOOKUP(Table13[[#This Row],[kbli5]],kata_kunci!$B:$H,7,FALSE)</f>
        <v/>
      </c>
    </row>
    <row r="1044" spans="1:11" ht="129" thickBot="1" x14ac:dyDescent="0.3">
      <c r="A1044" s="53" t="s">
        <v>19</v>
      </c>
      <c r="B1044" s="40">
        <v>55901</v>
      </c>
      <c r="C1044" s="41" t="s">
        <v>1295</v>
      </c>
      <c r="D1044" s="30" t="str">
        <f>VLOOKUP(Table13[[#This Row],[kbli5]],Table1[[#All],[kbli5]:[digital_hijau]],3,)</f>
        <v>Jasa manajemen akomodasi; Asrama Mahasiswa Riau; Mess Karyawan Sawit Jaya; Dormitory Pekanbaru; Asrama Atlet Riau; Graha Asrama Nusantara;</v>
      </c>
      <c r="E1044" s="53" t="str">
        <f>VLOOKUP(Table13[[#This Row],[kbli5]],kata_kunci!$B:$H,4,FALSE)</f>
        <v>Asrama;Dormitory;Student dormitory;Asrama mahasiswa;Asrama pelajar;Asrama pekerja;Asrama karyawan;Asrama atlet;Dorm;Mess karyawan;Mess pekerja;Boarding dormitory;</v>
      </c>
      <c r="F1044" s="53" t="str">
        <f>VLOOKUP(Table13[[#This Row],[kbli5]],Table1[[#All],[kbli5]:[digital_hijau]],5,)</f>
        <v>Umum Ditemukan</v>
      </c>
      <c r="G1044" s="53">
        <f>VLOOKUP(Table13[[#This Row],[kbli5]],Table1[[#All],[kbli5]:[digital_hijau]],6,)</f>
        <v>0</v>
      </c>
      <c r="H1044" s="54" t="str">
        <f>VLOOKUP(Table13[[#This Row],[kbli5]],kata_kunci!$B:$H,3,FALSE)</f>
        <v>kegiatan usaha berupa pengelolaan operasional akomodasi milik pihak lain seperti hotel; villa; resort; homestay; glamping; atau apartemen harian. Perusahaan bertindak sebagai operator/manajemen dan menerima imbalan berupa management fee;</v>
      </c>
      <c r="I1044" s="84" t="str">
        <f>VLOOKUP(Table13[[#This Row],[kbli5]],kata_kunci!$B:$H,5,FALSE)</f>
        <v>jasa manajemen akomodasi;pengelolaan hotel;operator hotel;manajemen villa;pengelolaan resort;operator penginapan;hospitality management;management fee;pengelolaan operasional penginapan;</v>
      </c>
      <c r="J1044" s="84" t="str">
        <f>VLOOKUP(Table13[[#This Row],[kbli5]],kata_kunci!$B:$H,6,FALSE)</f>
        <v>Mengacu ke KBLI;</v>
      </c>
      <c r="K1044" s="84" t="str">
        <f>VLOOKUP(Table13[[#This Row],[kbli5]],kata_kunci!$B:$H,7,FALSE)</f>
        <v>Jasa akomodasi asrama;Jasa penginapan asrama;Jasa penyediaan tempat tinggal sementara;Jasa pengelolaan dormitori;Jasa akomodasi mahasiswa;Jasa akomodasi pekerja;</v>
      </c>
    </row>
    <row r="1045" spans="1:11" ht="65.25" thickBot="1" x14ac:dyDescent="0.3">
      <c r="A1045" s="53" t="s">
        <v>19</v>
      </c>
      <c r="B1045" s="40">
        <v>55909</v>
      </c>
      <c r="C1045" s="41" t="s">
        <v>1296</v>
      </c>
      <c r="D1045" s="30" t="str">
        <f>VLOOKUP(Table13[[#This Row],[kbli5]],Table1[[#All],[kbli5]:[digital_hijau]],3,)</f>
        <v>Akomodasi lainnya; Kos Putra Riau; Kos Putri Pekanbaru; Graha Karyawan Sawit; Riau Co-Living Residence; Mess Pekerja Nusantara;</v>
      </c>
      <c r="E1045" s="53" t="str">
        <f>VLOOKUP(Table13[[#This Row],[kbli5]],kata_kunci!$B:$H,4,FALSE)</f>
        <v>Rumah kos;Kost;Boarding house;Co-living;Hunian bersama;Asrama pekerja;Mess karyawan;Worker dormitory;Student accommodation;Dormitory;Akomodasi pekerja;Akomodasi mahasiswa;Rumah sewa kamar;</v>
      </c>
      <c r="F1045" s="53" t="str">
        <f>VLOOKUP(Table13[[#This Row],[kbli5]],Table1[[#All],[kbli5]:[digital_hijau]],5,)</f>
        <v>Umum Ditemukan</v>
      </c>
      <c r="G1045" s="53">
        <f>VLOOKUP(Table13[[#This Row],[kbli5]],Table1[[#All],[kbli5]:[digital_hijau]],6,)</f>
        <v>0</v>
      </c>
      <c r="H1045" s="54" t="str">
        <f>VLOOKUP(Table13[[#This Row],[kbli5]],kata_kunci!$B:$H,3,FALSE)</f>
        <v>kegiatan usaha penyediaan akomodasi sementara yang belum tercakup di KBLI akomodasi lainnya. Biasanya digunakan untuk:;</v>
      </c>
      <c r="I1045" s="84" t="str">
        <f>VLOOKUP(Table13[[#This Row],[kbli5]],kata_kunci!$B:$H,5,FALSE)</f>
        <v>penyediaan akomodasi lainnya;rumah kos;coliving;communal living;asrama pekerja;asrama pelajar;dormitory;penginapan sementara;akomodasi pekerja musiman;</v>
      </c>
      <c r="J1045" s="84" t="str">
        <f>VLOOKUP(Table13[[#This Row],[kbli5]],kata_kunci!$B:$H,6,FALSE)</f>
        <v>Mengacu ke KBLI;</v>
      </c>
      <c r="K1045" s="84" t="str">
        <f>VLOOKUP(Table13[[#This Row],[kbli5]],kata_kunci!$B:$H,7,FALSE)</f>
        <v>Jasa penyewaan kamar kos;Jasa akomodasi asrama pekerja;Jasa pengelolaan mess karyawan;Jasa penyediaan coliving;Jasa akomodasi mahasiswa;Jasa penyediaan tempat tinggal sementara;</v>
      </c>
    </row>
    <row r="1046" spans="1:11" ht="103.5" thickBot="1" x14ac:dyDescent="0.3">
      <c r="A1046" s="53" t="s">
        <v>19</v>
      </c>
      <c r="B1046" s="40">
        <v>56101</v>
      </c>
      <c r="C1046" s="41" t="s">
        <v>1297</v>
      </c>
      <c r="D1046" s="30" t="str">
        <f>VLOOKUP(Table13[[#This Row],[kbli5]],Table1[[#All],[kbli5]:[digital_hijau]],3,)</f>
        <v>Penyediaan Makanan di bangunan tetap; Restoran Melayu Riau; Rumah Makan Selera Kampar; KFC; Gerai es krim; Kalgaris; Scoop me; Pizza hut delivery; Wareh Kupi; Kimteng; Candu Kuphie; Sanama; Restoran hotel (jika merupakan unit terpisah); JCO; Roti O; Baskin Robins;</v>
      </c>
      <c r="E1046" s="53" t="str">
        <f>VLOOKUP(Table13[[#This Row],[kbli5]],kata_kunci!$B:$H,4,FALSE)</f>
        <v>Restoran;Rumah makan;Restaurant;Family restaurant;Restoran seafood;Restoran Padang;Restoran Sunda;Restoran cepat saji;Restoran Chinese food;Restoran Jepang;Restoran Korea;Dine in;Casual dining;Fine dining;</v>
      </c>
      <c r="F1046" s="53" t="str">
        <f>VLOOKUP(Table13[[#This Row],[kbli5]],Table1[[#All],[kbli5]:[digital_hijau]],5,)</f>
        <v>Umum Ditemukan</v>
      </c>
      <c r="G1046" s="53">
        <f>VLOOKUP(Table13[[#This Row],[kbli5]],Table1[[#All],[kbli5]:[digital_hijau]],6,)</f>
        <v>0</v>
      </c>
      <c r="H1046" s="54" t="str">
        <f>VLOOKUP(Table13[[#This Row],[kbli5]],kata_kunci!$B:$H,3,FALSE)</f>
        <v>kegiatan usaha penyediaan makanan dan minuman yang dilakukan di bangunan permanen/tetap seperti restoran; rumah makan; cafe; kantin; dan restoran cepat saji. Konsumen bisa makan di tempat; takeaway; atau delivery.;</v>
      </c>
      <c r="I1046" s="84" t="str">
        <f>VLOOKUP(Table13[[#This Row],[kbli5]],kata_kunci!$B:$H,5,FALSE)</f>
        <v>menyediakan;mengelola;mengoperasikan;menyelenggarakan;memasak;menyajikan;menjual makanan dan minuman;melayani konsumen;menyediakan layanan restoran;</v>
      </c>
      <c r="J1046" s="84" t="str">
        <f>VLOOKUP(Table13[[#This Row],[kbli5]],kata_kunci!$B:$H,6,FALSE)</f>
        <v>Mengacu ke KBLI;</v>
      </c>
      <c r="K1046" s="84" t="str">
        <f>VLOOKUP(Table13[[#This Row],[kbli5]],kata_kunci!$B:$H,7,FALSE)</f>
        <v>restoran;rumah makan;cafe;kantin;kafetaria;restoran cepat saji;take away;dine in;food service;penyediaan makanan;</v>
      </c>
    </row>
    <row r="1047" spans="1:11" ht="103.5" thickBot="1" x14ac:dyDescent="0.3">
      <c r="A1047" s="53" t="s">
        <v>19</v>
      </c>
      <c r="B1047" s="40">
        <v>56102</v>
      </c>
      <c r="C1047" s="41" t="s">
        <v>1298</v>
      </c>
      <c r="D1047" s="30" t="str">
        <f>VLOOKUP(Table13[[#This Row],[kbli5]],Table1[[#All],[kbli5]:[digital_hijau]],3,)</f>
        <v>Penyediaan Makanan di bangunan tidak tetap; Food truck; angkringan; siomay gerobak; bakso gerobak;</v>
      </c>
      <c r="E1047" s="53" t="str">
        <f>VLOOKUP(Table13[[#This Row],[kbli5]],kata_kunci!$B:$H,4,FALSE)</f>
        <v>warung tenda;food truck;street food;gerobak makanan;stan makanan;makanan keliling;booth makanan;pop-up food stall;usaha makanan tidak permanen;</v>
      </c>
      <c r="F1047" s="53" t="str">
        <f>VLOOKUP(Table13[[#This Row],[kbli5]],Table1[[#All],[kbli5]:[digital_hijau]],5,)</f>
        <v>Umum Ditemukan</v>
      </c>
      <c r="G1047" s="53">
        <f>VLOOKUP(Table13[[#This Row],[kbli5]],Table1[[#All],[kbli5]:[digital_hijau]],6,)</f>
        <v>0</v>
      </c>
      <c r="H1047" s="54" t="str">
        <f>VLOOKUP(Table13[[#This Row],[kbli5]],kata_kunci!$B:$H,3,FALSE)</f>
        <v>mencakup usaha penyediaan makanan dan minuman yang dilakukan di bangunan tidak permanen atau dapat dipindah-pindahkan; termasuk usaha makanan keliling seperti warung tenda; food truck; gerobak makanan; dan stan makanan;</v>
      </c>
      <c r="I1047" s="84" t="str">
        <f>VLOOKUP(Table13[[#This Row],[kbli5]],kata_kunci!$B:$H,5,FALSE)</f>
        <v>menyediakan;mengelola;mengoperasikan;menyelenggarakan;menjual makanan;menyajikan makanan;melayani konsumen;berjualan makanan keliling;menyediakan layanan makanan siap saji;</v>
      </c>
      <c r="J1047" s="84" t="str">
        <f>VLOOKUP(Table13[[#This Row],[kbli5]],kata_kunci!$B:$H,6,FALSE)</f>
        <v>Mengacu ke KBLI;</v>
      </c>
      <c r="K1047" s="84" t="str">
        <f>VLOOKUP(Table13[[#This Row],[kbli5]],kata_kunci!$B:$H,7,FALSE)</f>
        <v>makanan siap saji;minuman siap konsumsi;layanan makanan keliling;makanan street food;layanan food truck;makanan bazar/event;makanan takeaway;</v>
      </c>
    </row>
    <row r="1048" spans="1:11" ht="90.75" thickBot="1" x14ac:dyDescent="0.3">
      <c r="A1048" s="53" t="s">
        <v>19</v>
      </c>
      <c r="B1048" s="40">
        <v>56210</v>
      </c>
      <c r="C1048" s="41" t="s">
        <v>1299</v>
      </c>
      <c r="D1048" s="30" t="str">
        <f>VLOOKUP(Table13[[#This Row],[kbli5]],Table1[[#All],[kbli5]:[digital_hijau]],3,)</f>
        <v>Jasa boga acara tertentu; Katering Selera Melayu; Riau Catering Service; Dapur Bunda Catering; Pekanbaru Jasa Boga; Berkah Catering;</v>
      </c>
      <c r="E1048" s="53" t="str">
        <f>VLOOKUP(Table13[[#This Row],[kbli5]],kata_kunci!$B:$H,4,FALSE)</f>
        <v>Catering;Katering;Jasa boga;Nasi kotak;Prasmanan;Buffet;Wedding catering;Event catering;Catering kantor;Catering seminar;Catering pesta;Catering hajatan;Paket konsumsi;Penyedia konsumsi acara;</v>
      </c>
      <c r="F1048" s="53" t="str">
        <f>VLOOKUP(Table13[[#This Row],[kbli5]],Table1[[#All],[kbli5]:[digital_hijau]],5,)</f>
        <v>Umum Ditemukan</v>
      </c>
      <c r="G1048" s="53">
        <f>VLOOKUP(Table13[[#This Row],[kbli5]],Table1[[#All],[kbli5]:[digital_hijau]],6,)</f>
        <v>0</v>
      </c>
      <c r="H1048" s="54" t="str">
        <f>VLOOKUP(Table13[[#This Row],[kbli5]],kata_kunci!$B:$H,3,FALSE)</f>
        <v>kegiatan usaha jasa penyediaan makanan dan minuman untuk acara tertentu (event) berdasarkan pesanan/kontrak; di mana makanan biasanya dikirim ke lokasi acara dan sering disertai pelayanan (pramusaji).;</v>
      </c>
      <c r="I1048" s="84" t="str">
        <f>VLOOKUP(Table13[[#This Row],[kbli5]],kata_kunci!$B:$H,5,FALSE)</f>
        <v>menyediakan;mengelola;mengoperasikan;menyajikan;menyiapkan;mendistribusikan;melayani;mengirimkan makanan;melaksanakan jasa catering;</v>
      </c>
      <c r="J1048" s="84" t="str">
        <f>VLOOKUP(Table13[[#This Row],[kbli5]],kata_kunci!$B:$H,6,FALSE)</f>
        <v>Mengacu ke KBLI;</v>
      </c>
      <c r="K1048" s="84" t="str">
        <f>VLOOKUP(Table13[[#This Row],[kbli5]],kata_kunci!$B:$H,7,FALSE)</f>
        <v>makanan siap saji untuk event;paket catering (prasmanan / box);minuman event;layanan penyajian makanan;layanan pramusaji (waiter event);logistik makanan ke lokasi acara;</v>
      </c>
    </row>
    <row r="1049" spans="1:11" ht="90.75" thickBot="1" x14ac:dyDescent="0.3">
      <c r="A1049" s="53" t="s">
        <v>19</v>
      </c>
      <c r="B1049" s="40">
        <v>56290</v>
      </c>
      <c r="C1049" s="41" t="s">
        <v>1300</v>
      </c>
      <c r="D1049" s="30" t="str">
        <f>VLOOKUP(Table13[[#This Row],[kbli5]],Table1[[#All],[kbli5]:[digital_hijau]],3,)</f>
        <v>Jasa boga lainnya; SPPG; katering ke rumah tangga; kantin/kafetaria rumah sakit, pabrik, sekolah, kantor;</v>
      </c>
      <c r="E1049" s="53" t="str">
        <f>VLOOKUP(Table13[[#This Row],[kbli5]],kata_kunci!$B:$H,4,FALSE)</f>
        <v>Kantin perusahaan;Kantin sekolah;Kantin rumah sakit;Industrial catering;Institutional catering;Food service;Catering karyawan;Catering pabrik;Catering pekerja;Mess catering;Penyedia konsumsi rutin;Pengelolaan kantin;Catering kontrak;Jasa makanan institusi;</v>
      </c>
      <c r="F1049" s="53" t="str">
        <f>VLOOKUP(Table13[[#This Row],[kbli5]],Table1[[#All],[kbli5]:[digital_hijau]],5,)</f>
        <v>Umum Ditemukan</v>
      </c>
      <c r="G1049" s="53">
        <f>VLOOKUP(Table13[[#This Row],[kbli5]],Table1[[#All],[kbli5]:[digital_hijau]],6,)</f>
        <v>0</v>
      </c>
      <c r="H1049" s="54" t="str">
        <f>VLOOKUP(Table13[[#This Row],[kbli5]],kata_kunci!$B:$H,3,FALSE)</f>
        <v>kegiatan usaha jasa katering berbasis kontrak atau perjanjian tertentu; biasanya untuk periode waktu tertentu atau lokasi tertentu seperti pabrik; kantor; proyek; rumah sakit; transportasi; dan fasilitas umum.;</v>
      </c>
      <c r="I1049" s="84" t="str">
        <f>VLOOKUP(Table13[[#This Row],[kbli5]],kata_kunci!$B:$H,5,FALSE)</f>
        <v>menyediakan;mengelola;mengoperasikan;menyelenggarakan;memasak;mendistribusikan;melayani;mengantarkan makanan;menjalankan jasa catering kontrak;</v>
      </c>
      <c r="J1049" s="84" t="str">
        <f>VLOOKUP(Table13[[#This Row],[kbli5]],kata_kunci!$B:$H,6,FALSE)</f>
        <v>Mengacu ke KBLI;</v>
      </c>
      <c r="K1049" s="84" t="str">
        <f>VLOOKUP(Table13[[#This Row],[kbli5]],kata_kunci!$B:$H,7,FALSE)</f>
        <v>;Jasa penyediaan makanan berdasarkan kontrak;Jasa pengelolaan kantin;Jasa katering industri;Jasa katering institusi;Makanan siap santap untuk karyawan;Makanan siap santap untuk siswa;Makanan siap santap untuk pasien;Jasa food service management;</v>
      </c>
    </row>
    <row r="1050" spans="1:11" ht="78" thickBot="1" x14ac:dyDescent="0.3">
      <c r="A1050" s="53" t="s">
        <v>19</v>
      </c>
      <c r="B1050" s="40">
        <v>56301</v>
      </c>
      <c r="C1050" s="41" t="s">
        <v>1301</v>
      </c>
      <c r="D1050" s="30" t="str">
        <f>VLOOKUP(Table13[[#This Row],[kbli5]],Table1[[#All],[kbli5]:[digital_hijau]],3,)</f>
        <v xml:space="preserve">Aktivitas bar (minuman alkohol atau non alkohol); </v>
      </c>
      <c r="E1050" s="53" t="str">
        <f>VLOOKUP(Table13[[#This Row],[kbli5]],kata_kunci!$B:$H,4,FALSE)</f>
        <v>Coffee shop;Kedai kopi;Cafe minuman;Kedai teh;Tea shop;Bubble tea;Boba;Milk tea;Juice bar;Jus buah;Minuman kekinian;Kopi susu;Espresso bar;Kedai minuman;Beverage shop;</v>
      </c>
      <c r="F1050" s="53" t="str">
        <f>VLOOKUP(Table13[[#This Row],[kbli5]],Table1[[#All],[kbli5]:[digital_hijau]],5,)</f>
        <v>Umum Ditemukan</v>
      </c>
      <c r="G1050" s="53">
        <f>VLOOKUP(Table13[[#This Row],[kbli5]],Table1[[#All],[kbli5]:[digital_hijau]],6,)</f>
        <v>0</v>
      </c>
      <c r="H1050" s="54" t="str">
        <f>VLOOKUP(Table13[[#This Row],[kbli5]],kata_kunci!$B:$H,3,FALSE)</f>
        <v>kegiatan usaha bar; yaitu usaha penyediaan minuman (alkohol maupun non-alkohol) dan biasanya juga makanan ringan yang disajikan untuk konsumsi langsung di tempat.;</v>
      </c>
      <c r="I1050" s="84" t="str">
        <f>VLOOKUP(Table13[[#This Row],[kbli5]],kata_kunci!$B:$H,5,FALSE)</f>
        <v>menyediakan;mengelola;mengoperasikan;menyajikan;menjual minuman;melayani pelanggan;menghidangkan minuman;menjalankan usaha bar;</v>
      </c>
      <c r="J1050" s="84" t="str">
        <f>VLOOKUP(Table13[[#This Row],[kbli5]],kata_kunci!$B:$H,6,FALSE)</f>
        <v>Mengacu ke KBLI;</v>
      </c>
      <c r="K1050" s="84" t="str">
        <f>VLOOKUP(Table13[[#This Row],[kbli5]],kata_kunci!$B:$H,7,FALSE)</f>
        <v>minuman siap saji (cocktail; juice; beer);layanan konsumsi di tempat (dinein beverage service);snack ringan pendamping minuman;pengalaman hiburan malam (entertainment service);pelayanan bartender;</v>
      </c>
    </row>
    <row r="1051" spans="1:11" ht="78" thickBot="1" x14ac:dyDescent="0.3">
      <c r="A1051" s="53" t="s">
        <v>19</v>
      </c>
      <c r="B1051" s="40">
        <v>56302</v>
      </c>
      <c r="C1051" s="41" t="s">
        <v>1302</v>
      </c>
      <c r="D1051" s="30" t="str">
        <f>VLOOKUP(Table13[[#This Row],[kbli5]],Table1[[#All],[kbli5]:[digital_hijau]],3,)</f>
        <v>Aktivitas klab malam;diskotik;</v>
      </c>
      <c r="E1051" s="53" t="str">
        <f>VLOOKUP(Table13[[#This Row],[kbli5]],kata_kunci!$B:$H,4,FALSE)</f>
        <v>kelab malam (nightclub);diskotek;club / nightclub;tempat hiburan malam;dance club;lounge hiburan malam;live music club;entertainment bar (berbasis hiburan);penyediaan minuman utama + hiburan;</v>
      </c>
      <c r="F1051" s="53" t="str">
        <f>VLOOKUP(Table13[[#This Row],[kbli5]],Table1[[#All],[kbli5]:[digital_hijau]],5,)</f>
        <v>Umum Ditemukan</v>
      </c>
      <c r="G1051" s="53">
        <f>VLOOKUP(Table13[[#This Row],[kbli5]],Table1[[#All],[kbli5]:[digital_hijau]],6,)</f>
        <v>0</v>
      </c>
      <c r="H1051" s="54" t="str">
        <f>VLOOKUP(Table13[[#This Row],[kbli5]],kata_kunci!$B:$H,3,FALSE)</f>
        <v>kegiatan usaha kelab malam (nightclub) atau diskotek; yaitu tempat hiburan malam yang fokus utama pada penyediaan minuman; disertai fasilitas musik; tarian; dan hiburan tambahan.;</v>
      </c>
      <c r="I1051" s="84" t="str">
        <f>VLOOKUP(Table13[[#This Row],[kbli5]],kata_kunci!$B:$H,5,FALSE)</f>
        <v>menyediakan;mengelola;mengoperasikan;menyelenggarakan;menyajikan minuman;menyediakan hiburan malam;menjalankan usaha klub malam;mengadakan pertunjukan musik dan DJ;melayani konsumsi minuman di tempat;</v>
      </c>
      <c r="J1051" s="84" t="str">
        <f>VLOOKUP(Table13[[#This Row],[kbli5]],kata_kunci!$B:$H,6,FALSE)</f>
        <v>Mengacu ke KBLI;</v>
      </c>
      <c r="K1051" s="84" t="str">
        <f>VLOOKUP(Table13[[#This Row],[kbli5]],kata_kunci!$B:$H,7,FALSE)</f>
        <v>layanan hiburan malam;penjualan minuman (utama);akses tempat hiburan (entry/cover charge);pertunjukan DJ / musik live;layanan VIP / table service;pengalaman entertainment malam;</v>
      </c>
    </row>
    <row r="1052" spans="1:11" ht="90.75" thickBot="1" x14ac:dyDescent="0.3">
      <c r="A1052" s="53" t="s">
        <v>19</v>
      </c>
      <c r="B1052" s="40">
        <v>56303</v>
      </c>
      <c r="C1052" s="41" t="s">
        <v>1303</v>
      </c>
      <c r="D1052" s="30" t="str">
        <f>VLOOKUP(Table13[[#This Row],[kbli5]],Table1[[#All],[kbli5]:[digital_hijau]],3,)</f>
        <v xml:space="preserve">Aktivitas rumah minum/kafe; oziq smoothies; chatime; warung jus; Kopi kenangan; tomoro; fore; Coffee shop modern yang makanannya sedikit/hanya snack; starbucks; jual jus di depan rumah; oziq smoothies; jual pop ice di depan rumah sendiri; </v>
      </c>
      <c r="E1052" s="53" t="str">
        <f>VLOOKUP(Table13[[#This Row],[kbli5]],kata_kunci!$B:$H,4,FALSE)</f>
        <v>rumah minum;kafe / cafe;coffee shop;beverage shop;tempat minum;kedai kopi modern;tea house / kedai teh;beverage bar (non-nightlife);tempat konsumsi minuman;</v>
      </c>
      <c r="F1052" s="53" t="str">
        <f>VLOOKUP(Table13[[#This Row],[kbli5]],Table1[[#All],[kbli5]:[digital_hijau]],5,)</f>
        <v>Umum Ditemukan</v>
      </c>
      <c r="G1052" s="53">
        <f>VLOOKUP(Table13[[#This Row],[kbli5]],Table1[[#All],[kbli5]:[digital_hijau]],6,)</f>
        <v>0</v>
      </c>
      <c r="H1052" s="54" t="str">
        <f>VLOOKUP(Table13[[#This Row],[kbli5]],kata_kunci!$B:$H,3,FALSE)</f>
        <v>kegiatan usaha rumah minum atau kafe; yaitu usaha yang menyediakan minuman (dan biasanya makanan ringan) untuk dikonsumsi langsung di tempat; di bangunan permanen seperti cafe; coffee shop; dan sejenisnya.;</v>
      </c>
      <c r="I1052" s="84" t="str">
        <f>VLOOKUP(Table13[[#This Row],[kbli5]],kata_kunci!$B:$H,5,FALSE)</f>
        <v>menyediakan;mengelola;mengoperasikan;menyajikan;meracik minuman;melayani pelanggan;menjual minuman;menjalankan usaha kafe / coffee shop;</v>
      </c>
      <c r="J1052" s="84" t="str">
        <f>VLOOKUP(Table13[[#This Row],[kbli5]],kata_kunci!$B:$H,6,FALSE)</f>
        <v>Mengacu ke KBLI;</v>
      </c>
      <c r="K1052" s="84" t="str">
        <f>VLOOKUP(Table13[[#This Row],[kbli5]],kata_kunci!$B:$H,7,FALSE)</f>
        <v>minuman siap konsumsi (coffee; tea; juice);makanan ringan (pastry; snack);layanan dinein café;takeaway minuman;layanan barista / beverage service;</v>
      </c>
    </row>
    <row r="1053" spans="1:11" ht="90.75" thickBot="1" x14ac:dyDescent="0.3">
      <c r="A1053" s="53" t="s">
        <v>19</v>
      </c>
      <c r="B1053" s="40">
        <v>56304</v>
      </c>
      <c r="C1053" s="41" t="s">
        <v>1304</v>
      </c>
      <c r="D1053" s="30" t="str">
        <f>VLOOKUP(Table13[[#This Row],[kbli5]],Table1[[#All],[kbli5]:[digital_hijau]],3,)</f>
        <v>Aktivitas kedai minuman; stand jus; stand pop ice; Boba di pinggir jalan; Booth kopi; kios minuman;</v>
      </c>
      <c r="E1053" s="53" t="str">
        <f>VLOOKUP(Table13[[#This Row],[kbli5]],kata_kunci!$B:$H,4,FALSE)</f>
        <v>kedai minuman;beverage stand;kios minuman;warung minuman;booth minuman;gerai minuman sederhana;minuman siap saji;coffee stand;juice stand;usaha minuman skala kecil;stand bisa dibongkar pasang atau dibawa pulang;</v>
      </c>
      <c r="F1053" s="53" t="str">
        <f>VLOOKUP(Table13[[#This Row],[kbli5]],Table1[[#All],[kbli5]:[digital_hijau]],5,)</f>
        <v>Umum Ditemukan</v>
      </c>
      <c r="G1053" s="53">
        <f>VLOOKUP(Table13[[#This Row],[kbli5]],Table1[[#All],[kbli5]:[digital_hijau]],6,)</f>
        <v>0</v>
      </c>
      <c r="H1053" s="54" t="str">
        <f>VLOOKUP(Table13[[#This Row],[kbli5]],kata_kunci!$B:$H,3,FALSE)</f>
        <v>kegiatan usaha kedai minuman / beverage stand; yaitu usaha yang menyediakan minuman siap konsumsi yang dibuat di tempat; biasanya dalam bentuk usaha kecil; booth; tenda; atau gerai sederhana (semi-mobile);</v>
      </c>
      <c r="I1053" s="84" t="str">
        <f>VLOOKUP(Table13[[#This Row],[kbli5]],kata_kunci!$B:$H,5,FALSE)</f>
        <v>menyediakan;menjual;mengelola;mengoperasikan;meracik minuman;menyajikan minuman;melayani pelanggan;menjalankan usaha kedai minuman;</v>
      </c>
      <c r="J1053" s="84" t="str">
        <f>VLOOKUP(Table13[[#This Row],[kbli5]],kata_kunci!$B:$H,6,FALSE)</f>
        <v>Mengacu ke KBLI;</v>
      </c>
      <c r="K1053" s="84" t="str">
        <f>VLOOKUP(Table13[[#This Row],[kbli5]],kata_kunci!$B:$H,7,FALSE)</f>
        <v>Minuman siap konsumsi;Teh siap minum;Jus buah segar;Bubble tea (boba);Smoothies;Minuman cokelat;Minuman sari buah;Minuman kesehatan;Minuman nonalkohol siap saji;</v>
      </c>
    </row>
    <row r="1054" spans="1:11" ht="78" thickBot="1" x14ac:dyDescent="0.3">
      <c r="A1054" s="53" t="s">
        <v>19</v>
      </c>
      <c r="B1054" s="40">
        <v>56305</v>
      </c>
      <c r="C1054" s="41" t="s">
        <v>1305</v>
      </c>
      <c r="D1054" s="30" t="str">
        <f>VLOOKUP(Table13[[#This Row],[kbli5]],Table1[[#All],[kbli5]:[digital_hijau]],3,)</f>
        <v>Kedai obat bahan alam; Kedai Jamu Sehat Pekanbaru; Rumah Jamu Melayu Riau; Depot Jamu Tradisional Dumai; Kedai Herbal Kampar; Jamu Rempah Nusantara; Kedai Kunyit Asam Pekanbaru;</v>
      </c>
      <c r="E1054" s="53" t="str">
        <f>VLOOKUP(Table13[[#This Row],[kbli5]],kata_kunci!$B:$H,4,FALSE)</f>
        <v>Kedai jamu;Rumah jamu;Depot jamu;Jamu tradisional;Jamu herbal;Minuman herbal;Obat bahan alam;Kunyit asam;Beras kencur;Wedang jahe;Wedang rempah;Herbal drink;Traditional herbal beverage;</v>
      </c>
      <c r="F1054" s="53" t="str">
        <f>VLOOKUP(Table13[[#This Row],[kbli5]],Table1[[#All],[kbli5]:[digital_hijau]],5,)</f>
        <v>Umum Ditemukan</v>
      </c>
      <c r="G1054" s="53">
        <f>VLOOKUP(Table13[[#This Row],[kbli5]],Table1[[#All],[kbli5]:[digital_hijau]],6,)</f>
        <v>0</v>
      </c>
      <c r="H1054" s="54" t="str">
        <f>VLOOKUP(Table13[[#This Row],[kbli5]],kata_kunci!$B:$H,3,FALSE)</f>
        <v>usaha penyediaan dan penjualan minuman jamu / obat bahan alam yang disajikan langsung untuk konsumsi di tempat usaha seperti kedai jamu tradisional maupun modern.;</v>
      </c>
      <c r="I1054" s="84" t="str">
        <f>VLOOKUP(Table13[[#This Row],[kbli5]],kata_kunci!$B:$H,5,FALSE)</f>
        <v>menyediakan;mengelola;mengoperasikan;meracik;menyajikan;menjual;melayani;mengolah bahan herbal;menjalankan usaha kedai jamu;</v>
      </c>
      <c r="J1054" s="84" t="str">
        <f>VLOOKUP(Table13[[#This Row],[kbli5]],kata_kunci!$B:$H,6,FALSE)</f>
        <v>Mengacu ke KBLI;</v>
      </c>
      <c r="K1054" s="84" t="str">
        <f>VLOOKUP(Table13[[#This Row],[kbli5]],kata_kunci!$B:$H,7,FALSE)</f>
        <v>Minuman jamu siap konsumsi;Minuman herbal siap minum;Jamu tradisional;Minuman obat bahan alam;Minuman rempah;Jasa penyediaan minuman herbal;</v>
      </c>
    </row>
    <row r="1055" spans="1:11" ht="65.25" thickBot="1" x14ac:dyDescent="0.3">
      <c r="A1055" s="53" t="s">
        <v>19</v>
      </c>
      <c r="B1055" s="40">
        <v>56306</v>
      </c>
      <c r="C1055" s="41" t="s">
        <v>1306</v>
      </c>
      <c r="D1055" s="30" t="str">
        <f>VLOOKUP(Table13[[#This Row],[kbli5]],Table1[[#All],[kbli5]:[digital_hijau]],3,)</f>
        <v xml:space="preserve">Penyediaan minuman keliling/tempat tidak tetap; Kopi sepeda; Kopi saka; Kopi kito; </v>
      </c>
      <c r="E1055" s="53" t="str">
        <f>VLOOKUP(Table13[[#This Row],[kbli5]],kata_kunci!$B:$H,4,FALSE)</f>
        <v>Minuman keliling;Gerobak minuman;Booth minuman;Stand minuman;Food truck minuman;Es teh keliling;Es jeruk;Kopi keliling;Minuman bazar;Minuman festival;Kios minuman sementara;Mobile beverage;Portable beverage stall;stand dibawa keliling;</v>
      </c>
      <c r="F1055" s="53" t="str">
        <f>VLOOKUP(Table13[[#This Row],[kbli5]],Table1[[#All],[kbli5]:[digital_hijau]],5,)</f>
        <v>Umum Ditemukan</v>
      </c>
      <c r="G1055" s="53">
        <f>VLOOKUP(Table13[[#This Row],[kbli5]],Table1[[#All],[kbli5]:[digital_hijau]],6,)</f>
        <v>0</v>
      </c>
      <c r="H1055" s="54" t="str">
        <f>VLOOKUP(Table13[[#This Row],[kbli5]],kata_kunci!$B:$H,3,FALSE)</f>
        <v>kegiatan usaha penyediaan minuman siap konsumsi yang dijual secara keliling atau di tempat tidak tetap (mobile/non-permanent).;</v>
      </c>
      <c r="I1055" s="84" t="str">
        <f>VLOOKUP(Table13[[#This Row],[kbli5]],kata_kunci!$B:$H,5,FALSE)</f>
        <v>menyediakan;menjual;mengelola;mengoperasikan;meracik;mengedarkan;berjualan keliling;menyajikan minuman;menjalankan usaha minuman mobile;</v>
      </c>
      <c r="J1055" s="84" t="str">
        <f>VLOOKUP(Table13[[#This Row],[kbli5]],kata_kunci!$B:$H,6,FALSE)</f>
        <v>Mengacu ke KBLI;</v>
      </c>
      <c r="K1055" s="84" t="str">
        <f>VLOOKUP(Table13[[#This Row],[kbli5]],kata_kunci!$B:$H,7,FALSE)</f>
        <v>minuman siap konsumsi;minuman tradisional / herbal;layanan penjualan keliling;minuman event sementara;produk minuman UMKM;</v>
      </c>
    </row>
    <row r="1056" spans="1:11" ht="45.75" thickBot="1" x14ac:dyDescent="0.3">
      <c r="A1056" s="53" t="s">
        <v>19</v>
      </c>
      <c r="B1056" s="40">
        <v>56400</v>
      </c>
      <c r="C1056" s="41" t="s">
        <v>1307</v>
      </c>
      <c r="D1056" s="30" t="str">
        <f>VLOOKUP(Table13[[#This Row],[kbli5]],Table1[[#All],[kbli5]:[digital_hijau]],3,)</f>
        <v>Jasa intermediasi penyediaan makanan &amp; minuman; Platform pemesanan makanan &amp; minuman;</v>
      </c>
      <c r="E1056" s="53" t="str">
        <f>VLOOKUP(Table13[[#This Row],[kbli5]],kata_kunci!$B:$H,4,FALSE)</f>
        <v>Platform reservasi restoran di Pekanbaru;Agen pemesanan katering untuk acara pemerintahan;Marketplace penyedia katering perusahaan;Jasa booking restoran untuk kegiatan wisata;Platform pemesanan tempat makan untuk rombongan wisata;</v>
      </c>
      <c r="F1056" s="53" t="str">
        <f>VLOOKUP(Table13[[#This Row],[kbli5]],Table1[[#All],[kbli5]:[digital_hijau]],5,)</f>
        <v>Umum Ditemukan</v>
      </c>
      <c r="G1056" s="35" t="s">
        <v>2090</v>
      </c>
      <c r="H1056" s="89" t="str">
        <f>VLOOKUP(Table13[[#This Row],[kbli5]],kata_kunci!$B:$H,3,FALSE)</f>
        <v>kegiatan usaha perantara (intermediasi) yang mempertemukan pelanggan dengan penyedia makanan/minuman; biasanya melalui platform atau layanan pemesanan; tanpa perusahaan tersebut menyajikan makanan/minuman secara langsung.;</v>
      </c>
      <c r="I1056" s="84" t="str">
        <f>VLOOKUP(Table13[[#This Row],[kbli5]],kata_kunci!$B:$H,5,FALSE)</f>
        <v>mempertemukan;menyediakan platform;mengelola sistem pemesanan;memfasilitasi reservasi;menghubungkan pelanggan dan vendor;mengatur booking restoran;mengelola layanan intermediasi;menyediakan marketplace makanan;</v>
      </c>
      <c r="J1056" s="84" t="str">
        <f>VLOOKUP(Table13[[#This Row],[kbli5]],kata_kunci!$B:$H,6,FALSE)</f>
        <v>Mengacu ke KBLI;</v>
      </c>
      <c r="K1056" s="84" t="str">
        <f>VLOOKUP(Table13[[#This Row],[kbli5]],kata_kunci!$B:$H,7,FALSE)</f>
        <v>Jasa reservasi restoran;Jasa intermediasi katering;Jasa pemesanan meja restoran;Jasa marketplace makanan dan minuman;Jasa penghubung pelanggan dengan penyedia makanan;Komisi intermediasi makanan dan minuman;</v>
      </c>
    </row>
    <row r="1057" spans="1:11" ht="15.75" thickBot="1" x14ac:dyDescent="0.3">
      <c r="A1057" s="53" t="s">
        <v>27</v>
      </c>
      <c r="B1057" s="40">
        <v>58110</v>
      </c>
      <c r="C1057" s="16" t="s">
        <v>1308</v>
      </c>
      <c r="D1057" s="30" t="e">
        <f>VLOOKUP(Table13[[#This Row],[kbli5]],Table1[[#All],[kbli5]:[digital_hijau]],3,)</f>
        <v>#N/A</v>
      </c>
      <c r="E1057" s="53" t="str">
        <f>VLOOKUP(Table13[[#This Row],[kbli5]],kata_kunci!$B:$H,4,FALSE)</f>
        <v>Penerbitan; buku;</v>
      </c>
      <c r="F1057" s="53" t="e">
        <f>VLOOKUP(Table13[[#This Row],[kbli5]],Table1[[#All],[kbli5]:[digital_hijau]],5,)</f>
        <v>#N/A</v>
      </c>
      <c r="G1057" s="35" t="s">
        <v>2090</v>
      </c>
      <c r="H1057" s="89" t="str">
        <f>VLOOKUP(Table13[[#This Row],[kbli5]],kata_kunci!$B:$H,3,FALSE)</f>
        <v>Semua bentuk penerbitan buku baik fisik tercetak maupun digital. Bukan untuk material periklanan (masuk ke 5819). Bukan buku lembaran musik (masuk ke 5920). Bukan surat kabar (masuk ke 5812). Tidak termasuk juga; Jika murni distribusi &amp; streaming audio (6010) atau vidio (6020);;Kantor Jakarta Erlangga → naskah diedit; dicetak; diterbitkan → 58110;Kantor Pekanbaru Erlangga → terima order; kirim buku ke sekolah → 46491;;Brosur di sini adalah brosur yang sifatnya seperti buku. Contohnya brosur/buklet panduan kesehatan yang diterbitkan kemenkes;</v>
      </c>
      <c r="I1057" s="84" t="str">
        <f>VLOOKUP(Table13[[#This Row],[kbli5]],kata_kunci!$B:$H,5,FALSE)</f>
        <v>Menerbitkan dan mencetak;</v>
      </c>
      <c r="J1057" s="84" t="str">
        <f>VLOOKUP(Table13[[#This Row],[kbli5]],kata_kunci!$B:$H,6,FALSE)</f>
        <v/>
      </c>
      <c r="K1057" s="84" t="str">
        <f>VLOOKUP(Table13[[#This Row],[kbli5]],kata_kunci!$B:$H,7,FALSE)</f>
        <v>buku; brosur/booklet ilmiah/edukasi; kamus; ensiklopedia; atlas; peta; grafik; buku elektronik; ebook; ebook; komik; novel; buku audio audio book;</v>
      </c>
    </row>
    <row r="1058" spans="1:11" ht="26.25" thickBot="1" x14ac:dyDescent="0.3">
      <c r="A1058" s="53" t="s">
        <v>27</v>
      </c>
      <c r="B1058" s="40">
        <v>58120</v>
      </c>
      <c r="C1058" s="16" t="s">
        <v>28</v>
      </c>
      <c r="D1058" s="30" t="str">
        <f>VLOOKUP(Table13[[#This Row],[kbli5]],Table1[[#All],[kbli5]:[digital_hijau]],3,)</f>
        <v>Penerbitan Surat Kabar; Riau Pos; Tribun Pekanbaru; Goriau.co; Cakaplah.com;</v>
      </c>
      <c r="E1058" s="53" t="str">
        <f>VLOOKUP(Table13[[#This Row],[kbli5]],kata_kunci!$B:$H,4,FALSE)</f>
        <v>Surat kabar; surat kabar iklan;</v>
      </c>
      <c r="F1058" s="53" t="str">
        <f>VLOOKUP(Table13[[#This Row],[kbli5]],Table1[[#All],[kbli5]:[digital_hijau]],5,)</f>
        <v>Esensial</v>
      </c>
      <c r="G1058" s="35" t="s">
        <v>2090</v>
      </c>
      <c r="H1058" s="89" t="str">
        <f>VLOOKUP(Table13[[#This Row],[kbli5]],kata_kunci!$B:$H,3,FALSE)</f>
        <v>Aktivitas penerbitan surat kabar; surat kabar iklan; baik fisik tercetak maupun digital. Bukan aktivitas jurnalis foto (7420) atau jurnalis biasa yang independen (9011). TIDAK TERMASUK jika hanya mencetak flyer promo dan katalog yang isinya dihandle oleh brand atau toko.;</v>
      </c>
      <c r="I1058" s="84" t="str">
        <f>VLOOKUP(Table13[[#This Row],[kbli5]],kata_kunci!$B:$H,5,FALSE)</f>
        <v>menerbitkan surat kabar iklan; menerbitkan surat kabar; menerbitkan dan mengelola portal berita online;</v>
      </c>
      <c r="J1058" s="84" t="str">
        <f>VLOOKUP(Table13[[#This Row],[kbli5]],kata_kunci!$B:$H,6,FALSE)</f>
        <v/>
      </c>
      <c r="K1058" s="84" t="str">
        <f>VLOOKUP(Table13[[#This Row],[kbli5]],kata_kunci!$B:$H,7,FALSE)</f>
        <v>koran; majalah; baliho iklan; reklame iklan; iklan; portal berita online; katalog; selebaran promosi indomaret;</v>
      </c>
    </row>
    <row r="1059" spans="1:11" ht="129" thickBot="1" x14ac:dyDescent="0.3">
      <c r="A1059" s="53" t="s">
        <v>27</v>
      </c>
      <c r="B1059" s="40">
        <v>58130</v>
      </c>
      <c r="C1059" s="16" t="s">
        <v>1309</v>
      </c>
      <c r="D1059" s="30" t="str">
        <f>VLOOKUP(Table13[[#This Row],[kbli5]],Table1[[#All],[kbli5]:[digital_hijau]],3,)</f>
        <v>Penerbitan jurnal; Penerbit di Perguruan Tinggi (cek lagi ke kampusnya);</v>
      </c>
      <c r="E1059" s="53" t="str">
        <f>VLOOKUP(Table13[[#This Row],[kbli5]],kata_kunci!$B:$H,4,FALSE)</f>
        <v>penerbit jurnal ilmiah; jadwal siaran; siaran; majalah; buletin; tabloid? jurnal universitas;</v>
      </c>
      <c r="F1059" s="53" t="str">
        <f>VLOOKUP(Table13[[#This Row],[kbli5]],Table1[[#All],[kbli5]:[digital_hijau]],5,)</f>
        <v>Potensial</v>
      </c>
      <c r="G1059" s="53" t="str">
        <f>VLOOKUP(Table13[[#This Row],[kbli5]],Table1[[#All],[kbli5]:[digital_hijau]],6,)</f>
        <v>Industri Digital;</v>
      </c>
      <c r="H1059" s="54" t="str">
        <f>VLOOKUP(Table13[[#This Row],[kbli5]],kata_kunci!$B:$H,3,FALSE)</f>
        <v>Aktivitas penerbitan jurnal dan terbitan berkala lainnya; aktivitas penerbitan jadwal siaran radio dan televisi; “terbit berkala; bukan buku tunggal dan bukan koran harian.” ;;Penerbitan jurnal oleh kampus; biasanya melekat pada KBLI Kampusnya (silakan dipastikan lagi dengan pihak perguruan tinggi nya);</v>
      </c>
      <c r="I1059" s="84" t="str">
        <f>VLOOKUP(Table13[[#This Row],[kbli5]],kata_kunci!$B:$H,5,FALSE)</f>
        <v>menerbitkan jurnal; menerbitkan jadwal siaran;</v>
      </c>
      <c r="J1059" s="84" t="str">
        <f>VLOOKUP(Table13[[#This Row],[kbli5]],kata_kunci!$B:$H,6,FALSE)</f>
        <v/>
      </c>
      <c r="K1059" s="84" t="str">
        <f>VLOOKUP(Table13[[#This Row],[kbli5]],kata_kunci!$B:$H,7,FALSE)</f>
        <v>apakah jurnal ilmiah maksudnya??;</v>
      </c>
    </row>
    <row r="1060" spans="1:11" ht="52.5" thickBot="1" x14ac:dyDescent="0.3">
      <c r="A1060" s="53" t="s">
        <v>27</v>
      </c>
      <c r="B1060" s="40">
        <v>58190</v>
      </c>
      <c r="C1060" s="16" t="s">
        <v>1310</v>
      </c>
      <c r="D1060" s="30" t="str">
        <f>VLOOKUP(Table13[[#This Row],[kbli5]],Table1[[#All],[kbli5]:[digital_hijau]],3,)</f>
        <v>Penerbitan kartu pos; reproduksi karya seni; kreator sosmed berbasis gambar/foto; Hanya pasang link affiliate di bio/blog sosmed tanpa video;</v>
      </c>
      <c r="E1060" s="53" t="str">
        <f>VLOOKUP(Table13[[#This Row],[kbli5]],kata_kunci!$B:$H,4,FALSE)</f>
        <v>cetak; foto; ukiran; formulir; kalender; selebaran;</v>
      </c>
      <c r="F1060" s="53" t="str">
        <f>VLOOKUP(Table13[[#This Row],[kbli5]],Table1[[#All],[kbli5]:[digital_hijau]],5,)</f>
        <v>Potensial</v>
      </c>
      <c r="G1060" s="53" t="str">
        <f>VLOOKUP(Table13[[#This Row],[kbli5]],Table1[[#All],[kbli5]:[digital_hijau]],6,)</f>
        <v>Industri Digital;</v>
      </c>
      <c r="H1060" s="54" t="str">
        <f>VLOOKUP(Table13[[#This Row],[kbli5]],kata_kunci!$B:$H,3,FALSE)</f>
        <v>Aktivitas penerbitan lainnya baik fisik tercetak maupun digital; ukiran di sini bukat aktivitas pemahat;</v>
      </c>
      <c r="I1060" s="84" t="str">
        <f>VLOOKUP(Table13[[#This Row],[kbli5]],kata_kunci!$B:$H,5,FALSE)</f>
        <v>menerbitkan buku telepon; mencetak foto; mencetak poster; mencetak ukiran; mencetak kalender; membuat piala masuk 32909 (industri);</v>
      </c>
      <c r="J1060" s="84" t="str">
        <f>VLOOKUP(Table13[[#This Row],[kbli5]],kata_kunci!$B:$H,6,FALSE)</f>
        <v/>
      </c>
      <c r="K1060" s="84" t="str">
        <f>VLOOKUP(Table13[[#This Row],[kbli5]],kata_kunci!$B:$H,7,FALSE)</f>
        <v>direktori; mailing list; buku telepon; katalog; foto; ukiran; kartu pos; kalender; formulir; poster; reproduksi karya seni' selebaran/ leaflet yang tidak dijilid dan bukan material iklan; kumpulan data; undangan;</v>
      </c>
    </row>
    <row r="1061" spans="1:11" ht="45.75" thickBot="1" x14ac:dyDescent="0.3">
      <c r="A1061" s="53" t="s">
        <v>27</v>
      </c>
      <c r="B1061" s="40">
        <v>58211</v>
      </c>
      <c r="C1061" s="16" t="s">
        <v>1311</v>
      </c>
      <c r="D1061" s="30" t="e">
        <f>VLOOKUP(Table13[[#This Row],[kbli5]],Table1[[#All],[kbli5]:[digital_hijau]],3,)</f>
        <v>#N/A</v>
      </c>
      <c r="E1061" s="53" t="str">
        <f>VLOOKUP(Table13[[#This Row],[kbli5]],kata_kunci!$B:$H,4,FALSE)</f>
        <v>game online; gim dalam jaringan;</v>
      </c>
      <c r="F1061" s="53" t="e">
        <f>VLOOKUP(Table13[[#This Row],[kbli5]],Table1[[#All],[kbli5]:[digital_hijau]],5,)</f>
        <v>#N/A</v>
      </c>
      <c r="G1061" s="35" t="s">
        <v>2090</v>
      </c>
      <c r="H1061" s="89" t="str">
        <f>VLOOKUP(Table13[[#This Row],[kbli5]],kata_kunci!$B:$H,3,FALSE)</f>
        <v>Ekosistem hiburan interaktif. Game nya harus ONLINE untuk dimainkan atau mengakses sebagian besar permainannya. umumnya diterbitkan di web; playstore; atau appstore; khusus penerbitan; bukan programernya;;Fokusnya bukan hanya membuat game; tetapi:;;menerbitkan;;mendistribusikan;;memasarkan;;menjual;;atau menjadi publisher game.;</v>
      </c>
      <c r="I1061" s="84" t="str">
        <f>VLOOKUP(Table13[[#This Row],[kbli5]],kata_kunci!$B:$H,5,FALSE)</f>
        <v>jasa intermediasi untuk penerbitan perangkat lunak vidio gim daring;;membuat vidio gim; menyediakan fitur pembelian; membuat fitur pembelian;</v>
      </c>
      <c r="J1061" s="84" t="str">
        <f>VLOOKUP(Table13[[#This Row],[kbli5]],kata_kunci!$B:$H,6,FALSE)</f>
        <v/>
      </c>
      <c r="K1061" s="84" t="str">
        <f>VLOOKUP(Table13[[#This Row],[kbli5]],kata_kunci!$B:$H,7,FALSE)</f>
        <v>game online; gim dalam jaringan;</v>
      </c>
    </row>
    <row r="1062" spans="1:11" ht="30.75" thickBot="1" x14ac:dyDescent="0.3">
      <c r="A1062" s="53" t="s">
        <v>27</v>
      </c>
      <c r="B1062" s="40">
        <v>58219</v>
      </c>
      <c r="C1062" s="16" t="s">
        <v>1312</v>
      </c>
      <c r="D1062" s="30" t="e">
        <f>VLOOKUP(Table13[[#This Row],[kbli5]],Table1[[#All],[kbli5]:[digital_hijau]],3,)</f>
        <v>#N/A</v>
      </c>
      <c r="E1062" s="53" t="str">
        <f>VLOOKUP(Table13[[#This Row],[kbli5]],kata_kunci!$B:$H,4,FALSE)</f>
        <v/>
      </c>
      <c r="F1062" s="53" t="e">
        <f>VLOOKUP(Table13[[#This Row],[kbli5]],Table1[[#All],[kbli5]:[digital_hijau]],5,)</f>
        <v>#N/A</v>
      </c>
      <c r="G1062" s="35" t="s">
        <v>2090</v>
      </c>
      <c r="H1062" s="89" t="str">
        <f>VLOOKUP(Table13[[#This Row],[kbli5]],kata_kunci!$B:$H,3,FALSE)</f>
        <v>Gim dimainkan secara OFFLINE. khusus penerbitan; bukan programernya;;KBLI 58219 dipakai oleh perusahaan yang berbisnis menerbitkan dan mendistribusikan video game; termasuk game offline dan publisher game digital.;</v>
      </c>
      <c r="I1062" s="84" t="str">
        <f>VLOOKUP(Table13[[#This Row],[kbli5]],kata_kunci!$B:$H,5,FALSE)</f>
        <v/>
      </c>
      <c r="J1062" s="84" t="str">
        <f>VLOOKUP(Table13[[#This Row],[kbli5]],kata_kunci!$B:$H,6,FALSE)</f>
        <v/>
      </c>
      <c r="K1062" s="84" t="str">
        <f>VLOOKUP(Table13[[#This Row],[kbli5]],kata_kunci!$B:$H,7,FALSE)</f>
        <v/>
      </c>
    </row>
    <row r="1063" spans="1:11" ht="45.75" thickBot="1" x14ac:dyDescent="0.3">
      <c r="A1063" s="53" t="s">
        <v>27</v>
      </c>
      <c r="B1063" s="40">
        <v>58290</v>
      </c>
      <c r="C1063" s="16" t="s">
        <v>1313</v>
      </c>
      <c r="D1063" s="30" t="e">
        <f>VLOOKUP(Table13[[#This Row],[kbli5]],Table1[[#All],[kbli5]:[digital_hijau]],3,)</f>
        <v>#N/A</v>
      </c>
      <c r="E1063" s="53" t="str">
        <f>VLOOKUP(Table13[[#This Row],[kbli5]],kata_kunci!$B:$H,4,FALSE)</f>
        <v/>
      </c>
      <c r="F1063" s="53" t="e">
        <f>VLOOKUP(Table13[[#This Row],[kbli5]],Table1[[#All],[kbli5]:[digital_hijau]],5,)</f>
        <v>#N/A</v>
      </c>
      <c r="G1063" s="35" t="s">
        <v>2090</v>
      </c>
      <c r="H1063" s="89" t="str">
        <f>VLOOKUP(Table13[[#This Row],[kbli5]],kata_kunci!$B:$H,3,FALSE)</f>
        <v>Ekosistem bisnis; sains; dan frontier technology; INOVASI PENERBIT SOFTWARE NON GAMING; khusus penerbitan; bukan programernya;</v>
      </c>
      <c r="I1063" s="84" t="str">
        <f>VLOOKUP(Table13[[#This Row],[kbli5]],kata_kunci!$B:$H,5,FALSE)</f>
        <v/>
      </c>
      <c r="J1063" s="84" t="str">
        <f>VLOOKUP(Table13[[#This Row],[kbli5]],kata_kunci!$B:$H,6,FALSE)</f>
        <v/>
      </c>
      <c r="K1063" s="84" t="str">
        <f>VLOOKUP(Table13[[#This Row],[kbli5]],kata_kunci!$B:$H,7,FALSE)</f>
        <v/>
      </c>
    </row>
    <row r="1064" spans="1:11" ht="154.5" thickBot="1" x14ac:dyDescent="0.3">
      <c r="A1064" s="53" t="s">
        <v>27</v>
      </c>
      <c r="B1064" s="40">
        <v>59111</v>
      </c>
      <c r="C1064" s="16" t="s">
        <v>1314</v>
      </c>
      <c r="D1064" s="30" t="str">
        <f>VLOOKUP(Table13[[#This Row],[kbli5]],Table1[[#All],[kbli5]:[digital_hijau]],3,)</f>
        <v>produksi film/video/program tv oleh pemerintah;</v>
      </c>
      <c r="E1064" s="53" t="str">
        <f>VLOOKUP(Table13[[#This Row],[kbli5]],kata_kunci!$B:$H,4,FALSE)</f>
        <v>film;video; program tv; vlog; podcast; iklan; berita; pemerintah;</v>
      </c>
      <c r="F1064" s="53" t="str">
        <f>VLOOKUP(Table13[[#This Row],[kbli5]],Table1[[#All],[kbli5]:[digital_hijau]],5,)</f>
        <v>Potensial</v>
      </c>
      <c r="G1064" s="53" t="str">
        <f>VLOOKUP(Table13[[#This Row],[kbli5]],Table1[[#All],[kbli5]:[digital_hijau]],6,)</f>
        <v>Industri Digital;</v>
      </c>
      <c r="H1064" s="54" t="str">
        <f>VLOOKUP(Table13[[#This Row],[kbli5]],kata_kunci!$B:$H,3,FALSE)</f>
        <v>DIKELOLA PEMERINTAH. khusus produk film; video; karya audiovisual; dan program televisi (bagian dari program pada saluran tv). Bukan penggandaan (menjual cd; dvd; atau media fisik lainnya = masuk ke 1820); Bukan reproduksi film untuk didistribusikan di bioskop (masuk ke 5912); Bukan pembuatan program saluran tv lengkap (masuk 5920);</v>
      </c>
      <c r="I1064" s="84" t="str">
        <f>VLOOKUP(Table13[[#This Row],[kbli5]],kata_kunci!$B:$H,5,FALSE)</f>
        <v>membuat film/ gambar bergerak 2D dan 3D; memproduksi film/ gambar bergerak 2D dan 3D; menyediakan jasa pengiriman film; mengelola agen pembukan fil;;;pembuatan atau produksi gambar bergerak (2D maupun 3D); JASA PENGIRIMAN FILM; AGEN PEMBUKUAN FILM;</v>
      </c>
      <c r="J1064" s="84" t="str">
        <f>VLOOKUP(Table13[[#This Row],[kbli5]],kata_kunci!$B:$H,6,FALSE)</f>
        <v/>
      </c>
      <c r="K1064" s="84" t="str">
        <f>VLOOKUP(Table13[[#This Row],[kbli5]],kata_kunci!$B:$H,7,FALSE)</f>
        <v>film;video; program tv; vlog; podcast; iklan; berita;</v>
      </c>
    </row>
    <row r="1065" spans="1:11" ht="231" thickBot="1" x14ac:dyDescent="0.3">
      <c r="A1065" s="53" t="s">
        <v>27</v>
      </c>
      <c r="B1065" s="40">
        <v>59112</v>
      </c>
      <c r="C1065" s="16" t="s">
        <v>29</v>
      </c>
      <c r="D1065" s="30" t="str">
        <f>VLOOKUP(Table13[[#This Row],[kbli5]],Table1[[#All],[kbli5]:[digital_hijau]],3,)</f>
        <v>Produksi film/video/program tv oleh swasta; Production house; Kawan jalan; DHIA Production;</v>
      </c>
      <c r="E1065" s="53" t="str">
        <f>VLOOKUP(Table13[[#This Row],[kbli5]],kata_kunci!$B:$H,4,FALSE)</f>
        <v>film;video; program tv; vlog; podcast; iklan; berita; pemerintah;</v>
      </c>
      <c r="F1065" s="53" t="str">
        <f>VLOOKUP(Table13[[#This Row],[kbli5]],Table1[[#All],[kbli5]:[digital_hijau]],5,)</f>
        <v>Umum Ditemukan</v>
      </c>
      <c r="G1065" s="53" t="str">
        <f>VLOOKUP(Table13[[#This Row],[kbli5]],Table1[[#All],[kbli5]:[digital_hijau]],6,)</f>
        <v>Industri Digital;</v>
      </c>
      <c r="H1065" s="54" t="str">
        <f>VLOOKUP(Table13[[#This Row],[kbli5]],kata_kunci!$B:$H,3,FALSE)</f>
        <v>DIKELOLA SWASTA/PRIBADI. khusus produk film; video; karya audiovisual; dan program televisi (bagian dari program pada saluran tv). Bukan penggandaan (menjual cd; dvd; atau media fisik lainnya = masuk ke 1820); Bukan reproduksi film untuk didistribusikan di bioskop (masuk ke 5912); Bukan pembuatan program saluran tv lengkap (masuk 5920). agensi kreatif konten pendek sosmed; apakah influencer nya usdah harus terima endorse atau ada penghasilannya? affiliate marketing sepertinya masuk 60390;</v>
      </c>
      <c r="I1065" s="84" t="str">
        <f>VLOOKUP(Table13[[#This Row],[kbli5]],kata_kunci!$B:$H,5,FALSE)</f>
        <v>industri koreator konten dan produksi media; pembuatan atau produksi gambar bergerak (2D maupun 3D); JASA PENGIRIMAN FILM; AGEN PEMBUKUAN FILM; agensi kreatif yang membantu pembuatan konten; biasanya untuk branding; atau sosmed management; animator bisa untuk fim bisa untuk vidio; perusahaan yang memproduksi konten beda klasifikasinya dengan platform yang menayangkannya; production house;</v>
      </c>
      <c r="J1065" s="84" t="str">
        <f>VLOOKUP(Table13[[#This Row],[kbli5]],kata_kunci!$B:$H,6,FALSE)</f>
        <v/>
      </c>
      <c r="K1065" s="84" t="str">
        <f>VLOOKUP(Table13[[#This Row],[kbli5]],kata_kunci!$B:$H,7,FALSE)</f>
        <v>film;video; program tv; vlog; podcast; iklan; berita;</v>
      </c>
    </row>
    <row r="1066" spans="1:11" ht="103.5" thickBot="1" x14ac:dyDescent="0.3">
      <c r="A1066" s="53" t="s">
        <v>27</v>
      </c>
      <c r="B1066" s="40">
        <v>59121</v>
      </c>
      <c r="C1066" s="16" t="s">
        <v>1315</v>
      </c>
      <c r="D1066" s="30" t="str">
        <f>VLOOKUP(Table13[[#This Row],[kbli5]],Table1[[#All],[kbli5]:[digital_hijau]],3,)</f>
        <v>pascaproduksi film/video oleh pemerintah;</v>
      </c>
      <c r="E1066" s="53" t="str">
        <f>VLOOKUP(Table13[[#This Row],[kbli5]],kata_kunci!$B:$H,4,FALSE)</f>
        <v>program televisi pemerintah; aktivitas pascaproduksi;</v>
      </c>
      <c r="F1066" s="53" t="str">
        <f>VLOOKUP(Table13[[#This Row],[kbli5]],Table1[[#All],[kbli5]:[digital_hijau]],5,)</f>
        <v>Potensial</v>
      </c>
      <c r="G1066" s="53" t="str">
        <f>VLOOKUP(Table13[[#This Row],[kbli5]],Table1[[#All],[kbli5]:[digital_hijau]],6,)</f>
        <v>Industri Digital;</v>
      </c>
      <c r="H1066" s="54" t="str">
        <f>VLOOKUP(Table13[[#This Row],[kbli5]],kata_kunci!$B:$H,3,FALSE)</f>
        <v>program tv pemerintah. melakukan kegiatan pascaproduksi film; video; karya audiovisual; dan program tv; TERMASUK kegiatan studio film yang menyiapkan film dan reproduksi untuk distribusi ke bioskop;</v>
      </c>
      <c r="I1066" s="84" t="str">
        <f>VLOOKUP(Table13[[#This Row],[kbli5]],kata_kunci!$B:$H,5,FALSE)</f>
        <v>Melakukan editing; Melakukan cutting; Dubbing; titling; dan credit film; closed captioning; animasi dan special effects; transfer film atau tape; melakukan konversi ke format video streaming; Melakukan penyensoran film;</v>
      </c>
      <c r="J1066" s="84" t="str">
        <f>VLOOKUP(Table13[[#This Row],[kbli5]],kata_kunci!$B:$H,6,FALSE)</f>
        <v/>
      </c>
      <c r="K1066" s="84" t="str">
        <f>VLOOKUP(Table13[[#This Row],[kbli5]],kata_kunci!$B:$H,7,FALSE)</f>
        <v/>
      </c>
    </row>
    <row r="1067" spans="1:11" ht="90.75" thickBot="1" x14ac:dyDescent="0.3">
      <c r="A1067" s="53" t="s">
        <v>27</v>
      </c>
      <c r="B1067" s="40">
        <v>59122</v>
      </c>
      <c r="C1067" s="16" t="s">
        <v>1316</v>
      </c>
      <c r="D1067" s="30" t="str">
        <f>VLOOKUP(Table13[[#This Row],[kbli5]],Table1[[#All],[kbli5]:[digital_hijau]],3,)</f>
        <v>pascaproduksi film/video oleh swasta;</v>
      </c>
      <c r="E1067" s="53" t="str">
        <f>VLOOKUP(Table13[[#This Row],[kbli5]],kata_kunci!$B:$H,4,FALSE)</f>
        <v>program televisi swasta; aktivitas pascaproduksi;</v>
      </c>
      <c r="F1067" s="53" t="str">
        <f>VLOOKUP(Table13[[#This Row],[kbli5]],Table1[[#All],[kbli5]:[digital_hijau]],5,)</f>
        <v>Potensial</v>
      </c>
      <c r="G1067" s="53" t="str">
        <f>VLOOKUP(Table13[[#This Row],[kbli5]],Table1[[#All],[kbli5]:[digital_hijau]],6,)</f>
        <v>Industri Digital;</v>
      </c>
      <c r="H1067" s="54" t="str">
        <f>VLOOKUP(Table13[[#This Row],[kbli5]],kata_kunci!$B:$H,3,FALSE)</f>
        <v>program tv swasta. melakukan kegiatan pascaproduksi film; video; karya audiovisual; dan program tv; TERMASUK kegiatan studio film yang menyiapkan film dan reproduksi untuk distribusi ke bioskop;</v>
      </c>
      <c r="I1067" s="84" t="str">
        <f>VLOOKUP(Table13[[#This Row],[kbli5]],kata_kunci!$B:$H,5,FALSE)</f>
        <v>Melakukan editing; Melakukan cutting; Dubbing; titling; dan credit film; closed captioning; animasi dan special effects; transfer film atau tape; melakukan konversi ke format video streaming; Melakukan penyensoran film;</v>
      </c>
      <c r="J1067" s="84" t="str">
        <f>VLOOKUP(Table13[[#This Row],[kbli5]],kata_kunci!$B:$H,6,FALSE)</f>
        <v/>
      </c>
      <c r="K1067" s="84" t="str">
        <f>VLOOKUP(Table13[[#This Row],[kbli5]],kata_kunci!$B:$H,7,FALSE)</f>
        <v/>
      </c>
    </row>
    <row r="1068" spans="1:11" ht="45.75" thickBot="1" x14ac:dyDescent="0.3">
      <c r="A1068" s="53" t="s">
        <v>27</v>
      </c>
      <c r="B1068" s="40">
        <v>59131</v>
      </c>
      <c r="C1068" s="16" t="s">
        <v>1317</v>
      </c>
      <c r="D1068" s="30" t="e">
        <f>VLOOKUP(Table13[[#This Row],[kbli5]],Table1[[#All],[kbli5]:[digital_hijau]],3,)</f>
        <v>#N/A</v>
      </c>
      <c r="E1068" s="53" t="str">
        <f>VLOOKUP(Table13[[#This Row],[kbli5]],kata_kunci!$B:$H,4,FALSE)</f>
        <v/>
      </c>
      <c r="F1068" s="53" t="e">
        <f>VLOOKUP(Table13[[#This Row],[kbli5]],Table1[[#All],[kbli5]:[digital_hijau]],5,)</f>
        <v>#N/A</v>
      </c>
      <c r="G1068" s="35" t="s">
        <v>2090</v>
      </c>
      <c r="H1068" s="89" t="str">
        <f>VLOOKUP(Table13[[#This Row],[kbli5]],kata_kunci!$B:$H,3,FALSE)</f>
        <v>kegiatan yang dikelola pemerintah;</v>
      </c>
      <c r="I1068" s="84" t="str">
        <f>VLOOKUP(Table13[[#This Row],[kbli5]],kata_kunci!$B:$H,5,FALSE)</f>
        <v>melakukan pendistribusian film; video; atau karya audiovisual; memproduksi karya sejenis untuk bioskop gambar bergerak; film layar lebar; pameran.;</v>
      </c>
      <c r="J1068" s="84" t="str">
        <f>VLOOKUP(Table13[[#This Row],[kbli5]],kata_kunci!$B:$H,6,FALSE)</f>
        <v/>
      </c>
      <c r="K1068" s="84" t="str">
        <f>VLOOKUP(Table13[[#This Row],[kbli5]],kata_kunci!$B:$H,7,FALSE)</f>
        <v/>
      </c>
    </row>
    <row r="1069" spans="1:11" ht="45.75" thickBot="1" x14ac:dyDescent="0.3">
      <c r="A1069" s="53" t="s">
        <v>27</v>
      </c>
      <c r="B1069" s="40">
        <v>59132</v>
      </c>
      <c r="C1069" s="16" t="s">
        <v>1318</v>
      </c>
      <c r="D1069" s="30" t="e">
        <f>VLOOKUP(Table13[[#This Row],[kbli5]],Table1[[#All],[kbli5]:[digital_hijau]],3,)</f>
        <v>#N/A</v>
      </c>
      <c r="E1069" s="53" t="str">
        <f>VLOOKUP(Table13[[#This Row],[kbli5]],kata_kunci!$B:$H,4,FALSE)</f>
        <v>distribusi film;</v>
      </c>
      <c r="F1069" s="53" t="e">
        <f>VLOOKUP(Table13[[#This Row],[kbli5]],Table1[[#All],[kbli5]:[digital_hijau]],5,)</f>
        <v>#N/A</v>
      </c>
      <c r="G1069" s="35" t="s">
        <v>2090</v>
      </c>
      <c r="H1069" s="89" t="str">
        <f>VLOOKUP(Table13[[#This Row],[kbli5]],kata_kunci!$B:$H,3,FALSE)</f>
        <v>suplier film; distributor film; pemegang hak edar; penyalur film ke bioskop;</v>
      </c>
      <c r="I1069" s="84" t="str">
        <f>VLOOKUP(Table13[[#This Row],[kbli5]],kata_kunci!$B:$H,5,FALSE)</f>
        <v>melakukan pendistribusian film; video; atau karya audiovisual; memproduksi karya sejenis untuk bioskop gambar bergerak; film layar lebar; pameran.;</v>
      </c>
      <c r="J1069" s="84" t="str">
        <f>VLOOKUP(Table13[[#This Row],[kbli5]],kata_kunci!$B:$H,6,FALSE)</f>
        <v/>
      </c>
      <c r="K1069" s="84" t="str">
        <f>VLOOKUP(Table13[[#This Row],[kbli5]],kata_kunci!$B:$H,7,FALSE)</f>
        <v/>
      </c>
    </row>
    <row r="1070" spans="1:11" ht="90.75" thickBot="1" x14ac:dyDescent="0.3">
      <c r="A1070" s="53" t="s">
        <v>27</v>
      </c>
      <c r="B1070" s="40">
        <v>59140</v>
      </c>
      <c r="C1070" s="16" t="s">
        <v>30</v>
      </c>
      <c r="D1070" s="30" t="str">
        <f>VLOOKUP(Table13[[#This Row],[kbli5]],Table1[[#All],[kbli5]:[digital_hijau]],3,)</f>
        <v>Bioskop; layar tancap; XXI; CGV; Cinepolis;</v>
      </c>
      <c r="E1070" s="53" t="str">
        <f>VLOOKUP(Table13[[#This Row],[kbli5]],kata_kunci!$B:$H,4,FALSE)</f>
        <v>pemutaran film;</v>
      </c>
      <c r="F1070" s="53" t="str">
        <f>VLOOKUP(Table13[[#This Row],[kbli5]],Table1[[#All],[kbli5]:[digital_hijau]],5,)</f>
        <v>Umum Ditemukan</v>
      </c>
      <c r="G1070" s="53" t="str">
        <f>VLOOKUP(Table13[[#This Row],[kbli5]],Table1[[#All],[kbli5]:[digital_hijau]],6,)</f>
        <v>Industri Digital;</v>
      </c>
      <c r="H1070" s="54" t="str">
        <f>VLOOKUP(Table13[[#This Row],[kbli5]],kata_kunci!$B:$H,3,FALSE)</f>
        <v>pemutaran film atau karya audiovisual di bioskop; ruang terbuka; atau lainnya; pemutaran film di festival pemerintah atau swasta; layar tancap; filmnya milik siapa? bukan penyedia layar nya kan?;</v>
      </c>
      <c r="I1070" s="84" t="str">
        <f>VLOOKUP(Table13[[#This Row],[kbli5]],kata_kunci!$B:$H,5,FALSE)</f>
        <v>pemutaran film; pemutaran film pada acara festival; menayangkan film ke penonton;</v>
      </c>
      <c r="J1070" s="84" t="str">
        <f>VLOOKUP(Table13[[#This Row],[kbli5]],kata_kunci!$B:$H,6,FALSE)</f>
        <v/>
      </c>
      <c r="K1070" s="84" t="str">
        <f>VLOOKUP(Table13[[#This Row],[kbli5]],kata_kunci!$B:$H,7,FALSE)</f>
        <v>bioskop; layar tancap;</v>
      </c>
    </row>
    <row r="1071" spans="1:11" ht="30.75" thickBot="1" x14ac:dyDescent="0.3">
      <c r="A1071" s="53" t="s">
        <v>27</v>
      </c>
      <c r="B1071" s="40">
        <v>59201</v>
      </c>
      <c r="C1071" s="16" t="s">
        <v>31</v>
      </c>
      <c r="D1071" s="30" t="str">
        <f>VLOOKUP(Table13[[#This Row],[kbli5]],Table1[[#All],[kbli5]:[digital_hijau]],3,)</f>
        <v xml:space="preserve">studio rekaman suara; Mansionpro Music Studio &amp; Recording; </v>
      </c>
      <c r="E1071" s="53" t="str">
        <f>VLOOKUP(Table13[[#This Row],[kbli5]],kata_kunci!$B:$H,4,FALSE)</f>
        <v/>
      </c>
      <c r="F1071" s="53" t="str">
        <f>VLOOKUP(Table13[[#This Row],[kbli5]],Table1[[#All],[kbli5]:[digital_hijau]],5,)</f>
        <v>Umum Ditemukan</v>
      </c>
      <c r="G1071" s="53" t="str">
        <f>VLOOKUP(Table13[[#This Row],[kbli5]],Table1[[#All],[kbli5]:[digital_hijau]],6,)</f>
        <v>Industri Digital;</v>
      </c>
      <c r="H1071" s="54" t="str">
        <f>VLOOKUP(Table13[[#This Row],[kbli5]],kata_kunci!$B:$H,3,FALSE)</f>
        <v>studio rekaman khusus audio; tidak termasuk gambar bergerak;</v>
      </c>
      <c r="I1071" s="84" t="str">
        <f>VLOOKUP(Table13[[#This Row],[kbli5]],kata_kunci!$B:$H,5,FALSE)</f>
        <v>pembuatan master rekaman suara asli; jasa perekam suara; jasa rekam audio untuk radio non live; siniar; film ; tv; buku; media lain;</v>
      </c>
      <c r="J1071" s="84" t="str">
        <f>VLOOKUP(Table13[[#This Row],[kbli5]],kata_kunci!$B:$H,6,FALSE)</f>
        <v/>
      </c>
      <c r="K1071" s="84" t="str">
        <f>VLOOKUP(Table13[[#This Row],[kbli5]],kata_kunci!$B:$H,7,FALSE)</f>
        <v>jasa rekaman; studi rekaman;</v>
      </c>
    </row>
    <row r="1072" spans="1:11" ht="52.5" thickBot="1" x14ac:dyDescent="0.3">
      <c r="A1072" s="53" t="s">
        <v>27</v>
      </c>
      <c r="B1072" s="40">
        <v>59202</v>
      </c>
      <c r="C1072" s="16" t="s">
        <v>1319</v>
      </c>
      <c r="D1072" s="30" t="str">
        <f>VLOOKUP(Table13[[#This Row],[kbli5]],Table1[[#All],[kbli5]:[digital_hijau]],3,)</f>
        <v>penerbitan musik dan buku musik; Label musik;</v>
      </c>
      <c r="E1072" s="53" t="str">
        <f>VLOOKUP(Table13[[#This Row],[kbli5]],kata_kunci!$B:$H,4,FALSE)</f>
        <v/>
      </c>
      <c r="F1072" s="53" t="str">
        <f>VLOOKUP(Table13[[#This Row],[kbli5]],Table1[[#All],[kbli5]:[digital_hijau]],5,)</f>
        <v>Potensial</v>
      </c>
      <c r="G1072" s="53" t="str">
        <f>VLOOKUP(Table13[[#This Row],[kbli5]],Table1[[#All],[kbli5]:[digital_hijau]],6,)</f>
        <v>Industri Digital;</v>
      </c>
      <c r="H1072" s="54" t="str">
        <f>VLOOKUP(Table13[[#This Row],[kbli5]],kata_kunci!$B:$H,3,FALSE)</f>
        <v>penerbitan musik; buku musik; pendaftaran hak cipta untuk musik; promosi dan pemberian izin penggunaan musik;</v>
      </c>
      <c r="I1072" s="84" t="str">
        <f>VLOOKUP(Table13[[#This Row],[kbli5]],kata_kunci!$B:$H,5,FALSE)</f>
        <v>penerbitan musik; label musik; pengurusan hak cipta lagu; pemberian izin penggunaan musik;</v>
      </c>
      <c r="J1072" s="84" t="str">
        <f>VLOOKUP(Table13[[#This Row],[kbli5]],kata_kunci!$B:$H,6,FALSE)</f>
        <v/>
      </c>
      <c r="K1072" s="84" t="str">
        <f>VLOOKUP(Table13[[#This Row],[kbli5]],kata_kunci!$B:$H,7,FALSE)</f>
        <v>musik; buku musik; hak cipta lagu; partitur lagu;</v>
      </c>
    </row>
    <row r="1073" spans="1:11" ht="78" thickBot="1" x14ac:dyDescent="0.3">
      <c r="A1073" s="53" t="s">
        <v>27</v>
      </c>
      <c r="B1073" s="40">
        <v>60101</v>
      </c>
      <c r="C1073" s="16" t="s">
        <v>32</v>
      </c>
      <c r="D1073" s="30" t="str">
        <f>VLOOKUP(Table13[[#This Row],[kbli5]],Table1[[#All],[kbli5]:[digital_hijau]],3,)</f>
        <v>Radio Analog; Radio aditya; radio barabas; RRI;</v>
      </c>
      <c r="E1073" s="53" t="str">
        <f>VLOOKUP(Table13[[#This Row],[kbli5]],kata_kunci!$B:$H,4,FALSE)</f>
        <v>linier; satu arah;</v>
      </c>
      <c r="F1073" s="53" t="str">
        <f>VLOOKUP(Table13[[#This Row],[kbli5]],Table1[[#All],[kbli5]:[digital_hijau]],5,)</f>
        <v>Umum Ditemukan</v>
      </c>
      <c r="G1073" s="53" t="str">
        <f>VLOOKUP(Table13[[#This Row],[kbli5]],Table1[[#All],[kbli5]:[digital_hijau]],6,)</f>
        <v>Industri Digital;</v>
      </c>
      <c r="H1073" s="54" t="str">
        <f>VLOOKUP(Table13[[#This Row],[kbli5]],kata_kunci!$B:$H,3,FALSE)</f>
        <v>platform distribusi dan penyiaran suara; bukan on demand; tidak ada interaksi dari pengguna atau pendengar; program sudah terjadwal dan tidak bisa diulang oleh pendengar;</v>
      </c>
      <c r="I1073" s="84" t="str">
        <f>VLOOKUP(Table13[[#This Row],[kbli5]],kata_kunci!$B:$H,5,FALSE)</f>
        <v/>
      </c>
      <c r="J1073" s="84" t="str">
        <f>VLOOKUP(Table13[[#This Row],[kbli5]],kata_kunci!$B:$H,6,FALSE)</f>
        <v/>
      </c>
      <c r="K1073" s="84" t="str">
        <f>VLOOKUP(Table13[[#This Row],[kbli5]],kata_kunci!$B:$H,7,FALSE)</f>
        <v/>
      </c>
    </row>
    <row r="1074" spans="1:11" ht="39.75" thickBot="1" x14ac:dyDescent="0.3">
      <c r="A1074" s="53" t="s">
        <v>27</v>
      </c>
      <c r="B1074" s="40">
        <v>60102</v>
      </c>
      <c r="C1074" s="16" t="s">
        <v>1320</v>
      </c>
      <c r="D1074" s="30" t="str">
        <f>VLOOKUP(Table13[[#This Row],[kbli5]],Table1[[#All],[kbli5]:[digital_hijau]],3,)</f>
        <v>RRI digital; radio digital;</v>
      </c>
      <c r="E1074" s="53" t="str">
        <f>VLOOKUP(Table13[[#This Row],[kbli5]],kata_kunci!$B:$H,4,FALSE)</f>
        <v>siaran radio digital;</v>
      </c>
      <c r="F1074" s="53" t="str">
        <f>VLOOKUP(Table13[[#This Row],[kbli5]],Table1[[#All],[kbli5]:[digital_hijau]],5,)</f>
        <v>Potensial</v>
      </c>
      <c r="G1074" s="53" t="str">
        <f>VLOOKUP(Table13[[#This Row],[kbli5]],Table1[[#All],[kbli5]:[digital_hijau]],6,)</f>
        <v>Industri Digital;</v>
      </c>
      <c r="H1074" s="54" t="str">
        <f>VLOOKUP(Table13[[#This Row],[kbli5]],kata_kunci!$B:$H,3,FALSE)</f>
        <v>radio : pendengar tidak bisa memilih siaran; jasa penyiaran radio menggunakan sinyal digital;</v>
      </c>
      <c r="I1074" s="84" t="str">
        <f>VLOOKUP(Table13[[#This Row],[kbli5]],kata_kunci!$B:$H,5,FALSE)</f>
        <v/>
      </c>
      <c r="J1074" s="84" t="str">
        <f>VLOOKUP(Table13[[#This Row],[kbli5]],kata_kunci!$B:$H,6,FALSE)</f>
        <v/>
      </c>
      <c r="K1074" s="84" t="str">
        <f>VLOOKUP(Table13[[#This Row],[kbli5]],kata_kunci!$B:$H,7,FALSE)</f>
        <v/>
      </c>
    </row>
    <row r="1075" spans="1:11" ht="45.75" thickBot="1" x14ac:dyDescent="0.3">
      <c r="A1075" s="53" t="s">
        <v>27</v>
      </c>
      <c r="B1075" s="40">
        <v>60103</v>
      </c>
      <c r="C1075" s="16" t="s">
        <v>1321</v>
      </c>
      <c r="D1075" s="30" t="e">
        <f>VLOOKUP(Table13[[#This Row],[kbli5]],Table1[[#All],[kbli5]:[digital_hijau]],3,)</f>
        <v>#N/A</v>
      </c>
      <c r="E1075" s="53" t="str">
        <f>VLOOKUP(Table13[[#This Row],[kbli5]],kata_kunci!$B:$H,4,FALSE)</f>
        <v>audio; atas permintaan;</v>
      </c>
      <c r="F1075" s="53" t="e">
        <f>VLOOKUP(Table13[[#This Row],[kbli5]],Table1[[#All],[kbli5]:[digital_hijau]],5,)</f>
        <v>#N/A</v>
      </c>
      <c r="G1075" s="35" t="s">
        <v>2090</v>
      </c>
      <c r="H1075" s="89" t="str">
        <f>VLOOKUP(Table13[[#This Row],[kbli5]],kata_kunci!$B:$H,3,FALSE)</f>
        <v>pengguna memilih trek/podcast sendiri; bisa langganan premium; ada iklan audio digital; tayangan sudah dikurasi oleh penyedia;</v>
      </c>
      <c r="I1075" s="84" t="str">
        <f>VLOOKUP(Table13[[#This Row],[kbli5]],kata_kunci!$B:$H,5,FALSE)</f>
        <v>platform penyedia streaming audio atas permintaan;</v>
      </c>
      <c r="J1075" s="84" t="str">
        <f>VLOOKUP(Table13[[#This Row],[kbli5]],kata_kunci!$B:$H,6,FALSE)</f>
        <v/>
      </c>
      <c r="K1075" s="84" t="str">
        <f>VLOOKUP(Table13[[#This Row],[kbli5]],kata_kunci!$B:$H,7,FALSE)</f>
        <v>siaran audio;</v>
      </c>
    </row>
    <row r="1076" spans="1:11" ht="45.75" thickBot="1" x14ac:dyDescent="0.3">
      <c r="A1076" s="53" t="s">
        <v>27</v>
      </c>
      <c r="B1076" s="40">
        <v>60201</v>
      </c>
      <c r="C1076" s="16" t="s">
        <v>33</v>
      </c>
      <c r="D1076" s="30" t="str">
        <f>VLOOKUP(Table13[[#This Row],[kbli5]],Table1[[#All],[kbli5]:[digital_hijau]],3,)</f>
        <v>Penyiaran TV analog; chanel tv analog; RTV; TVRI;</v>
      </c>
      <c r="E1076" s="53" t="str">
        <f>VLOOKUP(Table13[[#This Row],[kbli5]],kata_kunci!$B:$H,4,FALSE)</f>
        <v/>
      </c>
      <c r="F1076" s="53" t="str">
        <f>VLOOKUP(Table13[[#This Row],[kbli5]],Table1[[#All],[kbli5]:[digital_hijau]],5,)</f>
        <v>Esensial</v>
      </c>
      <c r="G1076" s="53" t="str">
        <f>VLOOKUP(Table13[[#This Row],[kbli5]],Table1[[#All],[kbli5]:[digital_hijau]],6,)</f>
        <v>Industri Digital;</v>
      </c>
      <c r="H1076" s="54" t="str">
        <f>VLOOKUP(Table13[[#This Row],[kbli5]],kata_kunci!$B:$H,3,FALSE)</f>
        <v>saluran tv analog; stasiun tv; program sudah terjadwal dan tidak bisa diulang oleh penonton;</v>
      </c>
      <c r="I1076" s="84" t="str">
        <f>VLOOKUP(Table13[[#This Row],[kbli5]],kata_kunci!$B:$H,5,FALSE)</f>
        <v/>
      </c>
      <c r="J1076" s="84" t="str">
        <f>VLOOKUP(Table13[[#This Row],[kbli5]],kata_kunci!$B:$H,6,FALSE)</f>
        <v/>
      </c>
      <c r="K1076" s="84" t="str">
        <f>VLOOKUP(Table13[[#This Row],[kbli5]],kata_kunci!$B:$H,7,FALSE)</f>
        <v/>
      </c>
    </row>
    <row r="1077" spans="1:11" ht="45.75" thickBot="1" x14ac:dyDescent="0.3">
      <c r="A1077" s="53" t="s">
        <v>27</v>
      </c>
      <c r="B1077" s="40">
        <v>60202</v>
      </c>
      <c r="C1077" s="16" t="s">
        <v>1322</v>
      </c>
      <c r="D1077" s="30" t="e">
        <f>VLOOKUP(Table13[[#This Row],[kbli5]],Table1[[#All],[kbli5]:[digital_hijau]],3,)</f>
        <v>#N/A</v>
      </c>
      <c r="E1077" s="53" t="str">
        <f>VLOOKUP(Table13[[#This Row],[kbli5]],kata_kunci!$B:$H,4,FALSE)</f>
        <v/>
      </c>
      <c r="F1077" s="53" t="e">
        <f>VLOOKUP(Table13[[#This Row],[kbli5]],Table1[[#All],[kbli5]:[digital_hijau]],5,)</f>
        <v>#N/A</v>
      </c>
      <c r="G1077" s="35" t="s">
        <v>2090</v>
      </c>
      <c r="H1077" s="89" t="str">
        <f>VLOOKUP(Table13[[#This Row],[kbli5]],kata_kunci!$B:$H,3,FALSE)</f>
        <v>saluran tv digital; kualitas gambar lebih jernih; stasiun tv digital; ditangkap via set top box; saluran tv digital berbayar;</v>
      </c>
      <c r="I1077" s="84" t="str">
        <f>VLOOKUP(Table13[[#This Row],[kbli5]],kata_kunci!$B:$H,5,FALSE)</f>
        <v/>
      </c>
      <c r="J1077" s="84" t="str">
        <f>VLOOKUP(Table13[[#This Row],[kbli5]],kata_kunci!$B:$H,6,FALSE)</f>
        <v/>
      </c>
      <c r="K1077" s="84" t="str">
        <f>VLOOKUP(Table13[[#This Row],[kbli5]],kata_kunci!$B:$H,7,FALSE)</f>
        <v/>
      </c>
    </row>
    <row r="1078" spans="1:11" ht="45.75" thickBot="1" x14ac:dyDescent="0.3">
      <c r="A1078" s="53" t="s">
        <v>27</v>
      </c>
      <c r="B1078" s="40">
        <v>60203</v>
      </c>
      <c r="C1078" s="16" t="s">
        <v>1323</v>
      </c>
      <c r="D1078" s="30" t="e">
        <f>VLOOKUP(Table13[[#This Row],[kbli5]],Table1[[#All],[kbli5]:[digital_hijau]],3,)</f>
        <v>#N/A</v>
      </c>
      <c r="E1078" s="53" t="str">
        <f>VLOOKUP(Table13[[#This Row],[kbli5]],kata_kunci!$B:$H,4,FALSE)</f>
        <v/>
      </c>
      <c r="F1078" s="53" t="e">
        <f>VLOOKUP(Table13[[#This Row],[kbli5]],Table1[[#All],[kbli5]:[digital_hijau]],5,)</f>
        <v>#N/A</v>
      </c>
      <c r="G1078" s="35" t="s">
        <v>2090</v>
      </c>
      <c r="H1078" s="89" t="str">
        <f>VLOOKUP(Table13[[#This Row],[kbli5]],kata_kunci!$B:$H,3,FALSE)</f>
        <v>tayangan sudah dikurasi oleh penyedia;</v>
      </c>
      <c r="I1078" s="84" t="str">
        <f>VLOOKUP(Table13[[#This Row],[kbli5]],kata_kunci!$B:$H,5,FALSE)</f>
        <v>platform penyedia streaming audio atas permintaan;</v>
      </c>
      <c r="J1078" s="84" t="str">
        <f>VLOOKUP(Table13[[#This Row],[kbli5]],kata_kunci!$B:$H,6,FALSE)</f>
        <v/>
      </c>
      <c r="K1078" s="84" t="str">
        <f>VLOOKUP(Table13[[#This Row],[kbli5]],kata_kunci!$B:$H,7,FALSE)</f>
        <v>siaran video;</v>
      </c>
    </row>
    <row r="1079" spans="1:11" ht="78" thickBot="1" x14ac:dyDescent="0.3">
      <c r="A1079" s="53" t="s">
        <v>27</v>
      </c>
      <c r="B1079" s="40">
        <v>60311</v>
      </c>
      <c r="C1079" s="16" t="s">
        <v>34</v>
      </c>
      <c r="D1079" s="30" t="str">
        <f>VLOOKUP(Table13[[#This Row],[kbli5]],Table1[[#All],[kbli5]:[digital_hijau]],3,)</f>
        <v>Kantor berita pemerintah; ANTARA;</v>
      </c>
      <c r="E1079" s="53" t="str">
        <f>VLOOKUP(Table13[[#This Row],[kbli5]],kata_kunci!$B:$H,4,FALSE)</f>
        <v>siaran radio pemerintah;</v>
      </c>
      <c r="F1079" s="53" t="str">
        <f>VLOOKUP(Table13[[#This Row],[kbli5]],Table1[[#All],[kbli5]:[digital_hijau]],5,)</f>
        <v>Esensial</v>
      </c>
      <c r="G1079" s="53" t="str">
        <f>VLOOKUP(Table13[[#This Row],[kbli5]],Table1[[#All],[kbli5]:[digital_hijau]],6,)</f>
        <v>Industri Digital;</v>
      </c>
      <c r="H1079" s="54" t="str">
        <f>VLOOKUP(Table13[[#This Row],[kbli5]],kata_kunci!$B:$H,3,FALSE)</f>
        <v>aktivitas pencarian; pengumpulan; pengolahan; dan penyebarluasan berita oleh pemerintah melalui media cetak maupun elektornik dengan tujuan menyampia=kan ke makassay;</v>
      </c>
      <c r="I1079" s="84" t="str">
        <f>VLOOKUP(Table13[[#This Row],[kbli5]],kata_kunci!$B:$H,5,FALSE)</f>
        <v>menyiarkan informasi dengan media radio milik pemerintah;</v>
      </c>
      <c r="J1079" s="84" t="str">
        <f>VLOOKUP(Table13[[#This Row],[kbli5]],kata_kunci!$B:$H,6,FALSE)</f>
        <v/>
      </c>
      <c r="K1079" s="84" t="str">
        <f>VLOOKUP(Table13[[#This Row],[kbli5]],kata_kunci!$B:$H,7,FALSE)</f>
        <v/>
      </c>
    </row>
    <row r="1080" spans="1:11" ht="30.75" thickBot="1" x14ac:dyDescent="0.3">
      <c r="A1080" s="53" t="s">
        <v>27</v>
      </c>
      <c r="B1080" s="40">
        <v>60312</v>
      </c>
      <c r="C1080" s="16" t="s">
        <v>1324</v>
      </c>
      <c r="D1080" s="30" t="e">
        <f>VLOOKUP(Table13[[#This Row],[kbli5]],Table1[[#All],[kbli5]:[digital_hijau]],3,)</f>
        <v>#N/A</v>
      </c>
      <c r="E1080" s="53" t="str">
        <f>VLOOKUP(Table13[[#This Row],[kbli5]],kata_kunci!$B:$H,4,FALSE)</f>
        <v/>
      </c>
      <c r="F1080" s="53" t="e">
        <f>VLOOKUP(Table13[[#This Row],[kbli5]],Table1[[#All],[kbli5]:[digital_hijau]],5,)</f>
        <v>#N/A</v>
      </c>
      <c r="G1080" s="35" t="s">
        <v>2090</v>
      </c>
      <c r="H1080" s="89" t="str">
        <f>VLOOKUP(Table13[[#This Row],[kbli5]],kata_kunci!$B:$H,3,FALSE)</f>
        <v>pencari berita; wartawan (bukan pegawai); kantor berita;</v>
      </c>
      <c r="I1080" s="84" t="str">
        <f>VLOOKUP(Table13[[#This Row],[kbli5]],kata_kunci!$B:$H,5,FALSE)</f>
        <v>pencarian; pengumpulan; pengolahan;dan penyebarluasan berita oleh swasta melalui media (baik cetak maupun elektronik); penerbit; atau penyiar; dengan tujuan untuk menyampaikannya kepada masyarakat sebagai informasi;</v>
      </c>
      <c r="J1080" s="84" t="str">
        <f>VLOOKUP(Table13[[#This Row],[kbli5]],kata_kunci!$B:$H,6,FALSE)</f>
        <v/>
      </c>
      <c r="K1080" s="84" t="str">
        <f>VLOOKUP(Table13[[#This Row],[kbli5]],kata_kunci!$B:$H,7,FALSE)</f>
        <v/>
      </c>
    </row>
    <row r="1081" spans="1:11" ht="45.75" thickBot="1" x14ac:dyDescent="0.3">
      <c r="A1081" s="53" t="s">
        <v>27</v>
      </c>
      <c r="B1081" s="40">
        <v>60390</v>
      </c>
      <c r="C1081" s="16" t="s">
        <v>1325</v>
      </c>
      <c r="D1081" s="30" t="e">
        <f>VLOOKUP(Table13[[#This Row],[kbli5]],Table1[[#All],[kbli5]:[digital_hijau]],3,)</f>
        <v>#N/A</v>
      </c>
      <c r="E1081" s="53" t="str">
        <f>VLOOKUP(Table13[[#This Row],[kbli5]],kata_kunci!$B:$H,4,FALSE)</f>
        <v>jejaring sosial;</v>
      </c>
      <c r="F1081" s="53" t="e">
        <f>VLOOKUP(Table13[[#This Row],[kbli5]],Table1[[#All],[kbli5]:[digital_hijau]],5,)</f>
        <v>#N/A</v>
      </c>
      <c r="G1081" s="35" t="s">
        <v>2090</v>
      </c>
      <c r="H1081" s="89" t="str">
        <f>VLOOKUP(Table13[[#This Row],[kbli5]],kata_kunci!$B:$H,3,FALSE)</f>
        <v>fokus platform nya adalah sosmed; distribusi konten campuran; langganan kreator; monetisasi data pengguna; pemilik akun bebas mengunggah konten;affiliate marketing??;</v>
      </c>
      <c r="I1081" s="84" t="str">
        <f>VLOOKUP(Table13[[#This Row],[kbli5]],kata_kunci!$B:$H,5,FALSE)</f>
        <v>membuat konten di sosmed; membuat konten di situs blog; wiki; situs game; membuat ebook atau buku elektronik yang tidak terkait dengan kegiatan penerbitan; (apakah semua kegiatan ini harus ada duitnya dulu baru dianggap usaha?);</v>
      </c>
      <c r="J1081" s="84" t="str">
        <f>VLOOKUP(Table13[[#This Row],[kbli5]],kata_kunci!$B:$H,6,FALSE)</f>
        <v/>
      </c>
      <c r="K1081" s="84" t="str">
        <f>VLOOKUP(Table13[[#This Row],[kbli5]],kata_kunci!$B:$H,7,FALSE)</f>
        <v>konten pada profil pengguna medsos; platform distribusi game online (non publisher); buku online yang tidak terkait penerbit;</v>
      </c>
    </row>
    <row r="1082" spans="1:11" ht="45.75" thickBot="1" x14ac:dyDescent="0.3">
      <c r="A1082" s="53" t="s">
        <v>35</v>
      </c>
      <c r="B1082" s="40">
        <v>61101</v>
      </c>
      <c r="C1082" s="16" t="s">
        <v>36</v>
      </c>
      <c r="D1082" s="30" t="str">
        <f>VLOOKUP(Table13[[#This Row],[kbli5]],Table1[[#All],[kbli5]:[digital_hijau]],3,)</f>
        <v>Telekomunikasi kabel; Indihome;</v>
      </c>
      <c r="E1082" s="53" t="str">
        <f>VLOOKUP(Table13[[#This Row],[kbli5]],kata_kunci!$B:$H,4,FALSE)</f>
        <v>jaringan telekomunikasi; kabel;</v>
      </c>
      <c r="F1082" s="53" t="str">
        <f>VLOOKUP(Table13[[#This Row],[kbli5]],Table1[[#All],[kbli5]:[digital_hijau]],5,)</f>
        <v>Umum Ditemukan</v>
      </c>
      <c r="G1082" s="35" t="s">
        <v>2090</v>
      </c>
      <c r="H1082" s="89" t="str">
        <f>VLOOKUP(Table13[[#This Row],[kbli5]],kata_kunci!$B:$H,3,FALSE)</f>
        <v>penyediaan jaringan telekomunikasi berbasis kabel. Bukan aktivitas instalasi kabel jaringan tanpa pengoperasioan fasilitas (masuk ke 43212). 6110 infrastruktur dasar : pondasi jaringan;ISP dengan infrastruktur; NAP; sistem komunikasi data; jaringan kabel/ satelit/ nirkabel. Pemilik operator trasnmisi fisik;</v>
      </c>
      <c r="I1082" s="84" t="str">
        <f>VLOOKUP(Table13[[#This Row],[kbli5]],kata_kunci!$B:$H,5,FALSE)</f>
        <v>pengoperasioan; pemeliharaan; penyediaan jaringan telekomunikasi berbasis kabel untuk transmisi suara; data; teks; audio; dan vidio; penyediaan jaringan akses atau distribusi kabel kepada pelanggan; penyediaan jaringan telekomunikasi antarwilayah; antarpulau; antarnegara; antargedung; dll; penyewaan kapasitas jaringan kabel;</v>
      </c>
      <c r="J1082" s="84" t="str">
        <f>VLOOKUP(Table13[[#This Row],[kbli5]],kata_kunci!$B:$H,6,FALSE)</f>
        <v/>
      </c>
      <c r="K1082" s="84" t="str">
        <f>VLOOKUP(Table13[[#This Row],[kbli5]],kata_kunci!$B:$H,7,FALSE)</f>
        <v/>
      </c>
    </row>
    <row r="1083" spans="1:11" ht="116.25" thickBot="1" x14ac:dyDescent="0.3">
      <c r="A1083" s="53" t="s">
        <v>35</v>
      </c>
      <c r="B1083" s="40">
        <v>61102</v>
      </c>
      <c r="C1083" s="16" t="s">
        <v>37</v>
      </c>
      <c r="D1083" s="30" t="str">
        <f>VLOOKUP(Table13[[#This Row],[kbli5]],Table1[[#All],[kbli5]:[digital_hijau]],3,)</f>
        <v>Telekomunikasi kabel; Telkomsel;</v>
      </c>
      <c r="E1083" s="53" t="str">
        <f>VLOOKUP(Table13[[#This Row],[kbli5]],kata_kunci!$B:$H,4,FALSE)</f>
        <v/>
      </c>
      <c r="F1083" s="53" t="str">
        <f>VLOOKUP(Table13[[#This Row],[kbli5]],Table1[[#All],[kbli5]:[digital_hijau]],5,)</f>
        <v>Umum Ditemukan</v>
      </c>
      <c r="G1083" s="53" t="str">
        <f>VLOOKUP(Table13[[#This Row],[kbli5]],Table1[[#All],[kbli5]:[digital_hijau]],6,)</f>
        <v>Industri Digital;</v>
      </c>
      <c r="H1083" s="54" t="str">
        <f>VLOOKUP(Table13[[#This Row],[kbli5]],kata_kunci!$B:$H,3,FALSE)</f>
        <v>penyediaan jaringan telekomunikasi nirkabel. menggunakan gelombang elektromagnetik. 6110 infrastruktur dasar : pondasi jaringan;ISP dengan infrastruktur; NAP; sistem komunikasi data; jaringan kabel/ satelit/ nirkabel. Pemilik operator trasnmisi fisik;</v>
      </c>
      <c r="I1083" s="84" t="str">
        <f>VLOOKUP(Table13[[#This Row],[kbli5]],kata_kunci!$B:$H,5,FALSE)</f>
        <v>pengoperasioan; pemeliharaan; penyediaan jaringan telekomunikasi menggunakan infrastruktur telekomunikasi yang memanfaatkan gelompang elektromagnetik untuk transmisi suara; data; teks; audio; dan vidio di permukaan bumi;</v>
      </c>
      <c r="J1083" s="84" t="str">
        <f>VLOOKUP(Table13[[#This Row],[kbli5]],kata_kunci!$B:$H,6,FALSE)</f>
        <v/>
      </c>
      <c r="K1083" s="84" t="str">
        <f>VLOOKUP(Table13[[#This Row],[kbli5]],kata_kunci!$B:$H,7,FALSE)</f>
        <v>tower BTS;</v>
      </c>
    </row>
    <row r="1084" spans="1:11" ht="78" thickBot="1" x14ac:dyDescent="0.3">
      <c r="A1084" s="53" t="s">
        <v>35</v>
      </c>
      <c r="B1084" s="40">
        <v>61103</v>
      </c>
      <c r="C1084" s="16" t="s">
        <v>1326</v>
      </c>
      <c r="D1084" s="30" t="str">
        <f>VLOOKUP(Table13[[#This Row],[kbli5]],Table1[[#All],[kbli5]:[digital_hijau]],3,)</f>
        <v>Telekomunikasi satelit; telkomsat; satelit nusantara tiga; indosat ooredoo hutchison;</v>
      </c>
      <c r="E1084" s="53" t="str">
        <f>VLOOKUP(Table13[[#This Row],[kbli5]],kata_kunci!$B:$H,4,FALSE)</f>
        <v/>
      </c>
      <c r="F1084" s="53" t="str">
        <f>VLOOKUP(Table13[[#This Row],[kbli5]],Table1[[#All],[kbli5]:[digital_hijau]],5,)</f>
        <v>Esensial</v>
      </c>
      <c r="G1084" s="53" t="str">
        <f>VLOOKUP(Table13[[#This Row],[kbli5]],Table1[[#All],[kbli5]:[digital_hijau]],6,)</f>
        <v>Industri Digital;</v>
      </c>
      <c r="H1084" s="54" t="str">
        <f>VLOOKUP(Table13[[#This Row],[kbli5]],kata_kunci!$B:$H,3,FALSE)</f>
        <v>6110 infrastruktur dasar : pondasi jaringan;ISP dengan infrastruktur; NAP; sistem komunikasi data; jaringan kabel/ satelit/ nirkabel. Pemilik operator trasnmisi fisik;</v>
      </c>
      <c r="I1084" s="84" t="str">
        <f>VLOOKUP(Table13[[#This Row],[kbli5]],kata_kunci!$B:$H,5,FALSE)</f>
        <v/>
      </c>
      <c r="J1084" s="84" t="str">
        <f>VLOOKUP(Table13[[#This Row],[kbli5]],kata_kunci!$B:$H,6,FALSE)</f>
        <v/>
      </c>
      <c r="K1084" s="84" t="str">
        <f>VLOOKUP(Table13[[#This Row],[kbli5]],kata_kunci!$B:$H,7,FALSE)</f>
        <v/>
      </c>
    </row>
    <row r="1085" spans="1:11" ht="65.25" thickBot="1" x14ac:dyDescent="0.3">
      <c r="A1085" s="53" t="s">
        <v>35</v>
      </c>
      <c r="B1085" s="40">
        <v>61104</v>
      </c>
      <c r="C1085" s="16" t="s">
        <v>38</v>
      </c>
      <c r="D1085" s="30" t="str">
        <f>VLOOKUP(Table13[[#This Row],[kbli5]],Table1[[#All],[kbli5]:[digital_hijau]],3,)</f>
        <v>ISP; Indihome; perusahaan penyedia wifi untuk internet di rumah; my republik; cipta informatika cemerlang; solnet;</v>
      </c>
      <c r="E1085" s="53" t="str">
        <f>VLOOKUP(Table13[[#This Row],[kbli5]],kata_kunci!$B:$H,4,FALSE)</f>
        <v/>
      </c>
      <c r="F1085" s="53" t="str">
        <f>VLOOKUP(Table13[[#This Row],[kbli5]],Table1[[#All],[kbli5]:[digital_hijau]],5,)</f>
        <v>Umum Ditemukan</v>
      </c>
      <c r="G1085" s="53" t="str">
        <f>VLOOKUP(Table13[[#This Row],[kbli5]],Table1[[#All],[kbli5]:[digital_hijau]],6,)</f>
        <v>Industri Digital;</v>
      </c>
      <c r="H1085" s="54" t="str">
        <f>VLOOKUP(Table13[[#This Row],[kbli5]],kata_kunci!$B:$H,3,FALSE)</f>
        <v>produk yang dijual berupa akses internet. Jika ada perusahaan yang punya sambungan internet publik dan menjualnya ke pengguna akhir(hotspot publik);</v>
      </c>
      <c r="I1085" s="84" t="str">
        <f>VLOOKUP(Table13[[#This Row],[kbli5]],kata_kunci!$B:$H,5,FALSE)</f>
        <v/>
      </c>
      <c r="J1085" s="84" t="str">
        <f>VLOOKUP(Table13[[#This Row],[kbli5]],kata_kunci!$B:$H,6,FALSE)</f>
        <v/>
      </c>
      <c r="K1085" s="84" t="str">
        <f>VLOOKUP(Table13[[#This Row],[kbli5]],kata_kunci!$B:$H,7,FALSE)</f>
        <v/>
      </c>
    </row>
    <row r="1086" spans="1:11" ht="103.5" thickBot="1" x14ac:dyDescent="0.3">
      <c r="A1086" s="53" t="s">
        <v>35</v>
      </c>
      <c r="B1086" s="40">
        <v>61105</v>
      </c>
      <c r="C1086" s="16" t="s">
        <v>1327</v>
      </c>
      <c r="D1086" s="30" t="str">
        <f>VLOOKUP(Table13[[#This Row],[kbli5]],Table1[[#All],[kbli5]:[digital_hijau]],3,)</f>
        <v>pengelola jaringan atm bank; PT Aplikanusa Lintasarta;</v>
      </c>
      <c r="E1086" s="53" t="str">
        <f>VLOOKUP(Table13[[#This Row],[kbli5]],kata_kunci!$B:$H,4,FALSE)</f>
        <v/>
      </c>
      <c r="F1086" s="53" t="str">
        <f>VLOOKUP(Table13[[#This Row],[kbli5]],Table1[[#All],[kbli5]:[digital_hijau]],5,)</f>
        <v>Potensial</v>
      </c>
      <c r="G1086" s="53" t="str">
        <f>VLOOKUP(Table13[[#This Row],[kbli5]],Table1[[#All],[kbli5]:[digital_hijau]],6,)</f>
        <v>Industri Digital;</v>
      </c>
      <c r="H1086" s="54" t="str">
        <f>VLOOKUP(Table13[[#This Row],[kbli5]],kata_kunci!$B:$H,3,FALSE)</f>
        <v>penyedia komunikasi data berbasis IP/non IP (seperti komunikasi machine to machine; Internet of things; remote host) dengan jaminan ketersambungan dan keamanan;;jaringan privat berkecepatan tinggi untuk korporasi;</v>
      </c>
      <c r="I1086" s="84" t="str">
        <f>VLOOKUP(Table13[[#This Row],[kbli5]],kata_kunci!$B:$H,5,FALSE)</f>
        <v/>
      </c>
      <c r="J1086" s="84" t="str">
        <f>VLOOKUP(Table13[[#This Row],[kbli5]],kata_kunci!$B:$H,6,FALSE)</f>
        <v/>
      </c>
      <c r="K1086" s="84" t="str">
        <f>VLOOKUP(Table13[[#This Row],[kbli5]],kata_kunci!$B:$H,7,FALSE)</f>
        <v/>
      </c>
    </row>
    <row r="1087" spans="1:11" ht="52.5" thickBot="1" x14ac:dyDescent="0.3">
      <c r="A1087" s="53" t="s">
        <v>35</v>
      </c>
      <c r="B1087" s="40">
        <v>61106</v>
      </c>
      <c r="C1087" s="16" t="s">
        <v>39</v>
      </c>
      <c r="D1087" s="30" t="str">
        <f>VLOOKUP(Table13[[#This Row],[kbli5]],Table1[[#All],[kbli5]:[digital_hijau]],3,)</f>
        <v>Tv protokol internet (IPTV); Indihome TV; MNC Play; FirstMedia; UseeTV</v>
      </c>
      <c r="E1087" s="53" t="str">
        <f>VLOOKUP(Table13[[#This Row],[kbli5]],kata_kunci!$B:$H,4,FALSE)</f>
        <v/>
      </c>
      <c r="F1087" s="53" t="str">
        <f>VLOOKUP(Table13[[#This Row],[kbli5]],Table1[[#All],[kbli5]:[digital_hijau]],5,)</f>
        <v>Umum Ditemukan</v>
      </c>
      <c r="G1087" s="53" t="str">
        <f>VLOOKUP(Table13[[#This Row],[kbli5]],Table1[[#All],[kbli5]:[digital_hijau]],6,)</f>
        <v>Industri Digital;</v>
      </c>
      <c r="H1087" s="54" t="str">
        <f>VLOOKUP(Table13[[#This Row],[kbli5]],kata_kunci!$B:$H,3,FALSE)</f>
        <v>layanan konvergensi konten video/audio via jaringan IP dengan interaktivitas 2 arah dan jaminan quality of service;</v>
      </c>
      <c r="I1087" s="84" t="str">
        <f>VLOOKUP(Table13[[#This Row],[kbli5]],kata_kunci!$B:$H,5,FALSE)</f>
        <v/>
      </c>
      <c r="J1087" s="84" t="str">
        <f>VLOOKUP(Table13[[#This Row],[kbli5]],kata_kunci!$B:$H,6,FALSE)</f>
        <v/>
      </c>
      <c r="K1087" s="84" t="str">
        <f>VLOOKUP(Table13[[#This Row],[kbli5]],kata_kunci!$B:$H,7,FALSE)</f>
        <v/>
      </c>
    </row>
    <row r="1088" spans="1:11" ht="45.75" thickBot="1" x14ac:dyDescent="0.3">
      <c r="A1088" s="53" t="s">
        <v>35</v>
      </c>
      <c r="B1088" s="40">
        <v>61107</v>
      </c>
      <c r="C1088" s="16" t="s">
        <v>1328</v>
      </c>
      <c r="D1088" s="30" t="e">
        <f>VLOOKUP(Table13[[#This Row],[kbli5]],Table1[[#All],[kbli5]:[digital_hijau]],3,)</f>
        <v>#N/A</v>
      </c>
      <c r="E1088" s="53" t="str">
        <f>VLOOKUP(Table13[[#This Row],[kbli5]],kata_kunci!$B:$H,4,FALSE)</f>
        <v/>
      </c>
      <c r="F1088" s="53" t="e">
        <f>VLOOKUP(Table13[[#This Row],[kbli5]],Table1[[#All],[kbli5]:[digital_hijau]],5,)</f>
        <v>#N/A</v>
      </c>
      <c r="G1088" s="35" t="s">
        <v>2090</v>
      </c>
      <c r="H1088" s="89" t="str">
        <f>VLOOKUP(Table13[[#This Row],[kbli5]],kata_kunci!$B:$H,3,FALSE)</f>
        <v>Penyaluran trafik dan routing untuk menghubungkan ISP ke jaringan internasional (IP Transit) atau domestik (Internet exchange);</v>
      </c>
      <c r="I1088" s="84" t="str">
        <f>VLOOKUP(Table13[[#This Row],[kbli5]],kata_kunci!$B:$H,5,FALSE)</f>
        <v/>
      </c>
      <c r="J1088" s="84" t="str">
        <f>VLOOKUP(Table13[[#This Row],[kbli5]],kata_kunci!$B:$H,6,FALSE)</f>
        <v/>
      </c>
      <c r="K1088" s="84" t="str">
        <f>VLOOKUP(Table13[[#This Row],[kbli5]],kata_kunci!$B:$H,7,FALSE)</f>
        <v/>
      </c>
    </row>
    <row r="1089" spans="1:11" ht="52.5" thickBot="1" x14ac:dyDescent="0.3">
      <c r="A1089" s="53" t="s">
        <v>35</v>
      </c>
      <c r="B1089" s="40">
        <v>61108</v>
      </c>
      <c r="C1089" s="16" t="s">
        <v>40</v>
      </c>
      <c r="D1089" s="30" t="str">
        <f>VLOOKUP(Table13[[#This Row],[kbli5]],Table1[[#All],[kbli5]:[digital_hijau]],3,)</f>
        <v>Teleponi dasar; telpon kabel; Telkom;</v>
      </c>
      <c r="E1089" s="53" t="str">
        <f>VLOOKUP(Table13[[#This Row],[kbli5]],kata_kunci!$B:$H,4,FALSE)</f>
        <v/>
      </c>
      <c r="F1089" s="53" t="str">
        <f>VLOOKUP(Table13[[#This Row],[kbli5]],Table1[[#All],[kbli5]:[digital_hijau]],5,)</f>
        <v>Esensial</v>
      </c>
      <c r="G1089" s="53" t="str">
        <f>VLOOKUP(Table13[[#This Row],[kbli5]],Table1[[#All],[kbli5]:[digital_hijau]],6,)</f>
        <v>Industri Digital;</v>
      </c>
      <c r="H1089" s="54" t="str">
        <f>VLOOKUP(Table13[[#This Row],[kbli5]],kata_kunci!$B:$H,3,FALSE)</f>
        <v>Layanan suara (voice) dasar langsung ke pelanggan via teknologi circuit switched atau lainnya;</v>
      </c>
      <c r="I1089" s="84" t="str">
        <f>VLOOKUP(Table13[[#This Row],[kbli5]],kata_kunci!$B:$H,5,FALSE)</f>
        <v/>
      </c>
      <c r="J1089" s="84" t="str">
        <f>VLOOKUP(Table13[[#This Row],[kbli5]],kata_kunci!$B:$H,6,FALSE)</f>
        <v/>
      </c>
      <c r="K1089" s="84" t="str">
        <f>VLOOKUP(Table13[[#This Row],[kbli5]],kata_kunci!$B:$H,7,FALSE)</f>
        <v/>
      </c>
    </row>
    <row r="1090" spans="1:11" ht="45.75" thickBot="1" x14ac:dyDescent="0.3">
      <c r="A1090" s="53" t="s">
        <v>35</v>
      </c>
      <c r="B1090" s="40">
        <v>61201</v>
      </c>
      <c r="C1090" s="16" t="s">
        <v>1329</v>
      </c>
      <c r="D1090" s="30" t="e">
        <f>VLOOKUP(Table13[[#This Row],[kbli5]],Table1[[#All],[kbli5]:[digital_hijau]],3,)</f>
        <v>#N/A</v>
      </c>
      <c r="E1090" s="53" t="str">
        <f>VLOOKUP(Table13[[#This Row],[kbli5]],kata_kunci!$B:$H,4,FALSE)</f>
        <v/>
      </c>
      <c r="F1090" s="53" t="e">
        <f>VLOOKUP(Table13[[#This Row],[kbli5]],Table1[[#All],[kbli5]:[digital_hijau]],5,)</f>
        <v>#N/A</v>
      </c>
      <c r="G1090" s="35" t="s">
        <v>2090</v>
      </c>
      <c r="H1090" s="89" t="str">
        <f>VLOOKUP(Table13[[#This Row],[kbli5]],kata_kunci!$B:$H,3,FALSE)</f>
        <v>reseller internet tidak resmi (orang yang menjual internet yang dibelinya kepada orang lain); reseller atau agen yang menjual internet resmi (mencari pelanggan; perantara; mendapat komisi). sederhananya “Perusahaan telekomunikasi tanpa jaringan sendiri; tetapi menjual layanan operator lain secara resmi.”;</v>
      </c>
      <c r="I1090" s="84" t="str">
        <f>VLOOKUP(Table13[[#This Row],[kbli5]],kata_kunci!$B:$H,5,FALSE)</f>
        <v>menjual kembali internet;</v>
      </c>
      <c r="J1090" s="84" t="str">
        <f>VLOOKUP(Table13[[#This Row],[kbli5]],kata_kunci!$B:$H,6,FALSE)</f>
        <v/>
      </c>
      <c r="K1090" s="84" t="str">
        <f>VLOOKUP(Table13[[#This Row],[kbli5]],kata_kunci!$B:$H,7,FALSE)</f>
        <v/>
      </c>
    </row>
    <row r="1091" spans="1:11" ht="78" thickBot="1" x14ac:dyDescent="0.3">
      <c r="A1091" s="53" t="s">
        <v>35</v>
      </c>
      <c r="B1091" s="40">
        <v>61209</v>
      </c>
      <c r="C1091" s="16" t="s">
        <v>41</v>
      </c>
      <c r="D1091" s="30" t="str">
        <f>VLOOKUP(Table13[[#This Row],[kbli5]],Table1[[#All],[kbli5]:[digital_hijau]],3,)</f>
        <v>Jasa Intemediasi Telekomunikasi; wartel, warnet; jasa pihak ketiga yang memasang wifi/ kabel &amp; tiang internet; pemasangan tv kabel; JUAL PULSA; KONTER PULSA; jual kartu perdana;</v>
      </c>
      <c r="E1091" s="53" t="str">
        <f>VLOOKUP(Table13[[#This Row],[kbli5]],kata_kunci!$B:$H,4,FALSE)</f>
        <v/>
      </c>
      <c r="F1091" s="53" t="str">
        <f>VLOOKUP(Table13[[#This Row],[kbli5]],Table1[[#All],[kbli5]:[digital_hijau]],5,)</f>
        <v>Umum Ditemukan</v>
      </c>
      <c r="G1091" s="53" t="str">
        <f>VLOOKUP(Table13[[#This Row],[kbli5]],Table1[[#All],[kbli5]:[digital_hijau]],6,)</f>
        <v>Industri Digital;</v>
      </c>
      <c r="H1091" s="54" t="str">
        <f>VLOOKUP(Table13[[#This Row],[kbli5]],kata_kunci!$B:$H,3,FALSE)</f>
        <v>jasa intermediasi = perantara (reseller; marketing agen; agen perumahan);;menjual kembali / penjualan kembali jasa telekomunikasi kabel; nirkabel; dan saterlit;</v>
      </c>
      <c r="I1091" s="84" t="str">
        <f>VLOOKUP(Table13[[#This Row],[kbli5]],kata_kunci!$B:$H,5,FALSE)</f>
        <v/>
      </c>
      <c r="J1091" s="84" t="str">
        <f>VLOOKUP(Table13[[#This Row],[kbli5]],kata_kunci!$B:$H,6,FALSE)</f>
        <v/>
      </c>
      <c r="K1091" s="84" t="str">
        <f>VLOOKUP(Table13[[#This Row],[kbli5]],kata_kunci!$B:$H,7,FALSE)</f>
        <v>JUAL PULSA; KONTER PULSA; jual kartu perdana;</v>
      </c>
    </row>
    <row r="1092" spans="1:11" ht="45.75" thickBot="1" x14ac:dyDescent="0.3">
      <c r="A1092" s="53" t="s">
        <v>35</v>
      </c>
      <c r="B1092" s="40">
        <v>61901</v>
      </c>
      <c r="C1092" s="16" t="s">
        <v>1330</v>
      </c>
      <c r="D1092" s="30" t="e">
        <f>VLOOKUP(Table13[[#This Row],[kbli5]],Table1[[#All],[kbli5]:[digital_hijau]],3,)</f>
        <v>#N/A</v>
      </c>
      <c r="E1092" s="53" t="str">
        <f>VLOOKUP(Table13[[#This Row],[kbli5]],kata_kunci!$B:$H,4,FALSE)</f>
        <v/>
      </c>
      <c r="F1092" s="53" t="e">
        <f>VLOOKUP(Table13[[#This Row],[kbli5]],Table1[[#All],[kbli5]:[digital_hijau]],5,)</f>
        <v>#N/A</v>
      </c>
      <c r="G1092" s="35" t="s">
        <v>2090</v>
      </c>
      <c r="H1092" s="89" t="str">
        <f>VLOOKUP(Table13[[#This Row],[kbli5]],kata_kunci!$B:$H,3,FALSE)</f>
        <v>6190 layanan nilai tambah. aplikasi &amp; konten ekstra : premium call. sms premiun; VoIP (tanpa infrastruktur). Fokus pada fitur tambahan di atas jaringan dasar;</v>
      </c>
      <c r="I1092" s="84" t="str">
        <f>VLOOKUP(Table13[[#This Row],[kbli5]],kata_kunci!$B:$H,5,FALSE)</f>
        <v/>
      </c>
      <c r="J1092" s="84" t="str">
        <f>VLOOKUP(Table13[[#This Row],[kbli5]],kata_kunci!$B:$H,6,FALSE)</f>
        <v/>
      </c>
      <c r="K1092" s="84" t="str">
        <f>VLOOKUP(Table13[[#This Row],[kbli5]],kata_kunci!$B:$H,7,FALSE)</f>
        <v/>
      </c>
    </row>
    <row r="1093" spans="1:11" ht="30.75" thickBot="1" x14ac:dyDescent="0.3">
      <c r="A1093" s="53" t="s">
        <v>35</v>
      </c>
      <c r="B1093" s="40">
        <v>61902</v>
      </c>
      <c r="C1093" s="16" t="s">
        <v>1331</v>
      </c>
      <c r="D1093" s="30" t="e">
        <f>VLOOKUP(Table13[[#This Row],[kbli5]],Table1[[#All],[kbli5]:[digital_hijau]],3,)</f>
        <v>#N/A</v>
      </c>
      <c r="E1093" s="53" t="str">
        <f>VLOOKUP(Table13[[#This Row],[kbli5]],kata_kunci!$B:$H,4,FALSE)</f>
        <v/>
      </c>
      <c r="F1093" s="53" t="e">
        <f>VLOOKUP(Table13[[#This Row],[kbli5]],Table1[[#All],[kbli5]:[digital_hijau]],5,)</f>
        <v>#N/A</v>
      </c>
      <c r="G1093" s="35" t="s">
        <v>2090</v>
      </c>
      <c r="H1093" s="89" t="str">
        <f>VLOOKUP(Table13[[#This Row],[kbli5]],kata_kunci!$B:$H,3,FALSE)</f>
        <v>penyelenggaraan jasa panggilan telepon dengan tarif premium yang terhubung ke agen panggilan premium dan/ rekaman informasi dengan menggunakan kode akses intelligent network panggilan premium.;;apakah ini beda dengan panggilan telepon kartu hp biasa??;</v>
      </c>
      <c r="I1093" s="84" t="str">
        <f>VLOOKUP(Table13[[#This Row],[kbli5]],kata_kunci!$B:$H,5,FALSE)</f>
        <v/>
      </c>
      <c r="J1093" s="84" t="str">
        <f>VLOOKUP(Table13[[#This Row],[kbli5]],kata_kunci!$B:$H,6,FALSE)</f>
        <v/>
      </c>
      <c r="K1093" s="84" t="str">
        <f>VLOOKUP(Table13[[#This Row],[kbli5]],kata_kunci!$B:$H,7,FALSE)</f>
        <v/>
      </c>
    </row>
    <row r="1094" spans="1:11" ht="45.75" thickBot="1" x14ac:dyDescent="0.3">
      <c r="A1094" s="53" t="s">
        <v>35</v>
      </c>
      <c r="B1094" s="40">
        <v>61903</v>
      </c>
      <c r="C1094" s="16" t="s">
        <v>1332</v>
      </c>
      <c r="D1094" s="30" t="e">
        <f>VLOOKUP(Table13[[#This Row],[kbli5]],Table1[[#All],[kbli5]:[digital_hijau]],3,)</f>
        <v>#N/A</v>
      </c>
      <c r="E1094" s="53" t="str">
        <f>VLOOKUP(Table13[[#This Row],[kbli5]],kata_kunci!$B:$H,4,FALSE)</f>
        <v/>
      </c>
      <c r="F1094" s="53" t="e">
        <f>VLOOKUP(Table13[[#This Row],[kbli5]],Table1[[#All],[kbli5]:[digital_hijau]],5,)</f>
        <v>#N/A</v>
      </c>
      <c r="G1094" s="35" t="s">
        <v>2090</v>
      </c>
      <c r="H1094" s="89" t="str">
        <f>VLOOKUP(Table13[[#This Row],[kbli5]],kata_kunci!$B:$H,3,FALSE)</f>
        <v>aktivitas penyelenggaraan jasa panggilan atau ;komunikasi suara berbasis protokol internet (Voice-over Internet Protocol ;atau VoIP) tanpa memiliki dan mengoperasikan fasilitas transmisi; ;termasuk penyediaan jasa teleponi sambungan langsung jarak jauh dan ;sambungan langsung internasional melalui jaringan internet.;</v>
      </c>
      <c r="I1094" s="84" t="str">
        <f>VLOOKUP(Table13[[#This Row],[kbli5]],kata_kunci!$B:$H,5,FALSE)</f>
        <v/>
      </c>
      <c r="J1094" s="84" t="str">
        <f>VLOOKUP(Table13[[#This Row],[kbli5]],kata_kunci!$B:$H,6,FALSE)</f>
        <v/>
      </c>
      <c r="K1094" s="84" t="str">
        <f>VLOOKUP(Table13[[#This Row],[kbli5]],kata_kunci!$B:$H,7,FALSE)</f>
        <v/>
      </c>
    </row>
    <row r="1095" spans="1:11" ht="45.75" thickBot="1" x14ac:dyDescent="0.3">
      <c r="A1095" s="53" t="s">
        <v>35</v>
      </c>
      <c r="B1095" s="40">
        <v>61904</v>
      </c>
      <c r="C1095" s="16" t="s">
        <v>1333</v>
      </c>
      <c r="D1095" s="30" t="e">
        <f>VLOOKUP(Table13[[#This Row],[kbli5]],Table1[[#All],[kbli5]:[digital_hijau]],3,)</f>
        <v>#N/A</v>
      </c>
      <c r="E1095" s="53" t="str">
        <f>VLOOKUP(Table13[[#This Row],[kbli5]],kata_kunci!$B:$H,4,FALSE)</f>
        <v/>
      </c>
      <c r="F1095" s="53" t="e">
        <f>VLOOKUP(Table13[[#This Row],[kbli5]],Table1[[#All],[kbli5]:[digital_hijau]],5,)</f>
        <v>#N/A</v>
      </c>
      <c r="G1095" s="35" t="s">
        <v>2090</v>
      </c>
      <c r="H1095" s="89" t="str">
        <f>VLOOKUP(Table13[[#This Row],[kbli5]],kata_kunci!$B:$H,3,FALSE)</f>
        <v>aktivitas penyelenggaraan jasa panggilan dengan ;fitur tambahan berupa autentikasi pengguna atau sistem pengelolaan ;panggilan yang menggunakan kode akses khusus dan biasanya untuk ;keperluan pengendalian penggunaan dan penagihan secara prabayar atau ;terkelola.;;pengguna harus memasukkan PIN; kode akses; account number; voucher; atau login tertentu sebelum bisa menelepon.;;Contoh alur layanannya:;;Pelanggan membeli voucher/paket telepon;Pelanggan menelepon nomor akses tertentu;Sistem meminta PIN/kode pelanggan;Setelah terverifikasi; pelanggan dapat melakukan panggilan;Durasi dan biaya tercatat otomatis;</v>
      </c>
      <c r="I1095" s="84" t="str">
        <f>VLOOKUP(Table13[[#This Row],[kbli5]],kata_kunci!$B:$H,5,FALSE)</f>
        <v/>
      </c>
      <c r="J1095" s="84" t="str">
        <f>VLOOKUP(Table13[[#This Row],[kbli5]],kata_kunci!$B:$H,6,FALSE)</f>
        <v/>
      </c>
      <c r="K1095" s="84" t="str">
        <f>VLOOKUP(Table13[[#This Row],[kbli5]],kata_kunci!$B:$H,7,FALSE)</f>
        <v/>
      </c>
    </row>
    <row r="1096" spans="1:11" ht="45.75" thickBot="1" x14ac:dyDescent="0.3">
      <c r="A1096" s="53" t="s">
        <v>35</v>
      </c>
      <c r="B1096" s="40">
        <v>61905</v>
      </c>
      <c r="C1096" s="16" t="s">
        <v>42</v>
      </c>
      <c r="D1096" s="30" t="e">
        <f>VLOOKUP(Table13[[#This Row],[kbli5]],Table1[[#All],[kbli5]:[digital_hijau]],3,)</f>
        <v>#N/A</v>
      </c>
      <c r="E1096" s="53" t="str">
        <f>VLOOKUP(Table13[[#This Row],[kbli5]],kata_kunci!$B:$H,4,FALSE)</f>
        <v/>
      </c>
      <c r="F1096" s="53" t="e">
        <f>VLOOKUP(Table13[[#This Row],[kbli5]],Table1[[#All],[kbli5]:[digital_hijau]],5,)</f>
        <v>#N/A</v>
      </c>
      <c r="G1096" s="35" t="s">
        <v>2090</v>
      </c>
      <c r="H1096" s="89" t="str">
        <f>VLOOKUP(Table13[[#This Row],[kbli5]],kata_kunci!$B:$H,3,FALSE)</f>
        <v>penyelenggaraan jasa telekomunikasi khusus yang menggunakan teknologi dan/atau jaringan satelit; baik untuk kebutuhan komunikasi; navigasi; pemantauan; hingga penginderaan jauh; tetapi bukan sebagai penyedia konektivitas umum; bukan internet satelit umum untuk masyarakat seperti Wi-Fi rumahan.;</v>
      </c>
      <c r="I1096" s="84" t="str">
        <f>VLOOKUP(Table13[[#This Row],[kbli5]],kata_kunci!$B:$H,5,FALSE)</f>
        <v>menyediakan jasa telekomunikasi satelit;</v>
      </c>
      <c r="J1096" s="84" t="str">
        <f>VLOOKUP(Table13[[#This Row],[kbli5]],kata_kunci!$B:$H,6,FALSE)</f>
        <v/>
      </c>
      <c r="K1096" s="84" t="str">
        <f>VLOOKUP(Table13[[#This Row],[kbli5]],kata_kunci!$B:$H,7,FALSE)</f>
        <v/>
      </c>
    </row>
    <row r="1097" spans="1:11" ht="192.75" thickBot="1" x14ac:dyDescent="0.3">
      <c r="A1097" s="53" t="s">
        <v>35</v>
      </c>
      <c r="B1097" s="40">
        <v>61909</v>
      </c>
      <c r="C1097" s="16" t="s">
        <v>1334</v>
      </c>
      <c r="D1097" s="30" t="str">
        <f>VLOOKUP(Table13[[#This Row],[kbli5]],Table1[[#All],[kbli5]:[digital_hijau]],3,)</f>
        <v>Telekomunikasi lain; penyedia SMS blast; bank; SMS otp; Mekari Qontak; Twilio;</v>
      </c>
      <c r="E1097" s="53" t="str">
        <f>VLOOKUP(Table13[[#This Row],[kbli5]],kata_kunci!$B:$H,4,FALSE)</f>
        <v/>
      </c>
      <c r="F1097" s="53" t="str">
        <f>VLOOKUP(Table13[[#This Row],[kbli5]],Table1[[#All],[kbli5]:[digital_hijau]],5,)</f>
        <v>Potensial</v>
      </c>
      <c r="G1097" s="53" t="str">
        <f>VLOOKUP(Table13[[#This Row],[kbli5]],Table1[[#All],[kbli5]:[digital_hijau]],6,)</f>
        <v>Industri Digital;</v>
      </c>
      <c r="H1097" s="54" t="str">
        <f>VLOOKUP(Table13[[#This Row],[kbli5]],kata_kunci!$B:$H,3,FALSE)</f>
        <v>jasa telekomunikasi lainnya; termasuk penyediaan layanan data tingkat lanjut (SMS+; MMS+) tanpa memiliki dan mengoperasikan infrastruktur transmisi data sendiri; - penyediaan layanan SMS push dan notifikasi berbasis jaringan telepon (misalnya notifikasi SMS bank atau iklan).; ;penyedia SMS Blast/ SMS gateway; penyedia layanan OTP dan autentikasi biasanya dipakai oleh bank; fintech; e commerce; aplikasi online;</v>
      </c>
      <c r="I1097" s="84" t="str">
        <f>VLOOKUP(Table13[[#This Row],[kbli5]],kata_kunci!$B:$H,5,FALSE)</f>
        <v>menyediakan layanan telekomunikasi push; push sms;</v>
      </c>
      <c r="J1097" s="84" t="str">
        <f>VLOOKUP(Table13[[#This Row],[kbli5]],kata_kunci!$B:$H,6,FALSE)</f>
        <v/>
      </c>
      <c r="K1097" s="84" t="str">
        <f>VLOOKUP(Table13[[#This Row],[kbli5]],kata_kunci!$B:$H,7,FALSE)</f>
        <v/>
      </c>
    </row>
    <row r="1098" spans="1:11" ht="45.75" thickBot="1" x14ac:dyDescent="0.3">
      <c r="A1098" s="53" t="s">
        <v>35</v>
      </c>
      <c r="B1098" s="40">
        <v>62110</v>
      </c>
      <c r="C1098" s="16" t="s">
        <v>1335</v>
      </c>
      <c r="D1098" s="30" t="e">
        <f>VLOOKUP(Table13[[#This Row],[kbli5]],Table1[[#All],[kbli5]:[digital_hijau]],3,)</f>
        <v>#N/A</v>
      </c>
      <c r="E1098" s="53" t="str">
        <f>VLOOKUP(Table13[[#This Row],[kbli5]],kata_kunci!$B:$H,4,FALSE)</f>
        <v/>
      </c>
      <c r="F1098" s="53" t="e">
        <f>VLOOKUP(Table13[[#This Row],[kbli5]],Table1[[#All],[kbli5]:[digital_hijau]],5,)</f>
        <v>#N/A</v>
      </c>
      <c r="G1098" s="35" t="s">
        <v>2090</v>
      </c>
      <c r="H1098" s="89" t="str">
        <f>VLOOKUP(Table13[[#This Row],[kbli5]],kata_kunci!$B:$H,3,FALSE)</f>
        <v>pembuatan vidio gim (programming nya); mulai dari perancangan; pembuatan konten; pengujian; dan pemeliharaan; bukan kegiatan penerbitannya; kalau usahanya mencakup 2 kegiatan ini bagaimana?;</v>
      </c>
      <c r="I1098" s="84" t="str">
        <f>VLOOKUP(Table13[[#This Row],[kbli5]],kata_kunci!$B:$H,5,FALSE)</f>
        <v>mengembangkan vidio gim; membuat software/perangkat lunak vidio gim;</v>
      </c>
      <c r="J1098" s="84" t="str">
        <f>VLOOKUP(Table13[[#This Row],[kbli5]],kata_kunci!$B:$H,6,FALSE)</f>
        <v/>
      </c>
      <c r="K1098" s="84" t="str">
        <f>VLOOKUP(Table13[[#This Row],[kbli5]],kata_kunci!$B:$H,7,FALSE)</f>
        <v/>
      </c>
    </row>
    <row r="1099" spans="1:11" ht="45.75" thickBot="1" x14ac:dyDescent="0.3">
      <c r="A1099" s="53" t="s">
        <v>35</v>
      </c>
      <c r="B1099" s="40">
        <v>62191</v>
      </c>
      <c r="C1099" s="16" t="s">
        <v>1336</v>
      </c>
      <c r="D1099" s="30" t="e">
        <f>VLOOKUP(Table13[[#This Row],[kbli5]],Table1[[#All],[kbli5]:[digital_hijau]],3,)</f>
        <v>#N/A</v>
      </c>
      <c r="E1099" s="53" t="str">
        <f>VLOOKUP(Table13[[#This Row],[kbli5]],kata_kunci!$B:$H,4,FALSE)</f>
        <v/>
      </c>
      <c r="F1099" s="53" t="e">
        <f>VLOOKUP(Table13[[#This Row],[kbli5]],Table1[[#All],[kbli5]:[digital_hijau]],5,)</f>
        <v>#N/A</v>
      </c>
      <c r="G1099" s="35" t="s">
        <v>2090</v>
      </c>
      <c r="H1099" s="89" t="str">
        <f>VLOOKUP(Table13[[#This Row],[kbli5]],kata_kunci!$B:$H,3,FALSE)</f>
        <v>Pembuatan aplikasi / pemrograman untuk mendukung transaksi perdagangan;</v>
      </c>
      <c r="I1099" s="84" t="str">
        <f>VLOOKUP(Table13[[#This Row],[kbli5]],kata_kunci!$B:$H,5,FALSE)</f>
        <v>mengembangkan/ membuat aplikasi yang mendukung transaksi perdagangan;</v>
      </c>
      <c r="J1099" s="84" t="str">
        <f>VLOOKUP(Table13[[#This Row],[kbli5]],kata_kunci!$B:$H,6,FALSE)</f>
        <v/>
      </c>
      <c r="K1099" s="84" t="str">
        <f>VLOOKUP(Table13[[#This Row],[kbli5]],kata_kunci!$B:$H,7,FALSE)</f>
        <v/>
      </c>
    </row>
    <row r="1100" spans="1:11" ht="45.75" thickBot="1" x14ac:dyDescent="0.3">
      <c r="A1100" s="53" t="s">
        <v>35</v>
      </c>
      <c r="B1100" s="40">
        <v>62192</v>
      </c>
      <c r="C1100" s="16" t="s">
        <v>1337</v>
      </c>
      <c r="D1100" s="30" t="e">
        <f>VLOOKUP(Table13[[#This Row],[kbli5]],Table1[[#All],[kbli5]:[digital_hijau]],3,)</f>
        <v>#N/A</v>
      </c>
      <c r="E1100" s="53" t="str">
        <f>VLOOKUP(Table13[[#This Row],[kbli5]],kata_kunci!$B:$H,4,FALSE)</f>
        <v/>
      </c>
      <c r="F1100" s="53" t="e">
        <f>VLOOKUP(Table13[[#This Row],[kbli5]],Table1[[#All],[kbli5]:[digital_hijau]],5,)</f>
        <v>#N/A</v>
      </c>
      <c r="G1100" s="35" t="s">
        <v>2090</v>
      </c>
      <c r="H1100" s="89" t="str">
        <f>VLOOKUP(Table13[[#This Row],[kbli5]],kata_kunci!$B:$H,3,FALSE)</f>
        <v>Merancang konten; memodifikasi program; pengujian aplikasi; dan pemeliharaan konten ataupun kode program; TERMASUK juga pembuatan konten visual 3D atau dimodifikasi untuk ditampilkan dan dioperasikan melalui media imersif.;</v>
      </c>
      <c r="I1100" s="84" t="str">
        <f>VLOOKUP(Table13[[#This Row],[kbli5]],kata_kunci!$B:$H,5,FALSE)</f>
        <v>mengembangkan perangkat lunak aplikasi berbasis media imersif; membuat program; programming;</v>
      </c>
      <c r="J1100" s="84" t="str">
        <f>VLOOKUP(Table13[[#This Row],[kbli5]],kata_kunci!$B:$H,6,FALSE)</f>
        <v/>
      </c>
      <c r="K1100" s="84" t="str">
        <f>VLOOKUP(Table13[[#This Row],[kbli5]],kata_kunci!$B:$H,7,FALSE)</f>
        <v/>
      </c>
    </row>
    <row r="1101" spans="1:11" ht="45.75" thickBot="1" x14ac:dyDescent="0.3">
      <c r="A1101" s="53" t="s">
        <v>35</v>
      </c>
      <c r="B1101" s="40">
        <v>62193</v>
      </c>
      <c r="C1101" s="16" t="s">
        <v>1338</v>
      </c>
      <c r="D1101" s="30" t="e">
        <f>VLOOKUP(Table13[[#This Row],[kbli5]],Table1[[#All],[kbli5]:[digital_hijau]],3,)</f>
        <v>#N/A</v>
      </c>
      <c r="E1101" s="53" t="str">
        <f>VLOOKUP(Table13[[#This Row],[kbli5]],kata_kunci!$B:$H,4,FALSE)</f>
        <v>blockchain;</v>
      </c>
      <c r="F1101" s="53" t="e">
        <f>VLOOKUP(Table13[[#This Row],[kbli5]],Table1[[#All],[kbli5]:[digital_hijau]],5,)</f>
        <v>#N/A</v>
      </c>
      <c r="G1101" s="35" t="s">
        <v>2090</v>
      </c>
      <c r="H1101" s="89" t="str">
        <f>VLOOKUP(Table13[[#This Row],[kbli5]],kata_kunci!$B:$H,3,FALSE)</f>
        <v>Sederhananya blockchain adalah buku catatan digital bersama yang sulit diubah atau dipalsukan. Merancang konten; memodifikasi program; pengujian aplikasi; dan pemeliharaan konten ataupun kode program untuk mengimplementasikan smart contract serta mengembangkan aplikasi berbasis teknologi ledger terdistribusi lainnya (DLT adalah teknologi pencatatan data yang tersebar di banyak komputer/jaringan.);</v>
      </c>
      <c r="I1101" s="84" t="str">
        <f>VLOOKUP(Table13[[#This Row],[kbli5]],kata_kunci!$B:$H,5,FALSE)</f>
        <v>mengembangkan perangkat lunak aplikasi berbasis teknologi blockchain; membuat program; programming;</v>
      </c>
      <c r="J1101" s="84" t="str">
        <f>VLOOKUP(Table13[[#This Row],[kbli5]],kata_kunci!$B:$H,6,FALSE)</f>
        <v/>
      </c>
      <c r="K1101" s="84" t="str">
        <f>VLOOKUP(Table13[[#This Row],[kbli5]],kata_kunci!$B:$H,7,FALSE)</f>
        <v/>
      </c>
    </row>
    <row r="1102" spans="1:11" ht="60.75" thickBot="1" x14ac:dyDescent="0.3">
      <c r="A1102" s="53" t="s">
        <v>35</v>
      </c>
      <c r="B1102" s="40">
        <v>62194</v>
      </c>
      <c r="C1102" s="16" t="s">
        <v>1339</v>
      </c>
      <c r="D1102" s="30" t="e">
        <f>VLOOKUP(Table13[[#This Row],[kbli5]],Table1[[#All],[kbli5]:[digital_hijau]],3,)</f>
        <v>#N/A</v>
      </c>
      <c r="E1102" s="53" t="str">
        <f>VLOOKUP(Table13[[#This Row],[kbli5]],kata_kunci!$B:$H,4,FALSE)</f>
        <v>kecerdasan buatan; komponen dasar;</v>
      </c>
      <c r="F1102" s="53" t="e">
        <f>VLOOKUP(Table13[[#This Row],[kbli5]],Table1[[#All],[kbli5]:[digital_hijau]],5,)</f>
        <v>#N/A</v>
      </c>
      <c r="G1102" s="35" t="s">
        <v>2090</v>
      </c>
      <c r="H1102" s="89" t="str">
        <f>VLOOKUP(Table13[[#This Row],[kbli5]],kata_kunci!$B:$H,3,FALSE)</f>
        <v>Khusus pembuatan library atau framework; bersifat reusable; bukan pembuatan aplikasi AI untuk pengguna akhir; freelance atau pengusaha developer khusus pembuatan library (komponen dalam pemrograman) terkait AI;</v>
      </c>
      <c r="I1102" s="84" t="str">
        <f>VLOOKUP(Table13[[#This Row],[kbli5]],kata_kunci!$B:$H,5,FALSE)</f>
        <v>mengembangkan kode program atau modul pustaka (library); framework pendukung aplikasi yang mengimplementasikan Artificial Intelligent; membuat program; programming;</v>
      </c>
      <c r="J1102" s="84" t="str">
        <f>VLOOKUP(Table13[[#This Row],[kbli5]],kata_kunci!$B:$H,6,FALSE)</f>
        <v/>
      </c>
      <c r="K1102" s="84" t="str">
        <f>VLOOKUP(Table13[[#This Row],[kbli5]],kata_kunci!$B:$H,7,FALSE)</f>
        <v/>
      </c>
    </row>
    <row r="1103" spans="1:11" ht="192.75" thickBot="1" x14ac:dyDescent="0.3">
      <c r="A1103" s="53" t="s">
        <v>35</v>
      </c>
      <c r="B1103" s="40">
        <v>62199</v>
      </c>
      <c r="C1103" s="16" t="s">
        <v>43</v>
      </c>
      <c r="D1103" s="30" t="str">
        <f>VLOOKUP(Table13[[#This Row],[kbli5]],Table1[[#All],[kbli5]:[digital_hijau]],3,)</f>
        <v>Aktivitas pemrograman; programmer freelance; perusahaan digital pembuatan aplikasi/website (ada kegiatan pemrograman di dalamnya);</v>
      </c>
      <c r="E1103" s="53" t="str">
        <f>VLOOKUP(Table13[[#This Row],[kbli5]],kata_kunci!$B:$H,4,FALSE)</f>
        <v/>
      </c>
      <c r="F1103" s="53" t="str">
        <f>VLOOKUP(Table13[[#This Row],[kbli5]],Table1[[#All],[kbli5]:[digital_hijau]],5,)</f>
        <v>Umum Ditemukan</v>
      </c>
      <c r="G1103" s="53" t="str">
        <f>VLOOKUP(Table13[[#This Row],[kbli5]],Table1[[#All],[kbli5]:[digital_hijau]],6,)</f>
        <v>Industri Digital;</v>
      </c>
      <c r="H1103" s="54" t="str">
        <f>VLOOKUP(Table13[[#This Row],[kbli5]],kata_kunci!$B:$H,3,FALSE)</f>
        <v>aktivitas programming (pengembangan sistem perangkat lunak) secara umum atau yang SELAIN untuk e commerce; pemanfaatan tenologi blockchain; media imersif; pemrograman untuk komponen AI. TERMASUK juga perangkat lunak aplikasi untuk Internet of Things; keamanan siber; kebutuhan bisnis; keuangan; basis data; grafis; pemodelan; laman web; dan aplikasi khusus lainnya. aplikasi atau perangkat lunak digunakan oleh END USER.;</v>
      </c>
      <c r="I1103" s="84" t="str">
        <f>VLOOKUP(Table13[[#This Row],[kbli5]],kata_kunci!$B:$H,5,FALSE)</f>
        <v>mengembangkan sistem perangkat lunak; mengembangkan aplikasi; membuat aplikasi; membuat website; mengembangkan sistem keamanan siber;</v>
      </c>
      <c r="J1103" s="84" t="str">
        <f>VLOOKUP(Table13[[#This Row],[kbli5]],kata_kunci!$B:$H,6,FALSE)</f>
        <v/>
      </c>
      <c r="K1103" s="84" t="str">
        <f>VLOOKUP(Table13[[#This Row],[kbli5]],kata_kunci!$B:$H,7,FALSE)</f>
        <v/>
      </c>
    </row>
    <row r="1104" spans="1:11" ht="103.5" thickBot="1" x14ac:dyDescent="0.3">
      <c r="A1104" s="53" t="s">
        <v>35</v>
      </c>
      <c r="B1104" s="40">
        <v>62201</v>
      </c>
      <c r="C1104" s="16" t="s">
        <v>1340</v>
      </c>
      <c r="D1104" s="30" t="str">
        <f>VLOOKUP(Table13[[#This Row],[kbli5]],Table1[[#All],[kbli5]:[digital_hijau]],3,)</f>
        <v>Konsultansi &amp; keamanan siber; PT Netkrida Tuah Cakrawala;</v>
      </c>
      <c r="E1104" s="53" t="str">
        <f>VLOOKUP(Table13[[#This Row],[kbli5]],kata_kunci!$B:$H,4,FALSE)</f>
        <v>konsultansi; keamanan siber;</v>
      </c>
      <c r="F1104" s="53" t="str">
        <f>VLOOKUP(Table13[[#This Row],[kbli5]],Table1[[#All],[kbli5]:[digital_hijau]],5,)</f>
        <v>Potensial</v>
      </c>
      <c r="G1104" s="53" t="str">
        <f>VLOOKUP(Table13[[#This Row],[kbli5]],Table1[[#All],[kbli5]:[digital_hijau]],6,)</f>
        <v>Industri Digital;</v>
      </c>
      <c r="H1104" s="54" t="str">
        <f>VLOOKUP(Table13[[#This Row],[kbli5]],kata_kunci!$B:$H,3,FALSE)</f>
        <v xml:space="preserve">DENGAN ATAU TANPA layanan seperti instalasi sistem; pelatihan; dan dukungan pengguna. TERMASUK juga pemantauan; pengujian;dan analisis jaringan dan keamanan siber (tanpa mencakup pengembangan sistem dari awal); </v>
      </c>
      <c r="I1104" s="84" t="str">
        <f>VLOOKUP(Table13[[#This Row],[kbli5]],kata_kunci!$B:$H,5,FALSE)</f>
        <v>memberikan jasa konsultasi di bidang keamanan siber; merencanakan dan mengawasi keamanan informasi; menjadmin keamanan siber; menyusun kebijakan dan prosedur keamanan informasi;</v>
      </c>
      <c r="J1104" s="84" t="str">
        <f>VLOOKUP(Table13[[#This Row],[kbli5]],kata_kunci!$B:$H,6,FALSE)</f>
        <v/>
      </c>
      <c r="K1104" s="84" t="str">
        <f>VLOOKUP(Table13[[#This Row],[kbli5]],kata_kunci!$B:$H,7,FALSE)</f>
        <v/>
      </c>
    </row>
    <row r="1105" spans="1:11" ht="45.75" thickBot="1" x14ac:dyDescent="0.3">
      <c r="A1105" s="53" t="s">
        <v>35</v>
      </c>
      <c r="B1105" s="40">
        <v>62202</v>
      </c>
      <c r="C1105" s="16" t="s">
        <v>1341</v>
      </c>
      <c r="D1105" s="30" t="e">
        <f>VLOOKUP(Table13[[#This Row],[kbli5]],Table1[[#All],[kbli5]:[digital_hijau]],3,)</f>
        <v>#N/A</v>
      </c>
      <c r="E1105" s="53" t="str">
        <f>VLOOKUP(Table13[[#This Row],[kbli5]],kata_kunci!$B:$H,4,FALSE)</f>
        <v/>
      </c>
      <c r="F1105" s="53" t="e">
        <f>VLOOKUP(Table13[[#This Row],[kbli5]],Table1[[#All],[kbli5]:[digital_hijau]],5,)</f>
        <v>#N/A</v>
      </c>
      <c r="G1105" s="35" t="s">
        <v>2090</v>
      </c>
      <c r="H1105" s="89" t="str">
        <f>VLOOKUP(Table13[[#This Row],[kbli5]],kata_kunci!$B:$H,3,FALSE)</f>
        <v>Penyediaan dan pengelolaan identitas digital yang serius dan enterprise-level. BUKAN sekadar membuat aplikasi dengan fitur otentikasi. MENCAKUP konsultasi; perencanaan; pengembangan dan pemeliharaan sistem pengelolaan identitas digital. MENCAKUP keseluruhan aktivitas usaha; bukan hanya terkait programming untuk fitur kemanan identitas digital nya saja;</v>
      </c>
      <c r="I1105" s="84" t="str">
        <f>VLOOKUP(Table13[[#This Row],[kbli5]],kata_kunci!$B:$H,5,FALSE)</f>
        <v>Menyediakan dan mengelola identitas digital;</v>
      </c>
      <c r="J1105" s="84" t="str">
        <f>VLOOKUP(Table13[[#This Row],[kbli5]],kata_kunci!$B:$H,6,FALSE)</f>
        <v/>
      </c>
      <c r="K1105" s="84" t="str">
        <f>VLOOKUP(Table13[[#This Row],[kbli5]],kata_kunci!$B:$H,7,FALSE)</f>
        <v/>
      </c>
    </row>
    <row r="1106" spans="1:11" ht="45.75" thickBot="1" x14ac:dyDescent="0.3">
      <c r="A1106" s="53" t="s">
        <v>35</v>
      </c>
      <c r="B1106" s="40">
        <v>62203</v>
      </c>
      <c r="C1106" s="16" t="s">
        <v>1342</v>
      </c>
      <c r="D1106" s="30" t="e">
        <f>VLOOKUP(Table13[[#This Row],[kbli5]],Table1[[#All],[kbli5]:[digital_hijau]],3,)</f>
        <v>#N/A</v>
      </c>
      <c r="E1106" s="53" t="str">
        <f>VLOOKUP(Table13[[#This Row],[kbli5]],kata_kunci!$B:$H,4,FALSE)</f>
        <v/>
      </c>
      <c r="F1106" s="53" t="e">
        <f>VLOOKUP(Table13[[#This Row],[kbli5]],Table1[[#All],[kbli5]:[digital_hijau]],5,)</f>
        <v>#N/A</v>
      </c>
      <c r="G1106" s="35" t="s">
        <v>2090</v>
      </c>
      <c r="H1106" s="89" t="str">
        <f>VLOOKUP(Table13[[#This Row],[kbli5]],kata_kunci!$B:$H,3,FALSE)</f>
        <v>berbasis teknologi kriptografi; autentikasi situs web; tanda tangan elektronik tersertifikasi; bisa diverifikasi; ada enkripsi;</v>
      </c>
      <c r="I1106" s="84" t="str">
        <f>VLOOKUP(Table13[[#This Row],[kbli5]],kata_kunci!$B:$H,5,FALSE)</f>
        <v>Menyediakan atau menerbitkan sertifikasi elektronik dan jasa terkait; menyediakan jasa berbasis teknologi kriptografi;</v>
      </c>
      <c r="J1106" s="84" t="str">
        <f>VLOOKUP(Table13[[#This Row],[kbli5]],kata_kunci!$B:$H,6,FALSE)</f>
        <v/>
      </c>
      <c r="K1106" s="84" t="str">
        <f>VLOOKUP(Table13[[#This Row],[kbli5]],kata_kunci!$B:$H,7,FALSE)</f>
        <v>Sertifikat elektronik;</v>
      </c>
    </row>
    <row r="1107" spans="1:11" ht="129" thickBot="1" x14ac:dyDescent="0.3">
      <c r="A1107" s="53" t="s">
        <v>35</v>
      </c>
      <c r="B1107" s="40">
        <v>62204</v>
      </c>
      <c r="C1107" s="16" t="s">
        <v>1343</v>
      </c>
      <c r="D1107" s="30" t="str">
        <f>VLOOKUP(Table13[[#This Row],[kbli5]],Table1[[#All],[kbli5]:[digital_hijau]],3,)</f>
        <v>Konsultansi &amp; perancangan IOT; pemasangan pintu pintar; pemasangan lampu pintar; jasa arsitek smart home;</v>
      </c>
      <c r="E1107" s="53" t="str">
        <f>VLOOKUP(Table13[[#This Row],[kbli5]],kata_kunci!$B:$H,4,FALSE)</f>
        <v/>
      </c>
      <c r="F1107" s="53" t="str">
        <f>VLOOKUP(Table13[[#This Row],[kbli5]],Table1[[#All],[kbli5]:[digital_hijau]],5,)</f>
        <v>Potensial</v>
      </c>
      <c r="G1107" s="53" t="str">
        <f>VLOOKUP(Table13[[#This Row],[kbli5]],Table1[[#All],[kbli5]:[digital_hijau]],6,)</f>
        <v>Industri Digital;</v>
      </c>
      <c r="H1107" s="54" t="str">
        <f>VLOOKUP(Table13[[#This Row],[kbli5]],kata_kunci!$B:$H,3,FALSE)</f>
        <v>aktivitas jasa konsultansi; perancangan; dan pembuatan sistem terintegrasi berdasarkan pesanan. TERMASUK modifikasi perangkat keras yang sudah ada seperti sensor dan mikrokontroler agar bisa digunakan atau diintegrasikan dengan aplikasi/ perangkat lunak Internet of Things.;</v>
      </c>
      <c r="I1107" s="84" t="str">
        <f>VLOOKUP(Table13[[#This Row],[kbli5]],kata_kunci!$B:$H,5,FALSE)</f>
        <v>menyediakan jasa konsultansi; perancangan; dan pembuatan solusi sistem terintegrasi berdasarkan pesanan. Memodifikasi perangkat keras IoT;</v>
      </c>
      <c r="J1107" s="84" t="str">
        <f>VLOOKUP(Table13[[#This Row],[kbli5]],kata_kunci!$B:$H,6,FALSE)</f>
        <v/>
      </c>
      <c r="K1107" s="84" t="str">
        <f>VLOOKUP(Table13[[#This Row],[kbli5]],kata_kunci!$B:$H,7,FALSE)</f>
        <v/>
      </c>
    </row>
    <row r="1108" spans="1:11" ht="45.75" thickBot="1" x14ac:dyDescent="0.3">
      <c r="A1108" s="53" t="s">
        <v>35</v>
      </c>
      <c r="B1108" s="40">
        <v>62209</v>
      </c>
      <c r="C1108" s="16" t="s">
        <v>1344</v>
      </c>
      <c r="D1108" s="30" t="e">
        <f>VLOOKUP(Table13[[#This Row],[kbli5]],Table1[[#All],[kbli5]:[digital_hijau]],3,)</f>
        <v>#N/A</v>
      </c>
      <c r="E1108" s="53" t="str">
        <f>VLOOKUP(Table13[[#This Row],[kbli5]],kata_kunci!$B:$H,4,FALSE)</f>
        <v>konsultasi komputer;</v>
      </c>
      <c r="F1108" s="53" t="e">
        <f>VLOOKUP(Table13[[#This Row],[kbli5]],Table1[[#All],[kbli5]:[digital_hijau]],5,)</f>
        <v>#N/A</v>
      </c>
      <c r="G1108" s="35" t="s">
        <v>2090</v>
      </c>
      <c r="H1108" s="89" t="str">
        <f>VLOOKUP(Table13[[#This Row],[kbli5]],kata_kunci!$B:$H,3,FALSE)</f>
        <v>konsultasi mengenai jenis atau tipe; konfigurasi; dan kebuthan perangkat keras/lunak. LEBIH UMUM; konsultasi perencanaan dan perancangan sistem komputer dengan atau tanpa instalasi; pelatihan; dan dukungan pengguna; jasa manajemen dan pengoperasioan sistem komputer dan/ fasilitas pengolahan data milik klien;</v>
      </c>
      <c r="I1108" s="84" t="str">
        <f>VLOOKUP(Table13[[#This Row],[kbli5]],kata_kunci!$B:$H,5,FALSE)</f>
        <v>menyediakan konsultasi; memeberikan jasa konsultasi komputer yang lebih umum.;</v>
      </c>
      <c r="J1108" s="84" t="str">
        <f>VLOOKUP(Table13[[#This Row],[kbli5]],kata_kunci!$B:$H,6,FALSE)</f>
        <v/>
      </c>
      <c r="K1108" s="84" t="str">
        <f>VLOOKUP(Table13[[#This Row],[kbli5]],kata_kunci!$B:$H,7,FALSE)</f>
        <v/>
      </c>
    </row>
    <row r="1109" spans="1:11" ht="90.75" thickBot="1" x14ac:dyDescent="0.3">
      <c r="A1109" s="53" t="s">
        <v>35</v>
      </c>
      <c r="B1109" s="40">
        <v>62900</v>
      </c>
      <c r="C1109" s="16" t="s">
        <v>44</v>
      </c>
      <c r="D1109" s="30" t="str">
        <f>VLOOKUP(Table13[[#This Row],[kbli5]],Table1[[#All],[kbli5]:[digital_hijau]],3,)</f>
        <v>Jasa TI dan komputer lainnya; jasa perbaikan komputer; jasa servis komputer;jasa instalasi perangkat komputer; jasa servis perangkat TI lainnya; retyan computer; megakom;</v>
      </c>
      <c r="E1109" s="53" t="str">
        <f>VLOOKUP(Table13[[#This Row],[kbli5]],kata_kunci!$B:$H,4,FALSE)</f>
        <v>jasa teknologi informasi; pemulihan kerusakan komputer;</v>
      </c>
      <c r="F1109" s="53" t="str">
        <f>VLOOKUP(Table13[[#This Row],[kbli5]],Table1[[#All],[kbli5]:[digital_hijau]],5,)</f>
        <v>Umum Ditemukan</v>
      </c>
      <c r="G1109" s="53" t="str">
        <f>VLOOKUP(Table13[[#This Row],[kbli5]],Table1[[#All],[kbli5]:[digital_hijau]],6,)</f>
        <v>Industri Digital;</v>
      </c>
      <c r="H1109" s="54" t="str">
        <f>VLOOKUP(Table13[[#This Row],[kbli5]],kata_kunci!$B:$H,3,FALSE)</f>
        <v>Jasa TI yang belum tercakup. TERMASUK jasa pemulihan kerusakan komputer; jasa instalasi PC; dan jasa instalasi perangkat lunak Jasa dukungan TI seperti manajemen insiden dan digital forensik;</v>
      </c>
      <c r="I1109" s="84" t="str">
        <f>VLOOKUP(Table13[[#This Row],[kbli5]],kata_kunci!$B:$H,5,FALSE)</f>
        <v>menyediakan jasa TI; menyediakan jasa instalasi perangkat TI;</v>
      </c>
      <c r="J1109" s="84" t="str">
        <f>VLOOKUP(Table13[[#This Row],[kbli5]],kata_kunci!$B:$H,6,FALSE)</f>
        <v/>
      </c>
      <c r="K1109" s="84" t="str">
        <f>VLOOKUP(Table13[[#This Row],[kbli5]],kata_kunci!$B:$H,7,FALSE)</f>
        <v/>
      </c>
    </row>
    <row r="1110" spans="1:11" ht="103.5" thickBot="1" x14ac:dyDescent="0.3">
      <c r="A1110" s="53" t="s">
        <v>35</v>
      </c>
      <c r="B1110" s="40">
        <v>63101</v>
      </c>
      <c r="C1110" s="16" t="s">
        <v>45</v>
      </c>
      <c r="D1110" s="30" t="str">
        <f>VLOOKUP(Table13[[#This Row],[kbli5]],Table1[[#All],[kbli5]:[digital_hijau]],3,)</f>
        <v>Aktivitas pengolahan data; freelance atau perusahaan yang menyediakan jasa pengolahan data; jasa mengolah data skripsi;</v>
      </c>
      <c r="E1110" s="53" t="str">
        <f>VLOOKUP(Table13[[#This Row],[kbli5]],kata_kunci!$B:$H,4,FALSE)</f>
        <v>pengolahan data;</v>
      </c>
      <c r="F1110" s="53" t="str">
        <f>VLOOKUP(Table13[[#This Row],[kbli5]],Table1[[#All],[kbli5]:[digital_hijau]],5,)</f>
        <v>Umum Ditemukan</v>
      </c>
      <c r="G1110" s="53" t="str">
        <f>VLOOKUP(Table13[[#This Row],[kbli5]],Table1[[#All],[kbli5]:[digital_hijau]],6,)</f>
        <v>Industri Digital;</v>
      </c>
      <c r="H1110" s="54" t="str">
        <f>VLOOKUP(Table13[[#This Row],[kbli5]],kata_kunci!$B:$H,3,FALSE)</f>
        <v>melakukan pengolahan data mulai dari persiapan seperti entri; cleaning; normalisasi; tabulasi; sampaia analisis data. Sumber data bisa terstruktur ataupun tidak; citra satelit; big data;TERMASUK juga data dari klien;</v>
      </c>
      <c r="I1110" s="84" t="str">
        <f>VLOOKUP(Table13[[#This Row],[kbli5]],kata_kunci!$B:$H,5,FALSE)</f>
        <v>melakukan pengolahan data; melakukan tabulasi data; melakukan pengolahan big data;</v>
      </c>
      <c r="J1110" s="84" t="str">
        <f>VLOOKUP(Table13[[#This Row],[kbli5]],kata_kunci!$B:$H,6,FALSE)</f>
        <v/>
      </c>
      <c r="K1110" s="84" t="str">
        <f>VLOOKUP(Table13[[#This Row],[kbli5]],kata_kunci!$B:$H,7,FALSE)</f>
        <v/>
      </c>
    </row>
    <row r="1111" spans="1:11" ht="65.25" thickBot="1" x14ac:dyDescent="0.3">
      <c r="A1111" s="53" t="s">
        <v>35</v>
      </c>
      <c r="B1111" s="40">
        <v>63102</v>
      </c>
      <c r="C1111" s="16" t="s">
        <v>1345</v>
      </c>
      <c r="D1111" s="30" t="str">
        <f>VLOOKUP(Table13[[#This Row],[kbli5]],Table1[[#All],[kbli5]:[digital_hijau]],3,)</f>
        <v>Penyedia infrastruktur komputasi; penyewaan server; penyewaan hosting; penyewaan mainframe; penyewaan komputer atau laptop;</v>
      </c>
      <c r="E1111" s="53" t="str">
        <f>VLOOKUP(Table13[[#This Row],[kbli5]],kata_kunci!$B:$H,4,FALSE)</f>
        <v>infrastruktur komputasi; hosting; jasa;</v>
      </c>
      <c r="F1111" s="53" t="str">
        <f>VLOOKUP(Table13[[#This Row],[kbli5]],Table1[[#All],[kbli5]:[digital_hijau]],5,)</f>
        <v>Potensial</v>
      </c>
      <c r="G1111" s="53" t="str">
        <f>VLOOKUP(Table13[[#This Row],[kbli5]],Table1[[#All],[kbli5]:[digital_hijau]],6,)</f>
        <v>Industri Digital;</v>
      </c>
      <c r="H1111" s="54" t="str">
        <f>VLOOKUP(Table13[[#This Row],[kbli5]],kata_kunci!$B:$H,3,FALSE)</f>
        <v>Menyediakan infrastruktur komputasi dan hosting; menyediakan jasa yang mendukung aktivitas pengelolaan dan distribusi data secara digital;</v>
      </c>
      <c r="I1111" s="84" t="str">
        <f>VLOOKUP(Table13[[#This Row],[kbli5]],kata_kunci!$B:$H,5,FALSE)</f>
        <v>menyewakan server; menyediakan jasa hosting; menyewakan pusat data; menyediakan penyimpanan data dan dokumen secara elektronik; menyediakan infrasatruktur cloud computing;</v>
      </c>
      <c r="J1111" s="84" t="str">
        <f>VLOOKUP(Table13[[#This Row],[kbli5]],kata_kunci!$B:$H,6,FALSE)</f>
        <v/>
      </c>
      <c r="K1111" s="84" t="str">
        <f>VLOOKUP(Table13[[#This Row],[kbli5]],kata_kunci!$B:$H,7,FALSE)</f>
        <v/>
      </c>
    </row>
    <row r="1112" spans="1:11" ht="116.25" thickBot="1" x14ac:dyDescent="0.3">
      <c r="A1112" s="53" t="s">
        <v>35</v>
      </c>
      <c r="B1112" s="40">
        <v>63900</v>
      </c>
      <c r="C1112" s="16" t="s">
        <v>1346</v>
      </c>
      <c r="D1112" s="30" t="str">
        <f>VLOOKUP(Table13[[#This Row],[kbli5]],Table1[[#All],[kbli5]:[digital_hijau]],3,)</f>
        <v>Jasa portal pencarian web &amp; informasi; situs perbandingan harga; direktori bisnis; jasa kliping;</v>
      </c>
      <c r="E1112" s="53" t="str">
        <f>VLOOKUP(Table13[[#This Row],[kbli5]],kata_kunci!$B:$H,4,FALSE)</f>
        <v>jasa portal pencarian; informasi lainnya;</v>
      </c>
      <c r="F1112" s="53" t="str">
        <f>VLOOKUP(Table13[[#This Row],[kbli5]],Table1[[#All],[kbli5]:[digital_hijau]],5,)</f>
        <v>Potensial</v>
      </c>
      <c r="G1112" s="53" t="str">
        <f>VLOOKUP(Table13[[#This Row],[kbli5]],Table1[[#All],[kbli5]:[digital_hijau]],6,)</f>
        <v>Industri Digital;</v>
      </c>
      <c r="H1112" s="54" t="str">
        <f>VLOOKUP(Table13[[#This Row],[kbli5]],kata_kunci!$B:$H,3,FALSE)</f>
        <v>menyediakan informasi / pencarian informasi / portal informasi;BUKAN transaksi jual beli.;Jadi inti utamanya:;;search engine;portal informasi;direktori;agregator informasi;sistem informasi;layanan pencarian data/informasi;</v>
      </c>
      <c r="I1112" s="84" t="str">
        <f>VLOOKUP(Table13[[#This Row],[kbli5]],kata_kunci!$B:$H,5,FALSE)</f>
        <v>membantu orang mencari informasi;mengumpulkan informasi;menampilkan informasi;mengarahkan ke situs lain;menyediakan database/portal;</v>
      </c>
      <c r="J1112" s="84" t="str">
        <f>VLOOKUP(Table13[[#This Row],[kbli5]],kata_kunci!$B:$H,6,FALSE)</f>
        <v/>
      </c>
      <c r="K1112" s="84" t="str">
        <f>VLOOKUP(Table13[[#This Row],[kbli5]],kata_kunci!$B:$H,7,FALSE)</f>
        <v/>
      </c>
    </row>
    <row r="1113" spans="1:11" ht="15.75" thickBot="1" x14ac:dyDescent="0.3">
      <c r="A1113" s="53" t="s">
        <v>1347</v>
      </c>
      <c r="B1113" s="40">
        <v>64110</v>
      </c>
      <c r="C1113" s="16" t="s">
        <v>1348</v>
      </c>
      <c r="D1113" s="30" t="str">
        <f>VLOOKUP(Table13[[#This Row],[kbli5]],Table1[[#All],[kbli5]:[digital_hijau]],3,)</f>
        <v>Aktv Bank Cental; Bank Indonesia;</v>
      </c>
      <c r="E1113" s="53" t="e">
        <f>VLOOKUP(Table13[[#This Row],[kbli5]],kata_kunci!$B:$H,4,FALSE)</f>
        <v>#N/A</v>
      </c>
      <c r="F1113" s="53" t="str">
        <f>VLOOKUP(Table13[[#This Row],[kbli5]],Table1[[#All],[kbli5]:[digital_hijau]],5,)</f>
        <v>Esensial</v>
      </c>
      <c r="G1113" s="53">
        <f>VLOOKUP(Table13[[#This Row],[kbli5]],Table1[[#All],[kbli5]:[digital_hijau]],6,)</f>
        <v>0</v>
      </c>
      <c r="H1113" s="54" t="e">
        <f>VLOOKUP(Table13[[#This Row],[kbli5]],kata_kunci!$B:$H,3,FALSE)</f>
        <v>#N/A</v>
      </c>
      <c r="I1113" s="84" t="e">
        <f>VLOOKUP(Table13[[#This Row],[kbli5]],kata_kunci!$B:$H,5,FALSE)</f>
        <v>#N/A</v>
      </c>
      <c r="J1113" s="84" t="e">
        <f>VLOOKUP(Table13[[#This Row],[kbli5]],kata_kunci!$B:$H,6,FALSE)</f>
        <v>#N/A</v>
      </c>
      <c r="K1113" s="84" t="e">
        <f>VLOOKUP(Table13[[#This Row],[kbli5]],kata_kunci!$B:$H,7,FALSE)</f>
        <v>#N/A</v>
      </c>
    </row>
    <row r="1114" spans="1:11" ht="30.75" thickBot="1" x14ac:dyDescent="0.3">
      <c r="A1114" s="53" t="s">
        <v>1347</v>
      </c>
      <c r="B1114" s="40">
        <v>64121</v>
      </c>
      <c r="C1114" s="16" t="s">
        <v>1349</v>
      </c>
      <c r="D1114" s="30" t="str">
        <f>VLOOKUP(Table13[[#This Row],[kbli5]],Table1[[#All],[kbli5]:[digital_hijau]],3,)</f>
        <v>Aktv Bank Konvensional; BRI; BNI; CIMB; OCBC;</v>
      </c>
      <c r="E1114" s="53" t="e">
        <f>VLOOKUP(Table13[[#This Row],[kbli5]],kata_kunci!$B:$H,4,FALSE)</f>
        <v>#N/A</v>
      </c>
      <c r="F1114" s="53" t="str">
        <f>VLOOKUP(Table13[[#This Row],[kbli5]],Table1[[#All],[kbli5]:[digital_hijau]],5,)</f>
        <v>Esensial</v>
      </c>
      <c r="G1114" s="53">
        <f>VLOOKUP(Table13[[#This Row],[kbli5]],Table1[[#All],[kbli5]:[digital_hijau]],6,)</f>
        <v>0</v>
      </c>
      <c r="H1114" s="54" t="e">
        <f>VLOOKUP(Table13[[#This Row],[kbli5]],kata_kunci!$B:$H,3,FALSE)</f>
        <v>#N/A</v>
      </c>
      <c r="I1114" s="84" t="e">
        <f>VLOOKUP(Table13[[#This Row],[kbli5]],kata_kunci!$B:$H,5,FALSE)</f>
        <v>#N/A</v>
      </c>
      <c r="J1114" s="84" t="e">
        <f>VLOOKUP(Table13[[#This Row],[kbli5]],kata_kunci!$B:$H,6,FALSE)</f>
        <v>#N/A</v>
      </c>
      <c r="K1114" s="84" t="e">
        <f>VLOOKUP(Table13[[#This Row],[kbli5]],kata_kunci!$B:$H,7,FALSE)</f>
        <v>#N/A</v>
      </c>
    </row>
    <row r="1115" spans="1:11" ht="30.75" thickBot="1" x14ac:dyDescent="0.3">
      <c r="A1115" s="53" t="s">
        <v>1347</v>
      </c>
      <c r="B1115" s="40">
        <v>64122</v>
      </c>
      <c r="C1115" s="16" t="s">
        <v>1350</v>
      </c>
      <c r="D1115" s="30" t="str">
        <f>VLOOKUP(Table13[[#This Row],[kbli5]],Table1[[#All],[kbli5]:[digital_hijau]],3,)</f>
        <v>Perbankan Syariah; BSI; Bank Muamalat; CIMB Syariah;</v>
      </c>
      <c r="E1115" s="53" t="e">
        <f>VLOOKUP(Table13[[#This Row],[kbli5]],kata_kunci!$B:$H,4,FALSE)</f>
        <v>#N/A</v>
      </c>
      <c r="F1115" s="53" t="str">
        <f>VLOOKUP(Table13[[#This Row],[kbli5]],Table1[[#All],[kbli5]:[digital_hijau]],5,)</f>
        <v>Esensial</v>
      </c>
      <c r="G1115" s="53">
        <f>VLOOKUP(Table13[[#This Row],[kbli5]],Table1[[#All],[kbli5]:[digital_hijau]],6,)</f>
        <v>0</v>
      </c>
      <c r="H1115" s="54" t="e">
        <f>VLOOKUP(Table13[[#This Row],[kbli5]],kata_kunci!$B:$H,3,FALSE)</f>
        <v>#N/A</v>
      </c>
      <c r="I1115" s="84" t="e">
        <f>VLOOKUP(Table13[[#This Row],[kbli5]],kata_kunci!$B:$H,5,FALSE)</f>
        <v>#N/A</v>
      </c>
      <c r="J1115" s="84" t="e">
        <f>VLOOKUP(Table13[[#This Row],[kbli5]],kata_kunci!$B:$H,6,FALSE)</f>
        <v>#N/A</v>
      </c>
      <c r="K1115" s="84" t="e">
        <f>VLOOKUP(Table13[[#This Row],[kbli5]],kata_kunci!$B:$H,7,FALSE)</f>
        <v>#N/A</v>
      </c>
    </row>
    <row r="1116" spans="1:11" ht="30.75" thickBot="1" x14ac:dyDescent="0.3">
      <c r="A1116" s="53" t="s">
        <v>1347</v>
      </c>
      <c r="B1116" s="40">
        <v>64123</v>
      </c>
      <c r="C1116" s="16" t="s">
        <v>1351</v>
      </c>
      <c r="D1116" s="30" t="str">
        <f>VLOOKUP(Table13[[#This Row],[kbli5]],Table1[[#All],[kbli5]:[digital_hijau]],3,)</f>
        <v xml:space="preserve">Perbankan konvensional lainnya; PT. BPR Payung Negeri Bestari; PT BPR Pekanbaru; </v>
      </c>
      <c r="E1116" s="53" t="e">
        <f>VLOOKUP(Table13[[#This Row],[kbli5]],kata_kunci!$B:$H,4,FALSE)</f>
        <v>#N/A</v>
      </c>
      <c r="F1116" s="53" t="str">
        <f>VLOOKUP(Table13[[#This Row],[kbli5]],Table1[[#All],[kbli5]:[digital_hijau]],5,)</f>
        <v>Esensial</v>
      </c>
      <c r="G1116" s="53">
        <f>VLOOKUP(Table13[[#This Row],[kbli5]],Table1[[#All],[kbli5]:[digital_hijau]],6,)</f>
        <v>0</v>
      </c>
      <c r="H1116" s="54" t="e">
        <f>VLOOKUP(Table13[[#This Row],[kbli5]],kata_kunci!$B:$H,3,FALSE)</f>
        <v>#N/A</v>
      </c>
      <c r="I1116" s="84" t="e">
        <f>VLOOKUP(Table13[[#This Row],[kbli5]],kata_kunci!$B:$H,5,FALSE)</f>
        <v>#N/A</v>
      </c>
      <c r="J1116" s="84" t="e">
        <f>VLOOKUP(Table13[[#This Row],[kbli5]],kata_kunci!$B:$H,6,FALSE)</f>
        <v>#N/A</v>
      </c>
      <c r="K1116" s="84" t="e">
        <f>VLOOKUP(Table13[[#This Row],[kbli5]],kata_kunci!$B:$H,7,FALSE)</f>
        <v>#N/A</v>
      </c>
    </row>
    <row r="1117" spans="1:11" ht="30.75" thickBot="1" x14ac:dyDescent="0.3">
      <c r="A1117" s="53" t="s">
        <v>1347</v>
      </c>
      <c r="B1117" s="40">
        <v>64124</v>
      </c>
      <c r="C1117" s="16" t="s">
        <v>1352</v>
      </c>
      <c r="D1117" s="30" t="str">
        <f>VLOOKUP(Table13[[#This Row],[kbli5]],Table1[[#All],[kbli5]:[digital_hijau]],3,)</f>
        <v>Perbankan syariah lainnya; PT. BPR Syariah Hasanah; Bank Syariah Berkah;</v>
      </c>
      <c r="E1117" s="53" t="e">
        <f>VLOOKUP(Table13[[#This Row],[kbli5]],kata_kunci!$B:$H,4,FALSE)</f>
        <v>#N/A</v>
      </c>
      <c r="F1117" s="53" t="str">
        <f>VLOOKUP(Table13[[#This Row],[kbli5]],Table1[[#All],[kbli5]:[digital_hijau]],5,)</f>
        <v>Esensial</v>
      </c>
      <c r="G1117" s="53">
        <f>VLOOKUP(Table13[[#This Row],[kbli5]],Table1[[#All],[kbli5]:[digital_hijau]],6,)</f>
        <v>0</v>
      </c>
      <c r="H1117" s="54" t="e">
        <f>VLOOKUP(Table13[[#This Row],[kbli5]],kata_kunci!$B:$H,3,FALSE)</f>
        <v>#N/A</v>
      </c>
      <c r="I1117" s="84" t="e">
        <f>VLOOKUP(Table13[[#This Row],[kbli5]],kata_kunci!$B:$H,5,FALSE)</f>
        <v>#N/A</v>
      </c>
      <c r="J1117" s="84" t="e">
        <f>VLOOKUP(Table13[[#This Row],[kbli5]],kata_kunci!$B:$H,6,FALSE)</f>
        <v>#N/A</v>
      </c>
      <c r="K1117" s="84" t="e">
        <f>VLOOKUP(Table13[[#This Row],[kbli5]],kata_kunci!$B:$H,7,FALSE)</f>
        <v>#N/A</v>
      </c>
    </row>
    <row r="1118" spans="1:11" ht="45.75" thickBot="1" x14ac:dyDescent="0.3">
      <c r="A1118" s="53" t="s">
        <v>1347</v>
      </c>
      <c r="B1118" s="40">
        <v>64191</v>
      </c>
      <c r="C1118" s="16" t="s">
        <v>1353</v>
      </c>
      <c r="D1118" s="30" t="str">
        <f>VLOOKUP(Table13[[#This Row],[kbli5]],Table1[[#All],[kbli5]:[digital_hijau]],3,)</f>
        <v>Kredit oleh koperasi konvensional; KSP Nasari KC Pekanbaru; Koperasi Simpan Pinjam Sejahtera Usaha Mandiri;</v>
      </c>
      <c r="E1118" s="53" t="e">
        <f>VLOOKUP(Table13[[#This Row],[kbli5]],kata_kunci!$B:$H,4,FALSE)</f>
        <v>#N/A</v>
      </c>
      <c r="F1118" s="53" t="str">
        <f>VLOOKUP(Table13[[#This Row],[kbli5]],Table1[[#All],[kbli5]:[digital_hijau]],5,)</f>
        <v>Esensial</v>
      </c>
      <c r="G1118" s="53">
        <f>VLOOKUP(Table13[[#This Row],[kbli5]],Table1[[#All],[kbli5]:[digital_hijau]],6,)</f>
        <v>0</v>
      </c>
      <c r="H1118" s="54" t="e">
        <f>VLOOKUP(Table13[[#This Row],[kbli5]],kata_kunci!$B:$H,3,FALSE)</f>
        <v>#N/A</v>
      </c>
      <c r="I1118" s="84" t="e">
        <f>VLOOKUP(Table13[[#This Row],[kbli5]],kata_kunci!$B:$H,5,FALSE)</f>
        <v>#N/A</v>
      </c>
      <c r="J1118" s="84" t="e">
        <f>VLOOKUP(Table13[[#This Row],[kbli5]],kata_kunci!$B:$H,6,FALSE)</f>
        <v>#N/A</v>
      </c>
      <c r="K1118" s="84" t="e">
        <f>VLOOKUP(Table13[[#This Row],[kbli5]],kata_kunci!$B:$H,7,FALSE)</f>
        <v>#N/A</v>
      </c>
    </row>
    <row r="1119" spans="1:11" ht="45.75" thickBot="1" x14ac:dyDescent="0.3">
      <c r="A1119" s="53" t="s">
        <v>1347</v>
      </c>
      <c r="B1119" s="40">
        <v>64192</v>
      </c>
      <c r="C1119" s="16" t="s">
        <v>1354</v>
      </c>
      <c r="D1119" s="30" t="e">
        <f>VLOOKUP(Table13[[#This Row],[kbli5]],Table1[[#All],[kbli5]:[digital_hijau]],3,)</f>
        <v>#N/A</v>
      </c>
      <c r="E1119" s="53" t="e">
        <f>VLOOKUP(Table13[[#This Row],[kbli5]],kata_kunci!$B:$H,4,FALSE)</f>
        <v>#N/A</v>
      </c>
      <c r="F1119" s="53" t="e">
        <f>VLOOKUP(Table13[[#This Row],[kbli5]],Table1[[#All],[kbli5]:[digital_hijau]],5,)</f>
        <v>#N/A</v>
      </c>
      <c r="G1119" s="53" t="e">
        <f>VLOOKUP(Table13[[#This Row],[kbli5]],Table1[[#All],[kbli5]:[digital_hijau]],6,)</f>
        <v>#N/A</v>
      </c>
      <c r="H1119" s="54" t="e">
        <f>VLOOKUP(Table13[[#This Row],[kbli5]],kata_kunci!$B:$H,3,FALSE)</f>
        <v>#N/A</v>
      </c>
      <c r="I1119" s="84" t="e">
        <f>VLOOKUP(Table13[[#This Row],[kbli5]],kata_kunci!$B:$H,5,FALSE)</f>
        <v>#N/A</v>
      </c>
      <c r="J1119" s="84" t="e">
        <f>VLOOKUP(Table13[[#This Row],[kbli5]],kata_kunci!$B:$H,6,FALSE)</f>
        <v>#N/A</v>
      </c>
      <c r="K1119" s="84" t="e">
        <f>VLOOKUP(Table13[[#This Row],[kbli5]],kata_kunci!$B:$H,7,FALSE)</f>
        <v>#N/A</v>
      </c>
    </row>
    <row r="1120" spans="1:11" ht="45.75" thickBot="1" x14ac:dyDescent="0.3">
      <c r="A1120" s="53" t="s">
        <v>1347</v>
      </c>
      <c r="B1120" s="40">
        <v>64193</v>
      </c>
      <c r="C1120" s="16" t="s">
        <v>1355</v>
      </c>
      <c r="D1120" s="30" t="e">
        <f>VLOOKUP(Table13[[#This Row],[kbli5]],Table1[[#All],[kbli5]:[digital_hijau]],3,)</f>
        <v>#N/A</v>
      </c>
      <c r="E1120" s="53" t="e">
        <f>VLOOKUP(Table13[[#This Row],[kbli5]],kata_kunci!$B:$H,4,FALSE)</f>
        <v>#N/A</v>
      </c>
      <c r="F1120" s="53" t="e">
        <f>VLOOKUP(Table13[[#This Row],[kbli5]],Table1[[#All],[kbli5]:[digital_hijau]],5,)</f>
        <v>#N/A</v>
      </c>
      <c r="G1120" s="53" t="e">
        <f>VLOOKUP(Table13[[#This Row],[kbli5]],Table1[[#All],[kbli5]:[digital_hijau]],6,)</f>
        <v>#N/A</v>
      </c>
      <c r="H1120" s="54" t="e">
        <f>VLOOKUP(Table13[[#This Row],[kbli5]],kata_kunci!$B:$H,3,FALSE)</f>
        <v>#N/A</v>
      </c>
      <c r="I1120" s="84" t="e">
        <f>VLOOKUP(Table13[[#This Row],[kbli5]],kata_kunci!$B:$H,5,FALSE)</f>
        <v>#N/A</v>
      </c>
      <c r="J1120" s="84" t="e">
        <f>VLOOKUP(Table13[[#This Row],[kbli5]],kata_kunci!$B:$H,6,FALSE)</f>
        <v>#N/A</v>
      </c>
      <c r="K1120" s="84" t="e">
        <f>VLOOKUP(Table13[[#This Row],[kbli5]],kata_kunci!$B:$H,7,FALSE)</f>
        <v>#N/A</v>
      </c>
    </row>
    <row r="1121" spans="1:11" ht="30.75" thickBot="1" x14ac:dyDescent="0.3">
      <c r="A1121" s="53" t="s">
        <v>1347</v>
      </c>
      <c r="B1121" s="40">
        <v>64194</v>
      </c>
      <c r="C1121" s="16" t="s">
        <v>1356</v>
      </c>
      <c r="D1121" s="30" t="e">
        <f>VLOOKUP(Table13[[#This Row],[kbli5]],Table1[[#All],[kbli5]:[digital_hijau]],3,)</f>
        <v>#N/A</v>
      </c>
      <c r="E1121" s="53" t="e">
        <f>VLOOKUP(Table13[[#This Row],[kbli5]],kata_kunci!$B:$H,4,FALSE)</f>
        <v>#N/A</v>
      </c>
      <c r="F1121" s="53" t="e">
        <f>VLOOKUP(Table13[[#This Row],[kbli5]],Table1[[#All],[kbli5]:[digital_hijau]],5,)</f>
        <v>#N/A</v>
      </c>
      <c r="G1121" s="53" t="e">
        <f>VLOOKUP(Table13[[#This Row],[kbli5]],Table1[[#All],[kbli5]:[digital_hijau]],6,)</f>
        <v>#N/A</v>
      </c>
      <c r="H1121" s="54" t="e">
        <f>VLOOKUP(Table13[[#This Row],[kbli5]],kata_kunci!$B:$H,3,FALSE)</f>
        <v>#N/A</v>
      </c>
      <c r="I1121" s="84" t="e">
        <f>VLOOKUP(Table13[[#This Row],[kbli5]],kata_kunci!$B:$H,5,FALSE)</f>
        <v>#N/A</v>
      </c>
      <c r="J1121" s="84" t="e">
        <f>VLOOKUP(Table13[[#This Row],[kbli5]],kata_kunci!$B:$H,6,FALSE)</f>
        <v>#N/A</v>
      </c>
      <c r="K1121" s="84" t="e">
        <f>VLOOKUP(Table13[[#This Row],[kbli5]],kata_kunci!$B:$H,7,FALSE)</f>
        <v>#N/A</v>
      </c>
    </row>
    <row r="1122" spans="1:11" ht="30.75" thickBot="1" x14ac:dyDescent="0.3">
      <c r="A1122" s="53" t="s">
        <v>1347</v>
      </c>
      <c r="B1122" s="40">
        <v>64199</v>
      </c>
      <c r="C1122" s="16" t="s">
        <v>1357</v>
      </c>
      <c r="D1122" s="30" t="e">
        <f>VLOOKUP(Table13[[#This Row],[kbli5]],Table1[[#All],[kbli5]:[digital_hijau]],3,)</f>
        <v>#N/A</v>
      </c>
      <c r="E1122" s="53" t="e">
        <f>VLOOKUP(Table13[[#This Row],[kbli5]],kata_kunci!$B:$H,4,FALSE)</f>
        <v>#N/A</v>
      </c>
      <c r="F1122" s="53" t="e">
        <f>VLOOKUP(Table13[[#This Row],[kbli5]],Table1[[#All],[kbli5]:[digital_hijau]],5,)</f>
        <v>#N/A</v>
      </c>
      <c r="G1122" s="53" t="e">
        <f>VLOOKUP(Table13[[#This Row],[kbli5]],Table1[[#All],[kbli5]:[digital_hijau]],6,)</f>
        <v>#N/A</v>
      </c>
      <c r="H1122" s="54" t="e">
        <f>VLOOKUP(Table13[[#This Row],[kbli5]],kata_kunci!$B:$H,3,FALSE)</f>
        <v>#N/A</v>
      </c>
      <c r="I1122" s="84" t="e">
        <f>VLOOKUP(Table13[[#This Row],[kbli5]],kata_kunci!$B:$H,5,FALSE)</f>
        <v>#N/A</v>
      </c>
      <c r="J1122" s="84" t="e">
        <f>VLOOKUP(Table13[[#This Row],[kbli5]],kata_kunci!$B:$H,6,FALSE)</f>
        <v>#N/A</v>
      </c>
      <c r="K1122" s="84" t="e">
        <f>VLOOKUP(Table13[[#This Row],[kbli5]],kata_kunci!$B:$H,7,FALSE)</f>
        <v>#N/A</v>
      </c>
    </row>
    <row r="1123" spans="1:11" ht="30.75" thickBot="1" x14ac:dyDescent="0.3">
      <c r="A1123" s="53" t="s">
        <v>1347</v>
      </c>
      <c r="B1123" s="40">
        <v>64210</v>
      </c>
      <c r="C1123" s="16" t="s">
        <v>1358</v>
      </c>
      <c r="D1123" s="30" t="e">
        <f>VLOOKUP(Table13[[#This Row],[kbli5]],Table1[[#All],[kbli5]:[digital_hijau]],3,)</f>
        <v>#N/A</v>
      </c>
      <c r="E1123" s="53" t="e">
        <f>VLOOKUP(Table13[[#This Row],[kbli5]],kata_kunci!$B:$H,4,FALSE)</f>
        <v>#N/A</v>
      </c>
      <c r="F1123" s="53" t="e">
        <f>VLOOKUP(Table13[[#This Row],[kbli5]],Table1[[#All],[kbli5]:[digital_hijau]],5,)</f>
        <v>#N/A</v>
      </c>
      <c r="G1123" s="53" t="e">
        <f>VLOOKUP(Table13[[#This Row],[kbli5]],Table1[[#All],[kbli5]:[digital_hijau]],6,)</f>
        <v>#N/A</v>
      </c>
      <c r="H1123" s="54" t="e">
        <f>VLOOKUP(Table13[[#This Row],[kbli5]],kata_kunci!$B:$H,3,FALSE)</f>
        <v>#N/A</v>
      </c>
      <c r="I1123" s="84" t="e">
        <f>VLOOKUP(Table13[[#This Row],[kbli5]],kata_kunci!$B:$H,5,FALSE)</f>
        <v>#N/A</v>
      </c>
      <c r="J1123" s="84" t="e">
        <f>VLOOKUP(Table13[[#This Row],[kbli5]],kata_kunci!$B:$H,6,FALSE)</f>
        <v>#N/A</v>
      </c>
      <c r="K1123" s="84" t="e">
        <f>VLOOKUP(Table13[[#This Row],[kbli5]],kata_kunci!$B:$H,7,FALSE)</f>
        <v>#N/A</v>
      </c>
    </row>
    <row r="1124" spans="1:11" ht="30.75" thickBot="1" x14ac:dyDescent="0.3">
      <c r="A1124" s="53" t="s">
        <v>1347</v>
      </c>
      <c r="B1124" s="40">
        <v>64220</v>
      </c>
      <c r="C1124" s="16" t="s">
        <v>1359</v>
      </c>
      <c r="D1124" s="30" t="e">
        <f>VLOOKUP(Table13[[#This Row],[kbli5]],Table1[[#All],[kbli5]:[digital_hijau]],3,)</f>
        <v>#N/A</v>
      </c>
      <c r="E1124" s="53" t="e">
        <f>VLOOKUP(Table13[[#This Row],[kbli5]],kata_kunci!$B:$H,4,FALSE)</f>
        <v>#N/A</v>
      </c>
      <c r="F1124" s="53" t="e">
        <f>VLOOKUP(Table13[[#This Row],[kbli5]],Table1[[#All],[kbli5]:[digital_hijau]],5,)</f>
        <v>#N/A</v>
      </c>
      <c r="G1124" s="53" t="e">
        <f>VLOOKUP(Table13[[#This Row],[kbli5]],Table1[[#All],[kbli5]:[digital_hijau]],6,)</f>
        <v>#N/A</v>
      </c>
      <c r="H1124" s="54" t="e">
        <f>VLOOKUP(Table13[[#This Row],[kbli5]],kata_kunci!$B:$H,3,FALSE)</f>
        <v>#N/A</v>
      </c>
      <c r="I1124" s="84" t="e">
        <f>VLOOKUP(Table13[[#This Row],[kbli5]],kata_kunci!$B:$H,5,FALSE)</f>
        <v>#N/A</v>
      </c>
      <c r="J1124" s="84" t="e">
        <f>VLOOKUP(Table13[[#This Row],[kbli5]],kata_kunci!$B:$H,6,FALSE)</f>
        <v>#N/A</v>
      </c>
      <c r="K1124" s="84" t="e">
        <f>VLOOKUP(Table13[[#This Row],[kbli5]],kata_kunci!$B:$H,7,FALSE)</f>
        <v>#N/A</v>
      </c>
    </row>
    <row r="1125" spans="1:11" ht="30.75" thickBot="1" x14ac:dyDescent="0.3">
      <c r="A1125" s="53" t="s">
        <v>1347</v>
      </c>
      <c r="B1125" s="40">
        <v>64310</v>
      </c>
      <c r="C1125" s="16" t="s">
        <v>1360</v>
      </c>
      <c r="D1125" s="30" t="e">
        <f>VLOOKUP(Table13[[#This Row],[kbli5]],Table1[[#All],[kbli5]:[digital_hijau]],3,)</f>
        <v>#N/A</v>
      </c>
      <c r="E1125" s="53" t="e">
        <f>VLOOKUP(Table13[[#This Row],[kbli5]],kata_kunci!$B:$H,4,FALSE)</f>
        <v>#N/A</v>
      </c>
      <c r="F1125" s="53" t="e">
        <f>VLOOKUP(Table13[[#This Row],[kbli5]],Table1[[#All],[kbli5]:[digital_hijau]],5,)</f>
        <v>#N/A</v>
      </c>
      <c r="G1125" s="53" t="e">
        <f>VLOOKUP(Table13[[#This Row],[kbli5]],Table1[[#All],[kbli5]:[digital_hijau]],6,)</f>
        <v>#N/A</v>
      </c>
      <c r="H1125" s="54" t="e">
        <f>VLOOKUP(Table13[[#This Row],[kbli5]],kata_kunci!$B:$H,3,FALSE)</f>
        <v>#N/A</v>
      </c>
      <c r="I1125" s="84" t="e">
        <f>VLOOKUP(Table13[[#This Row],[kbli5]],kata_kunci!$B:$H,5,FALSE)</f>
        <v>#N/A</v>
      </c>
      <c r="J1125" s="84" t="e">
        <f>VLOOKUP(Table13[[#This Row],[kbli5]],kata_kunci!$B:$H,6,FALSE)</f>
        <v>#N/A</v>
      </c>
      <c r="K1125" s="84" t="e">
        <f>VLOOKUP(Table13[[#This Row],[kbli5]],kata_kunci!$B:$H,7,FALSE)</f>
        <v>#N/A</v>
      </c>
    </row>
    <row r="1126" spans="1:11" ht="30.75" thickBot="1" x14ac:dyDescent="0.3">
      <c r="A1126" s="53" t="s">
        <v>1347</v>
      </c>
      <c r="B1126" s="40">
        <v>64320</v>
      </c>
      <c r="C1126" s="16" t="s">
        <v>1361</v>
      </c>
      <c r="D1126" s="30" t="e">
        <f>VLOOKUP(Table13[[#This Row],[kbli5]],Table1[[#All],[kbli5]:[digital_hijau]],3,)</f>
        <v>#N/A</v>
      </c>
      <c r="E1126" s="53" t="e">
        <f>VLOOKUP(Table13[[#This Row],[kbli5]],kata_kunci!$B:$H,4,FALSE)</f>
        <v>#N/A</v>
      </c>
      <c r="F1126" s="53" t="e">
        <f>VLOOKUP(Table13[[#This Row],[kbli5]],Table1[[#All],[kbli5]:[digital_hijau]],5,)</f>
        <v>#N/A</v>
      </c>
      <c r="G1126" s="53" t="e">
        <f>VLOOKUP(Table13[[#This Row],[kbli5]],Table1[[#All],[kbli5]:[digital_hijau]],6,)</f>
        <v>#N/A</v>
      </c>
      <c r="H1126" s="54" t="e">
        <f>VLOOKUP(Table13[[#This Row],[kbli5]],kata_kunci!$B:$H,3,FALSE)</f>
        <v>#N/A</v>
      </c>
      <c r="I1126" s="84" t="e">
        <f>VLOOKUP(Table13[[#This Row],[kbli5]],kata_kunci!$B:$H,5,FALSE)</f>
        <v>#N/A</v>
      </c>
      <c r="J1126" s="84" t="e">
        <f>VLOOKUP(Table13[[#This Row],[kbli5]],kata_kunci!$B:$H,6,FALSE)</f>
        <v>#N/A</v>
      </c>
      <c r="K1126" s="84" t="e">
        <f>VLOOKUP(Table13[[#This Row],[kbli5]],kata_kunci!$B:$H,7,FALSE)</f>
        <v>#N/A</v>
      </c>
    </row>
    <row r="1127" spans="1:11" ht="30.75" thickBot="1" x14ac:dyDescent="0.3">
      <c r="A1127" s="53" t="s">
        <v>1347</v>
      </c>
      <c r="B1127" s="40">
        <v>64330</v>
      </c>
      <c r="C1127" s="16" t="s">
        <v>1362</v>
      </c>
      <c r="D1127" s="30" t="e">
        <f>VLOOKUP(Table13[[#This Row],[kbli5]],Table1[[#All],[kbli5]:[digital_hijau]],3,)</f>
        <v>#N/A</v>
      </c>
      <c r="E1127" s="53" t="e">
        <f>VLOOKUP(Table13[[#This Row],[kbli5]],kata_kunci!$B:$H,4,FALSE)</f>
        <v>#N/A</v>
      </c>
      <c r="F1127" s="53" t="e">
        <f>VLOOKUP(Table13[[#This Row],[kbli5]],Table1[[#All],[kbli5]:[digital_hijau]],5,)</f>
        <v>#N/A</v>
      </c>
      <c r="G1127" s="53" t="e">
        <f>VLOOKUP(Table13[[#This Row],[kbli5]],Table1[[#All],[kbli5]:[digital_hijau]],6,)</f>
        <v>#N/A</v>
      </c>
      <c r="H1127" s="54" t="e">
        <f>VLOOKUP(Table13[[#This Row],[kbli5]],kata_kunci!$B:$H,3,FALSE)</f>
        <v>#N/A</v>
      </c>
      <c r="I1127" s="84" t="e">
        <f>VLOOKUP(Table13[[#This Row],[kbli5]],kata_kunci!$B:$H,5,FALSE)</f>
        <v>#N/A</v>
      </c>
      <c r="J1127" s="84" t="e">
        <f>VLOOKUP(Table13[[#This Row],[kbli5]],kata_kunci!$B:$H,6,FALSE)</f>
        <v>#N/A</v>
      </c>
      <c r="K1127" s="84" t="e">
        <f>VLOOKUP(Table13[[#This Row],[kbli5]],kata_kunci!$B:$H,7,FALSE)</f>
        <v>#N/A</v>
      </c>
    </row>
    <row r="1128" spans="1:11" ht="30.75" thickBot="1" x14ac:dyDescent="0.3">
      <c r="A1128" s="53" t="s">
        <v>1347</v>
      </c>
      <c r="B1128" s="40">
        <v>64910</v>
      </c>
      <c r="C1128" s="16" t="s">
        <v>1363</v>
      </c>
      <c r="D1128" s="30" t="e">
        <f>VLOOKUP(Table13[[#This Row],[kbli5]],Table1[[#All],[kbli5]:[digital_hijau]],3,)</f>
        <v>#N/A</v>
      </c>
      <c r="E1128" s="53" t="e">
        <f>VLOOKUP(Table13[[#This Row],[kbli5]],kata_kunci!$B:$H,4,FALSE)</f>
        <v>#N/A</v>
      </c>
      <c r="F1128" s="53" t="e">
        <f>VLOOKUP(Table13[[#This Row],[kbli5]],Table1[[#All],[kbli5]:[digital_hijau]],5,)</f>
        <v>#N/A</v>
      </c>
      <c r="G1128" s="53" t="e">
        <f>VLOOKUP(Table13[[#This Row],[kbli5]],Table1[[#All],[kbli5]:[digital_hijau]],6,)</f>
        <v>#N/A</v>
      </c>
      <c r="H1128" s="54" t="e">
        <f>VLOOKUP(Table13[[#This Row],[kbli5]],kata_kunci!$B:$H,3,FALSE)</f>
        <v>#N/A</v>
      </c>
      <c r="I1128" s="84" t="e">
        <f>VLOOKUP(Table13[[#This Row],[kbli5]],kata_kunci!$B:$H,5,FALSE)</f>
        <v>#N/A</v>
      </c>
      <c r="J1128" s="84" t="e">
        <f>VLOOKUP(Table13[[#This Row],[kbli5]],kata_kunci!$B:$H,6,FALSE)</f>
        <v>#N/A</v>
      </c>
      <c r="K1128" s="84" t="e">
        <f>VLOOKUP(Table13[[#This Row],[kbli5]],kata_kunci!$B:$H,7,FALSE)</f>
        <v>#N/A</v>
      </c>
    </row>
    <row r="1129" spans="1:11" ht="45.75" thickBot="1" x14ac:dyDescent="0.3">
      <c r="A1129" s="53" t="s">
        <v>1347</v>
      </c>
      <c r="B1129" s="40">
        <v>64920</v>
      </c>
      <c r="C1129" s="16" t="s">
        <v>1364</v>
      </c>
      <c r="D1129" s="30" t="e">
        <f>VLOOKUP(Table13[[#This Row],[kbli5]],Table1[[#All],[kbli5]:[digital_hijau]],3,)</f>
        <v>#N/A</v>
      </c>
      <c r="E1129" s="53" t="e">
        <f>VLOOKUP(Table13[[#This Row],[kbli5]],kata_kunci!$B:$H,4,FALSE)</f>
        <v>#N/A</v>
      </c>
      <c r="F1129" s="53" t="e">
        <f>VLOOKUP(Table13[[#This Row],[kbli5]],Table1[[#All],[kbli5]:[digital_hijau]],5,)</f>
        <v>#N/A</v>
      </c>
      <c r="G1129" s="53" t="e">
        <f>VLOOKUP(Table13[[#This Row],[kbli5]],Table1[[#All],[kbli5]:[digital_hijau]],6,)</f>
        <v>#N/A</v>
      </c>
      <c r="H1129" s="54" t="e">
        <f>VLOOKUP(Table13[[#This Row],[kbli5]],kata_kunci!$B:$H,3,FALSE)</f>
        <v>#N/A</v>
      </c>
      <c r="I1129" s="84" t="e">
        <f>VLOOKUP(Table13[[#This Row],[kbli5]],kata_kunci!$B:$H,5,FALSE)</f>
        <v>#N/A</v>
      </c>
      <c r="J1129" s="84" t="e">
        <f>VLOOKUP(Table13[[#This Row],[kbli5]],kata_kunci!$B:$H,6,FALSE)</f>
        <v>#N/A</v>
      </c>
      <c r="K1129" s="84" t="e">
        <f>VLOOKUP(Table13[[#This Row],[kbli5]],kata_kunci!$B:$H,7,FALSE)</f>
        <v>#N/A</v>
      </c>
    </row>
    <row r="1130" spans="1:11" ht="15.75" thickBot="1" x14ac:dyDescent="0.3">
      <c r="A1130" s="53" t="s">
        <v>1347</v>
      </c>
      <c r="B1130" s="40">
        <v>64930</v>
      </c>
      <c r="C1130" s="16" t="s">
        <v>1365</v>
      </c>
      <c r="D1130" s="30" t="e">
        <f>VLOOKUP(Table13[[#This Row],[kbli5]],Table1[[#All],[kbli5]:[digital_hijau]],3,)</f>
        <v>#N/A</v>
      </c>
      <c r="E1130" s="53" t="e">
        <f>VLOOKUP(Table13[[#This Row],[kbli5]],kata_kunci!$B:$H,4,FALSE)</f>
        <v>#N/A</v>
      </c>
      <c r="F1130" s="53" t="e">
        <f>VLOOKUP(Table13[[#This Row],[kbli5]],Table1[[#All],[kbli5]:[digital_hijau]],5,)</f>
        <v>#N/A</v>
      </c>
      <c r="G1130" s="53" t="e">
        <f>VLOOKUP(Table13[[#This Row],[kbli5]],Table1[[#All],[kbli5]:[digital_hijau]],6,)</f>
        <v>#N/A</v>
      </c>
      <c r="H1130" s="54" t="e">
        <f>VLOOKUP(Table13[[#This Row],[kbli5]],kata_kunci!$B:$H,3,FALSE)</f>
        <v>#N/A</v>
      </c>
      <c r="I1130" s="84" t="e">
        <f>VLOOKUP(Table13[[#This Row],[kbli5]],kata_kunci!$B:$H,5,FALSE)</f>
        <v>#N/A</v>
      </c>
      <c r="J1130" s="84" t="e">
        <f>VLOOKUP(Table13[[#This Row],[kbli5]],kata_kunci!$B:$H,6,FALSE)</f>
        <v>#N/A</v>
      </c>
      <c r="K1130" s="84" t="e">
        <f>VLOOKUP(Table13[[#This Row],[kbli5]],kata_kunci!$B:$H,7,FALSE)</f>
        <v>#N/A</v>
      </c>
    </row>
    <row r="1131" spans="1:11" ht="15.75" thickBot="1" x14ac:dyDescent="0.3">
      <c r="A1131" s="53" t="s">
        <v>1347</v>
      </c>
      <c r="B1131" s="40">
        <v>64940</v>
      </c>
      <c r="C1131" s="16" t="s">
        <v>1366</v>
      </c>
      <c r="D1131" s="30" t="e">
        <f>VLOOKUP(Table13[[#This Row],[kbli5]],Table1[[#All],[kbli5]:[digital_hijau]],3,)</f>
        <v>#N/A</v>
      </c>
      <c r="E1131" s="53" t="e">
        <f>VLOOKUP(Table13[[#This Row],[kbli5]],kata_kunci!$B:$H,4,FALSE)</f>
        <v>#N/A</v>
      </c>
      <c r="F1131" s="53" t="e">
        <f>VLOOKUP(Table13[[#This Row],[kbli5]],Table1[[#All],[kbli5]:[digital_hijau]],5,)</f>
        <v>#N/A</v>
      </c>
      <c r="G1131" s="53" t="e">
        <f>VLOOKUP(Table13[[#This Row],[kbli5]],Table1[[#All],[kbli5]:[digital_hijau]],6,)</f>
        <v>#N/A</v>
      </c>
      <c r="H1131" s="54" t="e">
        <f>VLOOKUP(Table13[[#This Row],[kbli5]],kata_kunci!$B:$H,3,FALSE)</f>
        <v>#N/A</v>
      </c>
      <c r="I1131" s="84" t="e">
        <f>VLOOKUP(Table13[[#This Row],[kbli5]],kata_kunci!$B:$H,5,FALSE)</f>
        <v>#N/A</v>
      </c>
      <c r="J1131" s="84" t="e">
        <f>VLOOKUP(Table13[[#This Row],[kbli5]],kata_kunci!$B:$H,6,FALSE)</f>
        <v>#N/A</v>
      </c>
      <c r="K1131" s="84" t="e">
        <f>VLOOKUP(Table13[[#This Row],[kbli5]],kata_kunci!$B:$H,7,FALSE)</f>
        <v>#N/A</v>
      </c>
    </row>
    <row r="1132" spans="1:11" ht="45.75" thickBot="1" x14ac:dyDescent="0.3">
      <c r="A1132" s="53" t="s">
        <v>1347</v>
      </c>
      <c r="B1132" s="40">
        <v>64951</v>
      </c>
      <c r="C1132" s="16" t="s">
        <v>1367</v>
      </c>
      <c r="D1132" s="30" t="e">
        <f>VLOOKUP(Table13[[#This Row],[kbli5]],Table1[[#All],[kbli5]:[digital_hijau]],3,)</f>
        <v>#N/A</v>
      </c>
      <c r="E1132" s="53" t="e">
        <f>VLOOKUP(Table13[[#This Row],[kbli5]],kata_kunci!$B:$H,4,FALSE)</f>
        <v>#N/A</v>
      </c>
      <c r="F1132" s="53" t="e">
        <f>VLOOKUP(Table13[[#This Row],[kbli5]],Table1[[#All],[kbli5]:[digital_hijau]],5,)</f>
        <v>#N/A</v>
      </c>
      <c r="G1132" s="53" t="e">
        <f>VLOOKUP(Table13[[#This Row],[kbli5]],Table1[[#All],[kbli5]:[digital_hijau]],6,)</f>
        <v>#N/A</v>
      </c>
      <c r="H1132" s="54" t="e">
        <f>VLOOKUP(Table13[[#This Row],[kbli5]],kata_kunci!$B:$H,3,FALSE)</f>
        <v>#N/A</v>
      </c>
      <c r="I1132" s="84" t="e">
        <f>VLOOKUP(Table13[[#This Row],[kbli5]],kata_kunci!$B:$H,5,FALSE)</f>
        <v>#N/A</v>
      </c>
      <c r="J1132" s="84" t="e">
        <f>VLOOKUP(Table13[[#This Row],[kbli5]],kata_kunci!$B:$H,6,FALSE)</f>
        <v>#N/A</v>
      </c>
      <c r="K1132" s="84" t="e">
        <f>VLOOKUP(Table13[[#This Row],[kbli5]],kata_kunci!$B:$H,7,FALSE)</f>
        <v>#N/A</v>
      </c>
    </row>
    <row r="1133" spans="1:11" ht="30.75" thickBot="1" x14ac:dyDescent="0.3">
      <c r="A1133" s="53" t="s">
        <v>1347</v>
      </c>
      <c r="B1133" s="40">
        <v>64952</v>
      </c>
      <c r="C1133" s="16" t="s">
        <v>1368</v>
      </c>
      <c r="D1133" s="30" t="e">
        <f>VLOOKUP(Table13[[#This Row],[kbli5]],Table1[[#All],[kbli5]:[digital_hijau]],3,)</f>
        <v>#N/A</v>
      </c>
      <c r="E1133" s="53" t="e">
        <f>VLOOKUP(Table13[[#This Row],[kbli5]],kata_kunci!$B:$H,4,FALSE)</f>
        <v>#N/A</v>
      </c>
      <c r="F1133" s="53" t="e">
        <f>VLOOKUP(Table13[[#This Row],[kbli5]],Table1[[#All],[kbli5]:[digital_hijau]],5,)</f>
        <v>#N/A</v>
      </c>
      <c r="G1133" s="53" t="e">
        <f>VLOOKUP(Table13[[#This Row],[kbli5]],Table1[[#All],[kbli5]:[digital_hijau]],6,)</f>
        <v>#N/A</v>
      </c>
      <c r="H1133" s="54" t="e">
        <f>VLOOKUP(Table13[[#This Row],[kbli5]],kata_kunci!$B:$H,3,FALSE)</f>
        <v>#N/A</v>
      </c>
      <c r="I1133" s="84" t="e">
        <f>VLOOKUP(Table13[[#This Row],[kbli5]],kata_kunci!$B:$H,5,FALSE)</f>
        <v>#N/A</v>
      </c>
      <c r="J1133" s="84" t="e">
        <f>VLOOKUP(Table13[[#This Row],[kbli5]],kata_kunci!$B:$H,6,FALSE)</f>
        <v>#N/A</v>
      </c>
      <c r="K1133" s="84" t="e">
        <f>VLOOKUP(Table13[[#This Row],[kbli5]],kata_kunci!$B:$H,7,FALSE)</f>
        <v>#N/A</v>
      </c>
    </row>
    <row r="1134" spans="1:11" ht="30.75" thickBot="1" x14ac:dyDescent="0.3">
      <c r="A1134" s="53" t="s">
        <v>1347</v>
      </c>
      <c r="B1134" s="40">
        <v>64953</v>
      </c>
      <c r="C1134" s="16" t="s">
        <v>1369</v>
      </c>
      <c r="D1134" s="30" t="str">
        <f>VLOOKUP(Table13[[#This Row],[kbli5]],Table1[[#All],[kbli5]:[digital_hijau]],3,)</f>
        <v>Aktv gadai konvensional; pegadaian;</v>
      </c>
      <c r="E1134" s="53" t="e">
        <f>VLOOKUP(Table13[[#This Row],[kbli5]],kata_kunci!$B:$H,4,FALSE)</f>
        <v>#N/A</v>
      </c>
      <c r="F1134" s="53" t="str">
        <f>VLOOKUP(Table13[[#This Row],[kbli5]],Table1[[#All],[kbli5]:[digital_hijau]],5,)</f>
        <v>Esensial</v>
      </c>
      <c r="G1134" s="53">
        <f>VLOOKUP(Table13[[#This Row],[kbli5]],Table1[[#All],[kbli5]:[digital_hijau]],6,)</f>
        <v>0</v>
      </c>
      <c r="H1134" s="54" t="e">
        <f>VLOOKUP(Table13[[#This Row],[kbli5]],kata_kunci!$B:$H,3,FALSE)</f>
        <v>#N/A</v>
      </c>
      <c r="I1134" s="84" t="e">
        <f>VLOOKUP(Table13[[#This Row],[kbli5]],kata_kunci!$B:$H,5,FALSE)</f>
        <v>#N/A</v>
      </c>
      <c r="J1134" s="84" t="e">
        <f>VLOOKUP(Table13[[#This Row],[kbli5]],kata_kunci!$B:$H,6,FALSE)</f>
        <v>#N/A</v>
      </c>
      <c r="K1134" s="84" t="e">
        <f>VLOOKUP(Table13[[#This Row],[kbli5]],kata_kunci!$B:$H,7,FALSE)</f>
        <v>#N/A</v>
      </c>
    </row>
    <row r="1135" spans="1:11" ht="15.75" thickBot="1" x14ac:dyDescent="0.3">
      <c r="A1135" s="53" t="s">
        <v>1347</v>
      </c>
      <c r="B1135" s="40">
        <v>64954</v>
      </c>
      <c r="C1135" s="16" t="s">
        <v>1370</v>
      </c>
      <c r="D1135" s="30" t="str">
        <f>VLOOKUP(Table13[[#This Row],[kbli5]],Table1[[#All],[kbli5]:[digital_hijau]],3,)</f>
        <v>Aktivitas gadai syariah; pegadaian syariah;</v>
      </c>
      <c r="E1135" s="53" t="e">
        <f>VLOOKUP(Table13[[#This Row],[kbli5]],kata_kunci!$B:$H,4,FALSE)</f>
        <v>#N/A</v>
      </c>
      <c r="F1135" s="53" t="str">
        <f>VLOOKUP(Table13[[#This Row],[kbli5]],Table1[[#All],[kbli5]:[digital_hijau]],5,)</f>
        <v>Esensial</v>
      </c>
      <c r="G1135" s="53">
        <f>VLOOKUP(Table13[[#This Row],[kbli5]],Table1[[#All],[kbli5]:[digital_hijau]],6,)</f>
        <v>0</v>
      </c>
      <c r="H1135" s="54" t="e">
        <f>VLOOKUP(Table13[[#This Row],[kbli5]],kata_kunci!$B:$H,3,FALSE)</f>
        <v>#N/A</v>
      </c>
      <c r="I1135" s="84" t="e">
        <f>VLOOKUP(Table13[[#This Row],[kbli5]],kata_kunci!$B:$H,5,FALSE)</f>
        <v>#N/A</v>
      </c>
      <c r="J1135" s="84" t="e">
        <f>VLOOKUP(Table13[[#This Row],[kbli5]],kata_kunci!$B:$H,6,FALSE)</f>
        <v>#N/A</v>
      </c>
      <c r="K1135" s="84" t="e">
        <f>VLOOKUP(Table13[[#This Row],[kbli5]],kata_kunci!$B:$H,7,FALSE)</f>
        <v>#N/A</v>
      </c>
    </row>
    <row r="1136" spans="1:11" ht="30.75" thickBot="1" x14ac:dyDescent="0.3">
      <c r="A1136" s="53" t="s">
        <v>1347</v>
      </c>
      <c r="B1136" s="40">
        <v>64955</v>
      </c>
      <c r="C1136" s="16" t="s">
        <v>1371</v>
      </c>
      <c r="D1136" s="30" t="e">
        <f>VLOOKUP(Table13[[#This Row],[kbli5]],Table1[[#All],[kbli5]:[digital_hijau]],3,)</f>
        <v>#N/A</v>
      </c>
      <c r="E1136" s="53" t="e">
        <f>VLOOKUP(Table13[[#This Row],[kbli5]],kata_kunci!$B:$H,4,FALSE)</f>
        <v>#N/A</v>
      </c>
      <c r="F1136" s="53" t="e">
        <f>VLOOKUP(Table13[[#This Row],[kbli5]],Table1[[#All],[kbli5]:[digital_hijau]],5,)</f>
        <v>#N/A</v>
      </c>
      <c r="G1136" s="53" t="e">
        <f>VLOOKUP(Table13[[#This Row],[kbli5]],Table1[[#All],[kbli5]:[digital_hijau]],6,)</f>
        <v>#N/A</v>
      </c>
      <c r="H1136" s="54" t="e">
        <f>VLOOKUP(Table13[[#This Row],[kbli5]],kata_kunci!$B:$H,3,FALSE)</f>
        <v>#N/A</v>
      </c>
      <c r="I1136" s="84" t="e">
        <f>VLOOKUP(Table13[[#This Row],[kbli5]],kata_kunci!$B:$H,5,FALSE)</f>
        <v>#N/A</v>
      </c>
      <c r="J1136" s="84" t="e">
        <f>VLOOKUP(Table13[[#This Row],[kbli5]],kata_kunci!$B:$H,6,FALSE)</f>
        <v>#N/A</v>
      </c>
      <c r="K1136" s="84" t="e">
        <f>VLOOKUP(Table13[[#This Row],[kbli5]],kata_kunci!$B:$H,7,FALSE)</f>
        <v>#N/A</v>
      </c>
    </row>
    <row r="1137" spans="1:11" ht="30.75" thickBot="1" x14ac:dyDescent="0.3">
      <c r="A1137" s="53" t="s">
        <v>1347</v>
      </c>
      <c r="B1137" s="40">
        <v>64959</v>
      </c>
      <c r="C1137" s="16" t="s">
        <v>1372</v>
      </c>
      <c r="D1137" s="30" t="e">
        <f>VLOOKUP(Table13[[#This Row],[kbli5]],Table1[[#All],[kbli5]:[digital_hijau]],3,)</f>
        <v>#N/A</v>
      </c>
      <c r="E1137" s="53" t="e">
        <f>VLOOKUP(Table13[[#This Row],[kbli5]],kata_kunci!$B:$H,4,FALSE)</f>
        <v>#N/A</v>
      </c>
      <c r="F1137" s="53" t="e">
        <f>VLOOKUP(Table13[[#This Row],[kbli5]],Table1[[#All],[kbli5]:[digital_hijau]],5,)</f>
        <v>#N/A</v>
      </c>
      <c r="G1137" s="53" t="e">
        <f>VLOOKUP(Table13[[#This Row],[kbli5]],Table1[[#All],[kbli5]:[digital_hijau]],6,)</f>
        <v>#N/A</v>
      </c>
      <c r="H1137" s="54" t="e">
        <f>VLOOKUP(Table13[[#This Row],[kbli5]],kata_kunci!$B:$H,3,FALSE)</f>
        <v>#N/A</v>
      </c>
      <c r="I1137" s="84" t="e">
        <f>VLOOKUP(Table13[[#This Row],[kbli5]],kata_kunci!$B:$H,5,FALSE)</f>
        <v>#N/A</v>
      </c>
      <c r="J1137" s="84" t="e">
        <f>VLOOKUP(Table13[[#This Row],[kbli5]],kata_kunci!$B:$H,6,FALSE)</f>
        <v>#N/A</v>
      </c>
      <c r="K1137" s="84" t="e">
        <f>VLOOKUP(Table13[[#This Row],[kbli5]],kata_kunci!$B:$H,7,FALSE)</f>
        <v>#N/A</v>
      </c>
    </row>
    <row r="1138" spans="1:11" ht="30.75" thickBot="1" x14ac:dyDescent="0.3">
      <c r="A1138" s="53" t="s">
        <v>1347</v>
      </c>
      <c r="B1138" s="40">
        <v>64991</v>
      </c>
      <c r="C1138" s="16" t="s">
        <v>1373</v>
      </c>
      <c r="D1138" s="30" t="e">
        <f>VLOOKUP(Table13[[#This Row],[kbli5]],Table1[[#All],[kbli5]:[digital_hijau]],3,)</f>
        <v>#N/A</v>
      </c>
      <c r="E1138" s="53" t="e">
        <f>VLOOKUP(Table13[[#This Row],[kbli5]],kata_kunci!$B:$H,4,FALSE)</f>
        <v>#N/A</v>
      </c>
      <c r="F1138" s="53" t="e">
        <f>VLOOKUP(Table13[[#This Row],[kbli5]],Table1[[#All],[kbli5]:[digital_hijau]],5,)</f>
        <v>#N/A</v>
      </c>
      <c r="G1138" s="53" t="e">
        <f>VLOOKUP(Table13[[#This Row],[kbli5]],Table1[[#All],[kbli5]:[digital_hijau]],6,)</f>
        <v>#N/A</v>
      </c>
      <c r="H1138" s="54" t="e">
        <f>VLOOKUP(Table13[[#This Row],[kbli5]],kata_kunci!$B:$H,3,FALSE)</f>
        <v>#N/A</v>
      </c>
      <c r="I1138" s="84" t="e">
        <f>VLOOKUP(Table13[[#This Row],[kbli5]],kata_kunci!$B:$H,5,FALSE)</f>
        <v>#N/A</v>
      </c>
      <c r="J1138" s="84" t="e">
        <f>VLOOKUP(Table13[[#This Row],[kbli5]],kata_kunci!$B:$H,6,FALSE)</f>
        <v>#N/A</v>
      </c>
      <c r="K1138" s="84" t="e">
        <f>VLOOKUP(Table13[[#This Row],[kbli5]],kata_kunci!$B:$H,7,FALSE)</f>
        <v>#N/A</v>
      </c>
    </row>
    <row r="1139" spans="1:11" ht="30.75" thickBot="1" x14ac:dyDescent="0.3">
      <c r="A1139" s="53" t="s">
        <v>1347</v>
      </c>
      <c r="B1139" s="40">
        <v>64992</v>
      </c>
      <c r="C1139" s="16" t="s">
        <v>1374</v>
      </c>
      <c r="D1139" s="30" t="e">
        <f>VLOOKUP(Table13[[#This Row],[kbli5]],Table1[[#All],[kbli5]:[digital_hijau]],3,)</f>
        <v>#N/A</v>
      </c>
      <c r="E1139" s="53" t="e">
        <f>VLOOKUP(Table13[[#This Row],[kbli5]],kata_kunci!$B:$H,4,FALSE)</f>
        <v>#N/A</v>
      </c>
      <c r="F1139" s="53" t="e">
        <f>VLOOKUP(Table13[[#This Row],[kbli5]],Table1[[#All],[kbli5]:[digital_hijau]],5,)</f>
        <v>#N/A</v>
      </c>
      <c r="G1139" s="53" t="e">
        <f>VLOOKUP(Table13[[#This Row],[kbli5]],Table1[[#All],[kbli5]:[digital_hijau]],6,)</f>
        <v>#N/A</v>
      </c>
      <c r="H1139" s="54" t="e">
        <f>VLOOKUP(Table13[[#This Row],[kbli5]],kata_kunci!$B:$H,3,FALSE)</f>
        <v>#N/A</v>
      </c>
      <c r="I1139" s="84" t="e">
        <f>VLOOKUP(Table13[[#This Row],[kbli5]],kata_kunci!$B:$H,5,FALSE)</f>
        <v>#N/A</v>
      </c>
      <c r="J1139" s="84" t="e">
        <f>VLOOKUP(Table13[[#This Row],[kbli5]],kata_kunci!$B:$H,6,FALSE)</f>
        <v>#N/A</v>
      </c>
      <c r="K1139" s="84" t="e">
        <f>VLOOKUP(Table13[[#This Row],[kbli5]],kata_kunci!$B:$H,7,FALSE)</f>
        <v>#N/A</v>
      </c>
    </row>
    <row r="1140" spans="1:11" ht="45.75" thickBot="1" x14ac:dyDescent="0.3">
      <c r="A1140" s="53" t="s">
        <v>1347</v>
      </c>
      <c r="B1140" s="40">
        <v>64993</v>
      </c>
      <c r="C1140" s="16" t="s">
        <v>1375</v>
      </c>
      <c r="D1140" s="30" t="e">
        <f>VLOOKUP(Table13[[#This Row],[kbli5]],Table1[[#All],[kbli5]:[digital_hijau]],3,)</f>
        <v>#N/A</v>
      </c>
      <c r="E1140" s="53" t="e">
        <f>VLOOKUP(Table13[[#This Row],[kbli5]],kata_kunci!$B:$H,4,FALSE)</f>
        <v>#N/A</v>
      </c>
      <c r="F1140" s="53" t="e">
        <f>VLOOKUP(Table13[[#This Row],[kbli5]],Table1[[#All],[kbli5]:[digital_hijau]],5,)</f>
        <v>#N/A</v>
      </c>
      <c r="G1140" s="53" t="e">
        <f>VLOOKUP(Table13[[#This Row],[kbli5]],Table1[[#All],[kbli5]:[digital_hijau]],6,)</f>
        <v>#N/A</v>
      </c>
      <c r="H1140" s="54" t="e">
        <f>VLOOKUP(Table13[[#This Row],[kbli5]],kata_kunci!$B:$H,3,FALSE)</f>
        <v>#N/A</v>
      </c>
      <c r="I1140" s="84" t="e">
        <f>VLOOKUP(Table13[[#This Row],[kbli5]],kata_kunci!$B:$H,5,FALSE)</f>
        <v>#N/A</v>
      </c>
      <c r="J1140" s="84" t="e">
        <f>VLOOKUP(Table13[[#This Row],[kbli5]],kata_kunci!$B:$H,6,FALSE)</f>
        <v>#N/A</v>
      </c>
      <c r="K1140" s="84" t="e">
        <f>VLOOKUP(Table13[[#This Row],[kbli5]],kata_kunci!$B:$H,7,FALSE)</f>
        <v>#N/A</v>
      </c>
    </row>
    <row r="1141" spans="1:11" ht="45.75" thickBot="1" x14ac:dyDescent="0.3">
      <c r="A1141" s="53" t="s">
        <v>1347</v>
      </c>
      <c r="B1141" s="40">
        <v>64994</v>
      </c>
      <c r="C1141" s="16" t="s">
        <v>1376</v>
      </c>
      <c r="D1141" s="30" t="e">
        <f>VLOOKUP(Table13[[#This Row],[kbli5]],Table1[[#All],[kbli5]:[digital_hijau]],3,)</f>
        <v>#N/A</v>
      </c>
      <c r="E1141" s="53" t="e">
        <f>VLOOKUP(Table13[[#This Row],[kbli5]],kata_kunci!$B:$H,4,FALSE)</f>
        <v>#N/A</v>
      </c>
      <c r="F1141" s="53" t="e">
        <f>VLOOKUP(Table13[[#This Row],[kbli5]],Table1[[#All],[kbli5]:[digital_hijau]],5,)</f>
        <v>#N/A</v>
      </c>
      <c r="G1141" s="53" t="e">
        <f>VLOOKUP(Table13[[#This Row],[kbli5]],Table1[[#All],[kbli5]:[digital_hijau]],6,)</f>
        <v>#N/A</v>
      </c>
      <c r="H1141" s="54" t="e">
        <f>VLOOKUP(Table13[[#This Row],[kbli5]],kata_kunci!$B:$H,3,FALSE)</f>
        <v>#N/A</v>
      </c>
      <c r="I1141" s="84" t="e">
        <f>VLOOKUP(Table13[[#This Row],[kbli5]],kata_kunci!$B:$H,5,FALSE)</f>
        <v>#N/A</v>
      </c>
      <c r="J1141" s="84" t="e">
        <f>VLOOKUP(Table13[[#This Row],[kbli5]],kata_kunci!$B:$H,6,FALSE)</f>
        <v>#N/A</v>
      </c>
      <c r="K1141" s="84" t="e">
        <f>VLOOKUP(Table13[[#This Row],[kbli5]],kata_kunci!$B:$H,7,FALSE)</f>
        <v>#N/A</v>
      </c>
    </row>
    <row r="1142" spans="1:11" ht="45.75" thickBot="1" x14ac:dyDescent="0.3">
      <c r="A1142" s="53" t="s">
        <v>1347</v>
      </c>
      <c r="B1142" s="40">
        <v>64995</v>
      </c>
      <c r="C1142" s="16" t="s">
        <v>1377</v>
      </c>
      <c r="D1142" s="30" t="e">
        <f>VLOOKUP(Table13[[#This Row],[kbli5]],Table1[[#All],[kbli5]:[digital_hijau]],3,)</f>
        <v>#N/A</v>
      </c>
      <c r="E1142" s="53" t="e">
        <f>VLOOKUP(Table13[[#This Row],[kbli5]],kata_kunci!$B:$H,4,FALSE)</f>
        <v>#N/A</v>
      </c>
      <c r="F1142" s="53" t="e">
        <f>VLOOKUP(Table13[[#This Row],[kbli5]],Table1[[#All],[kbli5]:[digital_hijau]],5,)</f>
        <v>#N/A</v>
      </c>
      <c r="G1142" s="53" t="e">
        <f>VLOOKUP(Table13[[#This Row],[kbli5]],Table1[[#All],[kbli5]:[digital_hijau]],6,)</f>
        <v>#N/A</v>
      </c>
      <c r="H1142" s="54" t="e">
        <f>VLOOKUP(Table13[[#This Row],[kbli5]],kata_kunci!$B:$H,3,FALSE)</f>
        <v>#N/A</v>
      </c>
      <c r="I1142" s="84" t="e">
        <f>VLOOKUP(Table13[[#This Row],[kbli5]],kata_kunci!$B:$H,5,FALSE)</f>
        <v>#N/A</v>
      </c>
      <c r="J1142" s="84" t="e">
        <f>VLOOKUP(Table13[[#This Row],[kbli5]],kata_kunci!$B:$H,6,FALSE)</f>
        <v>#N/A</v>
      </c>
      <c r="K1142" s="84" t="e">
        <f>VLOOKUP(Table13[[#This Row],[kbli5]],kata_kunci!$B:$H,7,FALSE)</f>
        <v>#N/A</v>
      </c>
    </row>
    <row r="1143" spans="1:11" ht="30.75" thickBot="1" x14ac:dyDescent="0.3">
      <c r="A1143" s="53" t="s">
        <v>1347</v>
      </c>
      <c r="B1143" s="40">
        <v>64996</v>
      </c>
      <c r="C1143" s="16" t="s">
        <v>1378</v>
      </c>
      <c r="D1143" s="30" t="e">
        <f>VLOOKUP(Table13[[#This Row],[kbli5]],Table1[[#All],[kbli5]:[digital_hijau]],3,)</f>
        <v>#N/A</v>
      </c>
      <c r="E1143" s="53" t="e">
        <f>VLOOKUP(Table13[[#This Row],[kbli5]],kata_kunci!$B:$H,4,FALSE)</f>
        <v>#N/A</v>
      </c>
      <c r="F1143" s="53" t="e">
        <f>VLOOKUP(Table13[[#This Row],[kbli5]],Table1[[#All],[kbli5]:[digital_hijau]],5,)</f>
        <v>#N/A</v>
      </c>
      <c r="G1143" s="53" t="e">
        <f>VLOOKUP(Table13[[#This Row],[kbli5]],Table1[[#All],[kbli5]:[digital_hijau]],6,)</f>
        <v>#N/A</v>
      </c>
      <c r="H1143" s="54" t="e">
        <f>VLOOKUP(Table13[[#This Row],[kbli5]],kata_kunci!$B:$H,3,FALSE)</f>
        <v>#N/A</v>
      </c>
      <c r="I1143" s="84" t="e">
        <f>VLOOKUP(Table13[[#This Row],[kbli5]],kata_kunci!$B:$H,5,FALSE)</f>
        <v>#N/A</v>
      </c>
      <c r="J1143" s="84" t="e">
        <f>VLOOKUP(Table13[[#This Row],[kbli5]],kata_kunci!$B:$H,6,FALSE)</f>
        <v>#N/A</v>
      </c>
      <c r="K1143" s="84" t="e">
        <f>VLOOKUP(Table13[[#This Row],[kbli5]],kata_kunci!$B:$H,7,FALSE)</f>
        <v>#N/A</v>
      </c>
    </row>
    <row r="1144" spans="1:11" ht="30.75" thickBot="1" x14ac:dyDescent="0.3">
      <c r="A1144" s="53" t="s">
        <v>1347</v>
      </c>
      <c r="B1144" s="40">
        <v>64997</v>
      </c>
      <c r="C1144" s="16" t="s">
        <v>1379</v>
      </c>
      <c r="D1144" s="30" t="e">
        <f>VLOOKUP(Table13[[#This Row],[kbli5]],Table1[[#All],[kbli5]:[digital_hijau]],3,)</f>
        <v>#N/A</v>
      </c>
      <c r="E1144" s="53" t="e">
        <f>VLOOKUP(Table13[[#This Row],[kbli5]],kata_kunci!$B:$H,4,FALSE)</f>
        <v>#N/A</v>
      </c>
      <c r="F1144" s="53" t="e">
        <f>VLOOKUP(Table13[[#This Row],[kbli5]],Table1[[#All],[kbli5]:[digital_hijau]],5,)</f>
        <v>#N/A</v>
      </c>
      <c r="G1144" s="53" t="e">
        <f>VLOOKUP(Table13[[#This Row],[kbli5]],Table1[[#All],[kbli5]:[digital_hijau]],6,)</f>
        <v>#N/A</v>
      </c>
      <c r="H1144" s="54" t="e">
        <f>VLOOKUP(Table13[[#This Row],[kbli5]],kata_kunci!$B:$H,3,FALSE)</f>
        <v>#N/A</v>
      </c>
      <c r="I1144" s="84" t="e">
        <f>VLOOKUP(Table13[[#This Row],[kbli5]],kata_kunci!$B:$H,5,FALSE)</f>
        <v>#N/A</v>
      </c>
      <c r="J1144" s="84" t="e">
        <f>VLOOKUP(Table13[[#This Row],[kbli5]],kata_kunci!$B:$H,6,FALSE)</f>
        <v>#N/A</v>
      </c>
      <c r="K1144" s="84" t="e">
        <f>VLOOKUP(Table13[[#This Row],[kbli5]],kata_kunci!$B:$H,7,FALSE)</f>
        <v>#N/A</v>
      </c>
    </row>
    <row r="1145" spans="1:11" ht="45.75" thickBot="1" x14ac:dyDescent="0.3">
      <c r="A1145" s="53" t="s">
        <v>1347</v>
      </c>
      <c r="B1145" s="40">
        <v>64999</v>
      </c>
      <c r="C1145" s="16" t="s">
        <v>1380</v>
      </c>
      <c r="D1145" s="30" t="e">
        <f>VLOOKUP(Table13[[#This Row],[kbli5]],Table1[[#All],[kbli5]:[digital_hijau]],3,)</f>
        <v>#N/A</v>
      </c>
      <c r="E1145" s="53" t="e">
        <f>VLOOKUP(Table13[[#This Row],[kbli5]],kata_kunci!$B:$H,4,FALSE)</f>
        <v>#N/A</v>
      </c>
      <c r="F1145" s="53" t="e">
        <f>VLOOKUP(Table13[[#This Row],[kbli5]],Table1[[#All],[kbli5]:[digital_hijau]],5,)</f>
        <v>#N/A</v>
      </c>
      <c r="G1145" s="53" t="e">
        <f>VLOOKUP(Table13[[#This Row],[kbli5]],Table1[[#All],[kbli5]:[digital_hijau]],6,)</f>
        <v>#N/A</v>
      </c>
      <c r="H1145" s="54" t="e">
        <f>VLOOKUP(Table13[[#This Row],[kbli5]],kata_kunci!$B:$H,3,FALSE)</f>
        <v>#N/A</v>
      </c>
      <c r="I1145" s="84" t="e">
        <f>VLOOKUP(Table13[[#This Row],[kbli5]],kata_kunci!$B:$H,5,FALSE)</f>
        <v>#N/A</v>
      </c>
      <c r="J1145" s="84" t="e">
        <f>VLOOKUP(Table13[[#This Row],[kbli5]],kata_kunci!$B:$H,6,FALSE)</f>
        <v>#N/A</v>
      </c>
      <c r="K1145" s="84" t="e">
        <f>VLOOKUP(Table13[[#This Row],[kbli5]],kata_kunci!$B:$H,7,FALSE)</f>
        <v>#N/A</v>
      </c>
    </row>
    <row r="1146" spans="1:11" ht="30.75" thickBot="1" x14ac:dyDescent="0.3">
      <c r="A1146" s="53" t="s">
        <v>1347</v>
      </c>
      <c r="B1146" s="40">
        <v>65111</v>
      </c>
      <c r="C1146" s="16" t="s">
        <v>1381</v>
      </c>
      <c r="D1146" s="30" t="e">
        <f>VLOOKUP(Table13[[#This Row],[kbli5]],Table1[[#All],[kbli5]:[digital_hijau]],3,)</f>
        <v>#N/A</v>
      </c>
      <c r="E1146" s="53" t="e">
        <f>VLOOKUP(Table13[[#This Row],[kbli5]],kata_kunci!$B:$H,4,FALSE)</f>
        <v>#N/A</v>
      </c>
      <c r="F1146" s="53" t="e">
        <f>VLOOKUP(Table13[[#This Row],[kbli5]],Table1[[#All],[kbli5]:[digital_hijau]],5,)</f>
        <v>#N/A</v>
      </c>
      <c r="G1146" s="53" t="e">
        <f>VLOOKUP(Table13[[#This Row],[kbli5]],Table1[[#All],[kbli5]:[digital_hijau]],6,)</f>
        <v>#N/A</v>
      </c>
      <c r="H1146" s="54" t="e">
        <f>VLOOKUP(Table13[[#This Row],[kbli5]],kata_kunci!$B:$H,3,FALSE)</f>
        <v>#N/A</v>
      </c>
      <c r="I1146" s="84" t="e">
        <f>VLOOKUP(Table13[[#This Row],[kbli5]],kata_kunci!$B:$H,5,FALSE)</f>
        <v>#N/A</v>
      </c>
      <c r="J1146" s="84" t="e">
        <f>VLOOKUP(Table13[[#This Row],[kbli5]],kata_kunci!$B:$H,6,FALSE)</f>
        <v>#N/A</v>
      </c>
      <c r="K1146" s="84" t="e">
        <f>VLOOKUP(Table13[[#This Row],[kbli5]],kata_kunci!$B:$H,7,FALSE)</f>
        <v>#N/A</v>
      </c>
    </row>
    <row r="1147" spans="1:11" ht="15.75" thickBot="1" x14ac:dyDescent="0.3">
      <c r="A1147" s="53" t="s">
        <v>1347</v>
      </c>
      <c r="B1147" s="40">
        <v>65112</v>
      </c>
      <c r="C1147" s="16" t="s">
        <v>1382</v>
      </c>
      <c r="D1147" s="30" t="e">
        <f>VLOOKUP(Table13[[#This Row],[kbli5]],Table1[[#All],[kbli5]:[digital_hijau]],3,)</f>
        <v>#N/A</v>
      </c>
      <c r="E1147" s="53" t="e">
        <f>VLOOKUP(Table13[[#This Row],[kbli5]],kata_kunci!$B:$H,4,FALSE)</f>
        <v>#N/A</v>
      </c>
      <c r="F1147" s="53" t="e">
        <f>VLOOKUP(Table13[[#This Row],[kbli5]],Table1[[#All],[kbli5]:[digital_hijau]],5,)</f>
        <v>#N/A</v>
      </c>
      <c r="G1147" s="53" t="e">
        <f>VLOOKUP(Table13[[#This Row],[kbli5]],Table1[[#All],[kbli5]:[digital_hijau]],6,)</f>
        <v>#N/A</v>
      </c>
      <c r="H1147" s="54" t="e">
        <f>VLOOKUP(Table13[[#This Row],[kbli5]],kata_kunci!$B:$H,3,FALSE)</f>
        <v>#N/A</v>
      </c>
      <c r="I1147" s="84" t="e">
        <f>VLOOKUP(Table13[[#This Row],[kbli5]],kata_kunci!$B:$H,5,FALSE)</f>
        <v>#N/A</v>
      </c>
      <c r="J1147" s="84" t="e">
        <f>VLOOKUP(Table13[[#This Row],[kbli5]],kata_kunci!$B:$H,6,FALSE)</f>
        <v>#N/A</v>
      </c>
      <c r="K1147" s="84" t="e">
        <f>VLOOKUP(Table13[[#This Row],[kbli5]],kata_kunci!$B:$H,7,FALSE)</f>
        <v>#N/A</v>
      </c>
    </row>
    <row r="1148" spans="1:11" ht="30.75" thickBot="1" x14ac:dyDescent="0.3">
      <c r="A1148" s="53" t="s">
        <v>1347</v>
      </c>
      <c r="B1148" s="40">
        <v>65121</v>
      </c>
      <c r="C1148" s="41" t="s">
        <v>1383</v>
      </c>
      <c r="D1148" s="30" t="e">
        <f>VLOOKUP(Table13[[#This Row],[kbli5]],Table1[[#All],[kbli5]:[digital_hijau]],3,)</f>
        <v>#N/A</v>
      </c>
      <c r="E1148" s="53" t="e">
        <f>VLOOKUP(Table13[[#This Row],[kbli5]],kata_kunci!$B:$H,4,FALSE)</f>
        <v>#N/A</v>
      </c>
      <c r="F1148" s="53" t="e">
        <f>VLOOKUP(Table13[[#This Row],[kbli5]],Table1[[#All],[kbli5]:[digital_hijau]],5,)</f>
        <v>#N/A</v>
      </c>
      <c r="G1148" s="53" t="e">
        <f>VLOOKUP(Table13[[#This Row],[kbli5]],Table1[[#All],[kbli5]:[digital_hijau]],6,)</f>
        <v>#N/A</v>
      </c>
      <c r="H1148" s="54" t="e">
        <f>VLOOKUP(Table13[[#This Row],[kbli5]],kata_kunci!$B:$H,3,FALSE)</f>
        <v>#N/A</v>
      </c>
      <c r="I1148" s="84" t="e">
        <f>VLOOKUP(Table13[[#This Row],[kbli5]],kata_kunci!$B:$H,5,FALSE)</f>
        <v>#N/A</v>
      </c>
      <c r="J1148" s="84" t="e">
        <f>VLOOKUP(Table13[[#This Row],[kbli5]],kata_kunci!$B:$H,6,FALSE)</f>
        <v>#N/A</v>
      </c>
      <c r="K1148" s="84" t="e">
        <f>VLOOKUP(Table13[[#This Row],[kbli5]],kata_kunci!$B:$H,7,FALSE)</f>
        <v>#N/A</v>
      </c>
    </row>
    <row r="1149" spans="1:11" ht="15.75" thickBot="1" x14ac:dyDescent="0.3">
      <c r="A1149" s="53" t="s">
        <v>1347</v>
      </c>
      <c r="B1149" s="40">
        <v>65122</v>
      </c>
      <c r="C1149" s="41" t="s">
        <v>1384</v>
      </c>
      <c r="D1149" s="30" t="e">
        <f>VLOOKUP(Table13[[#This Row],[kbli5]],Table1[[#All],[kbli5]:[digital_hijau]],3,)</f>
        <v>#N/A</v>
      </c>
      <c r="E1149" s="53" t="e">
        <f>VLOOKUP(Table13[[#This Row],[kbli5]],kata_kunci!$B:$H,4,FALSE)</f>
        <v>#N/A</v>
      </c>
      <c r="F1149" s="53" t="e">
        <f>VLOOKUP(Table13[[#This Row],[kbli5]],Table1[[#All],[kbli5]:[digital_hijau]],5,)</f>
        <v>#N/A</v>
      </c>
      <c r="G1149" s="53" t="e">
        <f>VLOOKUP(Table13[[#This Row],[kbli5]],Table1[[#All],[kbli5]:[digital_hijau]],6,)</f>
        <v>#N/A</v>
      </c>
      <c r="H1149" s="54" t="e">
        <f>VLOOKUP(Table13[[#This Row],[kbli5]],kata_kunci!$B:$H,3,FALSE)</f>
        <v>#N/A</v>
      </c>
      <c r="I1149" s="84" t="e">
        <f>VLOOKUP(Table13[[#This Row],[kbli5]],kata_kunci!$B:$H,5,FALSE)</f>
        <v>#N/A</v>
      </c>
      <c r="J1149" s="84" t="e">
        <f>VLOOKUP(Table13[[#This Row],[kbli5]],kata_kunci!$B:$H,6,FALSE)</f>
        <v>#N/A</v>
      </c>
      <c r="K1149" s="84" t="e">
        <f>VLOOKUP(Table13[[#This Row],[kbli5]],kata_kunci!$B:$H,7,FALSE)</f>
        <v>#N/A</v>
      </c>
    </row>
    <row r="1150" spans="1:11" ht="30.75" thickBot="1" x14ac:dyDescent="0.3">
      <c r="A1150" s="53" t="s">
        <v>1347</v>
      </c>
      <c r="B1150" s="40">
        <v>65123</v>
      </c>
      <c r="C1150" s="41" t="s">
        <v>1385</v>
      </c>
      <c r="D1150" s="30" t="e">
        <f>VLOOKUP(Table13[[#This Row],[kbli5]],Table1[[#All],[kbli5]:[digital_hijau]],3,)</f>
        <v>#N/A</v>
      </c>
      <c r="E1150" s="53" t="e">
        <f>VLOOKUP(Table13[[#This Row],[kbli5]],kata_kunci!$B:$H,4,FALSE)</f>
        <v>#N/A</v>
      </c>
      <c r="F1150" s="53" t="e">
        <f>VLOOKUP(Table13[[#This Row],[kbli5]],Table1[[#All],[kbli5]:[digital_hijau]],5,)</f>
        <v>#N/A</v>
      </c>
      <c r="G1150" s="53" t="e">
        <f>VLOOKUP(Table13[[#This Row],[kbli5]],Table1[[#All],[kbli5]:[digital_hijau]],6,)</f>
        <v>#N/A</v>
      </c>
      <c r="H1150" s="54" t="e">
        <f>VLOOKUP(Table13[[#This Row],[kbli5]],kata_kunci!$B:$H,3,FALSE)</f>
        <v>#N/A</v>
      </c>
      <c r="I1150" s="84" t="e">
        <f>VLOOKUP(Table13[[#This Row],[kbli5]],kata_kunci!$B:$H,5,FALSE)</f>
        <v>#N/A</v>
      </c>
      <c r="J1150" s="84" t="e">
        <f>VLOOKUP(Table13[[#This Row],[kbli5]],kata_kunci!$B:$H,6,FALSE)</f>
        <v>#N/A</v>
      </c>
      <c r="K1150" s="84" t="e">
        <f>VLOOKUP(Table13[[#This Row],[kbli5]],kata_kunci!$B:$H,7,FALSE)</f>
        <v>#N/A</v>
      </c>
    </row>
    <row r="1151" spans="1:11" ht="30.75" thickBot="1" x14ac:dyDescent="0.3">
      <c r="A1151" s="53" t="s">
        <v>1347</v>
      </c>
      <c r="B1151" s="40">
        <v>65131</v>
      </c>
      <c r="C1151" s="41" t="s">
        <v>1386</v>
      </c>
      <c r="D1151" s="30" t="e">
        <f>VLOOKUP(Table13[[#This Row],[kbli5]],Table1[[#All],[kbli5]:[digital_hijau]],3,)</f>
        <v>#N/A</v>
      </c>
      <c r="E1151" s="53" t="e">
        <f>VLOOKUP(Table13[[#This Row],[kbli5]],kata_kunci!$B:$H,4,FALSE)</f>
        <v>#N/A</v>
      </c>
      <c r="F1151" s="53" t="e">
        <f>VLOOKUP(Table13[[#This Row],[kbli5]],Table1[[#All],[kbli5]:[digital_hijau]],5,)</f>
        <v>#N/A</v>
      </c>
      <c r="G1151" s="53" t="e">
        <f>VLOOKUP(Table13[[#This Row],[kbli5]],Table1[[#All],[kbli5]:[digital_hijau]],6,)</f>
        <v>#N/A</v>
      </c>
      <c r="H1151" s="54" t="e">
        <f>VLOOKUP(Table13[[#This Row],[kbli5]],kata_kunci!$B:$H,3,FALSE)</f>
        <v>#N/A</v>
      </c>
      <c r="I1151" s="84" t="e">
        <f>VLOOKUP(Table13[[#This Row],[kbli5]],kata_kunci!$B:$H,5,FALSE)</f>
        <v>#N/A</v>
      </c>
      <c r="J1151" s="84" t="e">
        <f>VLOOKUP(Table13[[#This Row],[kbli5]],kata_kunci!$B:$H,6,FALSE)</f>
        <v>#N/A</v>
      </c>
      <c r="K1151" s="84" t="e">
        <f>VLOOKUP(Table13[[#This Row],[kbli5]],kata_kunci!$B:$H,7,FALSE)</f>
        <v>#N/A</v>
      </c>
    </row>
    <row r="1152" spans="1:11" ht="15.75" thickBot="1" x14ac:dyDescent="0.3">
      <c r="A1152" s="53" t="s">
        <v>1347</v>
      </c>
      <c r="B1152" s="40">
        <v>65132</v>
      </c>
      <c r="C1152" s="41" t="s">
        <v>1387</v>
      </c>
      <c r="D1152" s="30" t="e">
        <f>VLOOKUP(Table13[[#This Row],[kbli5]],Table1[[#All],[kbli5]:[digital_hijau]],3,)</f>
        <v>#N/A</v>
      </c>
      <c r="E1152" s="53" t="e">
        <f>VLOOKUP(Table13[[#This Row],[kbli5]],kata_kunci!$B:$H,4,FALSE)</f>
        <v>#N/A</v>
      </c>
      <c r="F1152" s="53" t="e">
        <f>VLOOKUP(Table13[[#This Row],[kbli5]],Table1[[#All],[kbli5]:[digital_hijau]],5,)</f>
        <v>#N/A</v>
      </c>
      <c r="G1152" s="53" t="e">
        <f>VLOOKUP(Table13[[#This Row],[kbli5]],Table1[[#All],[kbli5]:[digital_hijau]],6,)</f>
        <v>#N/A</v>
      </c>
      <c r="H1152" s="54" t="e">
        <f>VLOOKUP(Table13[[#This Row],[kbli5]],kata_kunci!$B:$H,3,FALSE)</f>
        <v>#N/A</v>
      </c>
      <c r="I1152" s="84" t="e">
        <f>VLOOKUP(Table13[[#This Row],[kbli5]],kata_kunci!$B:$H,5,FALSE)</f>
        <v>#N/A</v>
      </c>
      <c r="J1152" s="84" t="e">
        <f>VLOOKUP(Table13[[#This Row],[kbli5]],kata_kunci!$B:$H,6,FALSE)</f>
        <v>#N/A</v>
      </c>
      <c r="K1152" s="84" t="e">
        <f>VLOOKUP(Table13[[#This Row],[kbli5]],kata_kunci!$B:$H,7,FALSE)</f>
        <v>#N/A</v>
      </c>
    </row>
    <row r="1153" spans="1:11" ht="30.75" thickBot="1" x14ac:dyDescent="0.3">
      <c r="A1153" s="53" t="s">
        <v>1347</v>
      </c>
      <c r="B1153" s="40">
        <v>65201</v>
      </c>
      <c r="C1153" s="41" t="s">
        <v>1388</v>
      </c>
      <c r="D1153" s="30" t="e">
        <f>VLOOKUP(Table13[[#This Row],[kbli5]],Table1[[#All],[kbli5]:[digital_hijau]],3,)</f>
        <v>#N/A</v>
      </c>
      <c r="E1153" s="53" t="e">
        <f>VLOOKUP(Table13[[#This Row],[kbli5]],kata_kunci!$B:$H,4,FALSE)</f>
        <v>#N/A</v>
      </c>
      <c r="F1153" s="53" t="e">
        <f>VLOOKUP(Table13[[#This Row],[kbli5]],Table1[[#All],[kbli5]:[digital_hijau]],5,)</f>
        <v>#N/A</v>
      </c>
      <c r="G1153" s="53" t="e">
        <f>VLOOKUP(Table13[[#This Row],[kbli5]],Table1[[#All],[kbli5]:[digital_hijau]],6,)</f>
        <v>#N/A</v>
      </c>
      <c r="H1153" s="54" t="e">
        <f>VLOOKUP(Table13[[#This Row],[kbli5]],kata_kunci!$B:$H,3,FALSE)</f>
        <v>#N/A</v>
      </c>
      <c r="I1153" s="84" t="e">
        <f>VLOOKUP(Table13[[#This Row],[kbli5]],kata_kunci!$B:$H,5,FALSE)</f>
        <v>#N/A</v>
      </c>
      <c r="J1153" s="84" t="e">
        <f>VLOOKUP(Table13[[#This Row],[kbli5]],kata_kunci!$B:$H,6,FALSE)</f>
        <v>#N/A</v>
      </c>
      <c r="K1153" s="84" t="e">
        <f>VLOOKUP(Table13[[#This Row],[kbli5]],kata_kunci!$B:$H,7,FALSE)</f>
        <v>#N/A</v>
      </c>
    </row>
    <row r="1154" spans="1:11" ht="15.75" thickBot="1" x14ac:dyDescent="0.3">
      <c r="A1154" s="53" t="s">
        <v>1347</v>
      </c>
      <c r="B1154" s="40">
        <v>65202</v>
      </c>
      <c r="C1154" s="41" t="s">
        <v>1389</v>
      </c>
      <c r="D1154" s="30" t="e">
        <f>VLOOKUP(Table13[[#This Row],[kbli5]],Table1[[#All],[kbli5]:[digital_hijau]],3,)</f>
        <v>#N/A</v>
      </c>
      <c r="E1154" s="53" t="e">
        <f>VLOOKUP(Table13[[#This Row],[kbli5]],kata_kunci!$B:$H,4,FALSE)</f>
        <v>#N/A</v>
      </c>
      <c r="F1154" s="53" t="e">
        <f>VLOOKUP(Table13[[#This Row],[kbli5]],Table1[[#All],[kbli5]:[digital_hijau]],5,)</f>
        <v>#N/A</v>
      </c>
      <c r="G1154" s="53" t="e">
        <f>VLOOKUP(Table13[[#This Row],[kbli5]],Table1[[#All],[kbli5]:[digital_hijau]],6,)</f>
        <v>#N/A</v>
      </c>
      <c r="H1154" s="54" t="e">
        <f>VLOOKUP(Table13[[#This Row],[kbli5]],kata_kunci!$B:$H,3,FALSE)</f>
        <v>#N/A</v>
      </c>
      <c r="I1154" s="84" t="e">
        <f>VLOOKUP(Table13[[#This Row],[kbli5]],kata_kunci!$B:$H,5,FALSE)</f>
        <v>#N/A</v>
      </c>
      <c r="J1154" s="84" t="e">
        <f>VLOOKUP(Table13[[#This Row],[kbli5]],kata_kunci!$B:$H,6,FALSE)</f>
        <v>#N/A</v>
      </c>
      <c r="K1154" s="84" t="e">
        <f>VLOOKUP(Table13[[#This Row],[kbli5]],kata_kunci!$B:$H,7,FALSE)</f>
        <v>#N/A</v>
      </c>
    </row>
    <row r="1155" spans="1:11" ht="30.75" thickBot="1" x14ac:dyDescent="0.3">
      <c r="A1155" s="53" t="s">
        <v>1347</v>
      </c>
      <c r="B1155" s="40">
        <v>65203</v>
      </c>
      <c r="C1155" s="41" t="s">
        <v>1390</v>
      </c>
      <c r="D1155" s="30" t="e">
        <f>VLOOKUP(Table13[[#This Row],[kbli5]],Table1[[#All],[kbli5]:[digital_hijau]],3,)</f>
        <v>#N/A</v>
      </c>
      <c r="E1155" s="53" t="e">
        <f>VLOOKUP(Table13[[#This Row],[kbli5]],kata_kunci!$B:$H,4,FALSE)</f>
        <v>#N/A</v>
      </c>
      <c r="F1155" s="53" t="e">
        <f>VLOOKUP(Table13[[#This Row],[kbli5]],Table1[[#All],[kbli5]:[digital_hijau]],5,)</f>
        <v>#N/A</v>
      </c>
      <c r="G1155" s="53" t="e">
        <f>VLOOKUP(Table13[[#This Row],[kbli5]],Table1[[#All],[kbli5]:[digital_hijau]],6,)</f>
        <v>#N/A</v>
      </c>
      <c r="H1155" s="54" t="e">
        <f>VLOOKUP(Table13[[#This Row],[kbli5]],kata_kunci!$B:$H,3,FALSE)</f>
        <v>#N/A</v>
      </c>
      <c r="I1155" s="84" t="e">
        <f>VLOOKUP(Table13[[#This Row],[kbli5]],kata_kunci!$B:$H,5,FALSE)</f>
        <v>#N/A</v>
      </c>
      <c r="J1155" s="84" t="e">
        <f>VLOOKUP(Table13[[#This Row],[kbli5]],kata_kunci!$B:$H,6,FALSE)</f>
        <v>#N/A</v>
      </c>
      <c r="K1155" s="84" t="e">
        <f>VLOOKUP(Table13[[#This Row],[kbli5]],kata_kunci!$B:$H,7,FALSE)</f>
        <v>#N/A</v>
      </c>
    </row>
    <row r="1156" spans="1:11" ht="30.75" thickBot="1" x14ac:dyDescent="0.3">
      <c r="A1156" s="53" t="s">
        <v>1347</v>
      </c>
      <c r="B1156" s="40">
        <v>65204</v>
      </c>
      <c r="C1156" s="41" t="s">
        <v>1391</v>
      </c>
      <c r="D1156" s="30" t="e">
        <f>VLOOKUP(Table13[[#This Row],[kbli5]],Table1[[#All],[kbli5]:[digital_hijau]],3,)</f>
        <v>#N/A</v>
      </c>
      <c r="E1156" s="53" t="e">
        <f>VLOOKUP(Table13[[#This Row],[kbli5]],kata_kunci!$B:$H,4,FALSE)</f>
        <v>#N/A</v>
      </c>
      <c r="F1156" s="53" t="e">
        <f>VLOOKUP(Table13[[#This Row],[kbli5]],Table1[[#All],[kbli5]:[digital_hijau]],5,)</f>
        <v>#N/A</v>
      </c>
      <c r="G1156" s="53" t="e">
        <f>VLOOKUP(Table13[[#This Row],[kbli5]],Table1[[#All],[kbli5]:[digital_hijau]],6,)</f>
        <v>#N/A</v>
      </c>
      <c r="H1156" s="54" t="e">
        <f>VLOOKUP(Table13[[#This Row],[kbli5]],kata_kunci!$B:$H,3,FALSE)</f>
        <v>#N/A</v>
      </c>
      <c r="I1156" s="84" t="e">
        <f>VLOOKUP(Table13[[#This Row],[kbli5]],kata_kunci!$B:$H,5,FALSE)</f>
        <v>#N/A</v>
      </c>
      <c r="J1156" s="84" t="e">
        <f>VLOOKUP(Table13[[#This Row],[kbli5]],kata_kunci!$B:$H,6,FALSE)</f>
        <v>#N/A</v>
      </c>
      <c r="K1156" s="84" t="e">
        <f>VLOOKUP(Table13[[#This Row],[kbli5]],kata_kunci!$B:$H,7,FALSE)</f>
        <v>#N/A</v>
      </c>
    </row>
    <row r="1157" spans="1:11" ht="45.75" thickBot="1" x14ac:dyDescent="0.3">
      <c r="A1157" s="53" t="s">
        <v>1347</v>
      </c>
      <c r="B1157" s="40">
        <v>65301</v>
      </c>
      <c r="C1157" s="41" t="s">
        <v>1392</v>
      </c>
      <c r="D1157" s="30" t="e">
        <f>VLOOKUP(Table13[[#This Row],[kbli5]],Table1[[#All],[kbli5]:[digital_hijau]],3,)</f>
        <v>#N/A</v>
      </c>
      <c r="E1157" s="53" t="e">
        <f>VLOOKUP(Table13[[#This Row],[kbli5]],kata_kunci!$B:$H,4,FALSE)</f>
        <v>#N/A</v>
      </c>
      <c r="F1157" s="53" t="e">
        <f>VLOOKUP(Table13[[#This Row],[kbli5]],Table1[[#All],[kbli5]:[digital_hijau]],5,)</f>
        <v>#N/A</v>
      </c>
      <c r="G1157" s="53" t="e">
        <f>VLOOKUP(Table13[[#This Row],[kbli5]],Table1[[#All],[kbli5]:[digital_hijau]],6,)</f>
        <v>#N/A</v>
      </c>
      <c r="H1157" s="54" t="e">
        <f>VLOOKUP(Table13[[#This Row],[kbli5]],kata_kunci!$B:$H,3,FALSE)</f>
        <v>#N/A</v>
      </c>
      <c r="I1157" s="84" t="e">
        <f>VLOOKUP(Table13[[#This Row],[kbli5]],kata_kunci!$B:$H,5,FALSE)</f>
        <v>#N/A</v>
      </c>
      <c r="J1157" s="84" t="e">
        <f>VLOOKUP(Table13[[#This Row],[kbli5]],kata_kunci!$B:$H,6,FALSE)</f>
        <v>#N/A</v>
      </c>
      <c r="K1157" s="84" t="e">
        <f>VLOOKUP(Table13[[#This Row],[kbli5]],kata_kunci!$B:$H,7,FALSE)</f>
        <v>#N/A</v>
      </c>
    </row>
    <row r="1158" spans="1:11" ht="30.75" thickBot="1" x14ac:dyDescent="0.3">
      <c r="A1158" s="53" t="s">
        <v>1347</v>
      </c>
      <c r="B1158" s="40">
        <v>65302</v>
      </c>
      <c r="C1158" s="41" t="s">
        <v>1393</v>
      </c>
      <c r="D1158" s="30" t="e">
        <f>VLOOKUP(Table13[[#This Row],[kbli5]],Table1[[#All],[kbli5]:[digital_hijau]],3,)</f>
        <v>#N/A</v>
      </c>
      <c r="E1158" s="53" t="e">
        <f>VLOOKUP(Table13[[#This Row],[kbli5]],kata_kunci!$B:$H,4,FALSE)</f>
        <v>#N/A</v>
      </c>
      <c r="F1158" s="53" t="e">
        <f>VLOOKUP(Table13[[#This Row],[kbli5]],Table1[[#All],[kbli5]:[digital_hijau]],5,)</f>
        <v>#N/A</v>
      </c>
      <c r="G1158" s="53" t="e">
        <f>VLOOKUP(Table13[[#This Row],[kbli5]],Table1[[#All],[kbli5]:[digital_hijau]],6,)</f>
        <v>#N/A</v>
      </c>
      <c r="H1158" s="54" t="e">
        <f>VLOOKUP(Table13[[#This Row],[kbli5]],kata_kunci!$B:$H,3,FALSE)</f>
        <v>#N/A</v>
      </c>
      <c r="I1158" s="84" t="e">
        <f>VLOOKUP(Table13[[#This Row],[kbli5]],kata_kunci!$B:$H,5,FALSE)</f>
        <v>#N/A</v>
      </c>
      <c r="J1158" s="84" t="e">
        <f>VLOOKUP(Table13[[#This Row],[kbli5]],kata_kunci!$B:$H,6,FALSE)</f>
        <v>#N/A</v>
      </c>
      <c r="K1158" s="84" t="e">
        <f>VLOOKUP(Table13[[#This Row],[kbli5]],kata_kunci!$B:$H,7,FALSE)</f>
        <v>#N/A</v>
      </c>
    </row>
    <row r="1159" spans="1:11" ht="45.75" thickBot="1" x14ac:dyDescent="0.3">
      <c r="A1159" s="53" t="s">
        <v>1347</v>
      </c>
      <c r="B1159" s="40">
        <v>65303</v>
      </c>
      <c r="C1159" s="41" t="s">
        <v>1394</v>
      </c>
      <c r="D1159" s="30" t="e">
        <f>VLOOKUP(Table13[[#This Row],[kbli5]],Table1[[#All],[kbli5]:[digital_hijau]],3,)</f>
        <v>#N/A</v>
      </c>
      <c r="E1159" s="53" t="e">
        <f>VLOOKUP(Table13[[#This Row],[kbli5]],kata_kunci!$B:$H,4,FALSE)</f>
        <v>#N/A</v>
      </c>
      <c r="F1159" s="53" t="e">
        <f>VLOOKUP(Table13[[#This Row],[kbli5]],Table1[[#All],[kbli5]:[digital_hijau]],5,)</f>
        <v>#N/A</v>
      </c>
      <c r="G1159" s="53" t="e">
        <f>VLOOKUP(Table13[[#This Row],[kbli5]],Table1[[#All],[kbli5]:[digital_hijau]],6,)</f>
        <v>#N/A</v>
      </c>
      <c r="H1159" s="54" t="e">
        <f>VLOOKUP(Table13[[#This Row],[kbli5]],kata_kunci!$B:$H,3,FALSE)</f>
        <v>#N/A</v>
      </c>
      <c r="I1159" s="84" t="e">
        <f>VLOOKUP(Table13[[#This Row],[kbli5]],kata_kunci!$B:$H,5,FALSE)</f>
        <v>#N/A</v>
      </c>
      <c r="J1159" s="84" t="e">
        <f>VLOOKUP(Table13[[#This Row],[kbli5]],kata_kunci!$B:$H,6,FALSE)</f>
        <v>#N/A</v>
      </c>
      <c r="K1159" s="84" t="e">
        <f>VLOOKUP(Table13[[#This Row],[kbli5]],kata_kunci!$B:$H,7,FALSE)</f>
        <v>#N/A</v>
      </c>
    </row>
    <row r="1160" spans="1:11" ht="45.75" thickBot="1" x14ac:dyDescent="0.3">
      <c r="A1160" s="53" t="s">
        <v>1347</v>
      </c>
      <c r="B1160" s="40">
        <v>65304</v>
      </c>
      <c r="C1160" s="41" t="s">
        <v>1395</v>
      </c>
      <c r="D1160" s="30" t="e">
        <f>VLOOKUP(Table13[[#This Row],[kbli5]],Table1[[#All],[kbli5]:[digital_hijau]],3,)</f>
        <v>#N/A</v>
      </c>
      <c r="E1160" s="53" t="e">
        <f>VLOOKUP(Table13[[#This Row],[kbli5]],kata_kunci!$B:$H,4,FALSE)</f>
        <v>#N/A</v>
      </c>
      <c r="F1160" s="53" t="e">
        <f>VLOOKUP(Table13[[#This Row],[kbli5]],Table1[[#All],[kbli5]:[digital_hijau]],5,)</f>
        <v>#N/A</v>
      </c>
      <c r="G1160" s="53" t="e">
        <f>VLOOKUP(Table13[[#This Row],[kbli5]],Table1[[#All],[kbli5]:[digital_hijau]],6,)</f>
        <v>#N/A</v>
      </c>
      <c r="H1160" s="54" t="e">
        <f>VLOOKUP(Table13[[#This Row],[kbli5]],kata_kunci!$B:$H,3,FALSE)</f>
        <v>#N/A</v>
      </c>
      <c r="I1160" s="84" t="e">
        <f>VLOOKUP(Table13[[#This Row],[kbli5]],kata_kunci!$B:$H,5,FALSE)</f>
        <v>#N/A</v>
      </c>
      <c r="J1160" s="84" t="e">
        <f>VLOOKUP(Table13[[#This Row],[kbli5]],kata_kunci!$B:$H,6,FALSE)</f>
        <v>#N/A</v>
      </c>
      <c r="K1160" s="84" t="e">
        <f>VLOOKUP(Table13[[#This Row],[kbli5]],kata_kunci!$B:$H,7,FALSE)</f>
        <v>#N/A</v>
      </c>
    </row>
    <row r="1161" spans="1:11" ht="30.75" thickBot="1" x14ac:dyDescent="0.3">
      <c r="A1161" s="53" t="s">
        <v>1347</v>
      </c>
      <c r="B1161" s="40">
        <v>66111</v>
      </c>
      <c r="C1161" s="41" t="s">
        <v>1396</v>
      </c>
      <c r="D1161" s="30" t="e">
        <f>VLOOKUP(Table13[[#This Row],[kbli5]],Table1[[#All],[kbli5]:[digital_hijau]],3,)</f>
        <v>#N/A</v>
      </c>
      <c r="E1161" s="53" t="e">
        <f>VLOOKUP(Table13[[#This Row],[kbli5]],kata_kunci!$B:$H,4,FALSE)</f>
        <v>#N/A</v>
      </c>
      <c r="F1161" s="53" t="e">
        <f>VLOOKUP(Table13[[#This Row],[kbli5]],Table1[[#All],[kbli5]:[digital_hijau]],5,)</f>
        <v>#N/A</v>
      </c>
      <c r="G1161" s="53" t="e">
        <f>VLOOKUP(Table13[[#This Row],[kbli5]],Table1[[#All],[kbli5]:[digital_hijau]],6,)</f>
        <v>#N/A</v>
      </c>
      <c r="H1161" s="54" t="e">
        <f>VLOOKUP(Table13[[#This Row],[kbli5]],kata_kunci!$B:$H,3,FALSE)</f>
        <v>#N/A</v>
      </c>
      <c r="I1161" s="84" t="e">
        <f>VLOOKUP(Table13[[#This Row],[kbli5]],kata_kunci!$B:$H,5,FALSE)</f>
        <v>#N/A</v>
      </c>
      <c r="J1161" s="84" t="e">
        <f>VLOOKUP(Table13[[#This Row],[kbli5]],kata_kunci!$B:$H,6,FALSE)</f>
        <v>#N/A</v>
      </c>
      <c r="K1161" s="84" t="e">
        <f>VLOOKUP(Table13[[#This Row],[kbli5]],kata_kunci!$B:$H,7,FALSE)</f>
        <v>#N/A</v>
      </c>
    </row>
    <row r="1162" spans="1:11" ht="15.75" thickBot="1" x14ac:dyDescent="0.3">
      <c r="A1162" s="53" t="s">
        <v>1347</v>
      </c>
      <c r="B1162" s="40">
        <v>66112</v>
      </c>
      <c r="C1162" s="41" t="s">
        <v>1397</v>
      </c>
      <c r="D1162" s="30" t="e">
        <f>VLOOKUP(Table13[[#This Row],[kbli5]],Table1[[#All],[kbli5]:[digital_hijau]],3,)</f>
        <v>#N/A</v>
      </c>
      <c r="E1162" s="53" t="e">
        <f>VLOOKUP(Table13[[#This Row],[kbli5]],kata_kunci!$B:$H,4,FALSE)</f>
        <v>#N/A</v>
      </c>
      <c r="F1162" s="53" t="e">
        <f>VLOOKUP(Table13[[#This Row],[kbli5]],Table1[[#All],[kbli5]:[digital_hijau]],5,)</f>
        <v>#N/A</v>
      </c>
      <c r="G1162" s="53" t="e">
        <f>VLOOKUP(Table13[[#This Row],[kbli5]],Table1[[#All],[kbli5]:[digital_hijau]],6,)</f>
        <v>#N/A</v>
      </c>
      <c r="H1162" s="54" t="e">
        <f>VLOOKUP(Table13[[#This Row],[kbli5]],kata_kunci!$B:$H,3,FALSE)</f>
        <v>#N/A</v>
      </c>
      <c r="I1162" s="84" t="e">
        <f>VLOOKUP(Table13[[#This Row],[kbli5]],kata_kunci!$B:$H,5,FALSE)</f>
        <v>#N/A</v>
      </c>
      <c r="J1162" s="84" t="e">
        <f>VLOOKUP(Table13[[#This Row],[kbli5]],kata_kunci!$B:$H,6,FALSE)</f>
        <v>#N/A</v>
      </c>
      <c r="K1162" s="84" t="e">
        <f>VLOOKUP(Table13[[#This Row],[kbli5]],kata_kunci!$B:$H,7,FALSE)</f>
        <v>#N/A</v>
      </c>
    </row>
    <row r="1163" spans="1:11" ht="30.75" thickBot="1" x14ac:dyDescent="0.3">
      <c r="A1163" s="53" t="s">
        <v>1347</v>
      </c>
      <c r="B1163" s="40">
        <v>66113</v>
      </c>
      <c r="C1163" s="41" t="s">
        <v>1398</v>
      </c>
      <c r="D1163" s="30" t="e">
        <f>VLOOKUP(Table13[[#This Row],[kbli5]],Table1[[#All],[kbli5]:[digital_hijau]],3,)</f>
        <v>#N/A</v>
      </c>
      <c r="E1163" s="53" t="e">
        <f>VLOOKUP(Table13[[#This Row],[kbli5]],kata_kunci!$B:$H,4,FALSE)</f>
        <v>#N/A</v>
      </c>
      <c r="F1163" s="53" t="e">
        <f>VLOOKUP(Table13[[#This Row],[kbli5]],Table1[[#All],[kbli5]:[digital_hijau]],5,)</f>
        <v>#N/A</v>
      </c>
      <c r="G1163" s="53" t="e">
        <f>VLOOKUP(Table13[[#This Row],[kbli5]],Table1[[#All],[kbli5]:[digital_hijau]],6,)</f>
        <v>#N/A</v>
      </c>
      <c r="H1163" s="54" t="e">
        <f>VLOOKUP(Table13[[#This Row],[kbli5]],kata_kunci!$B:$H,3,FALSE)</f>
        <v>#N/A</v>
      </c>
      <c r="I1163" s="84" t="e">
        <f>VLOOKUP(Table13[[#This Row],[kbli5]],kata_kunci!$B:$H,5,FALSE)</f>
        <v>#N/A</v>
      </c>
      <c r="J1163" s="84" t="e">
        <f>VLOOKUP(Table13[[#This Row],[kbli5]],kata_kunci!$B:$H,6,FALSE)</f>
        <v>#N/A</v>
      </c>
      <c r="K1163" s="84" t="e">
        <f>VLOOKUP(Table13[[#This Row],[kbli5]],kata_kunci!$B:$H,7,FALSE)</f>
        <v>#N/A</v>
      </c>
    </row>
    <row r="1164" spans="1:11" ht="45.75" thickBot="1" x14ac:dyDescent="0.3">
      <c r="A1164" s="53" t="s">
        <v>1347</v>
      </c>
      <c r="B1164" s="40">
        <v>66114</v>
      </c>
      <c r="C1164" s="41" t="s">
        <v>1399</v>
      </c>
      <c r="D1164" s="30" t="e">
        <f>VLOOKUP(Table13[[#This Row],[kbli5]],Table1[[#All],[kbli5]:[digital_hijau]],3,)</f>
        <v>#N/A</v>
      </c>
      <c r="E1164" s="53" t="e">
        <f>VLOOKUP(Table13[[#This Row],[kbli5]],kata_kunci!$B:$H,4,FALSE)</f>
        <v>#N/A</v>
      </c>
      <c r="F1164" s="53" t="e">
        <f>VLOOKUP(Table13[[#This Row],[kbli5]],Table1[[#All],[kbli5]:[digital_hijau]],5,)</f>
        <v>#N/A</v>
      </c>
      <c r="G1164" s="53" t="e">
        <f>VLOOKUP(Table13[[#This Row],[kbli5]],Table1[[#All],[kbli5]:[digital_hijau]],6,)</f>
        <v>#N/A</v>
      </c>
      <c r="H1164" s="54" t="e">
        <f>VLOOKUP(Table13[[#This Row],[kbli5]],kata_kunci!$B:$H,3,FALSE)</f>
        <v>#N/A</v>
      </c>
      <c r="I1164" s="84" t="e">
        <f>VLOOKUP(Table13[[#This Row],[kbli5]],kata_kunci!$B:$H,5,FALSE)</f>
        <v>#N/A</v>
      </c>
      <c r="J1164" s="84" t="e">
        <f>VLOOKUP(Table13[[#This Row],[kbli5]],kata_kunci!$B:$H,6,FALSE)</f>
        <v>#N/A</v>
      </c>
      <c r="K1164" s="84" t="e">
        <f>VLOOKUP(Table13[[#This Row],[kbli5]],kata_kunci!$B:$H,7,FALSE)</f>
        <v>#N/A</v>
      </c>
    </row>
    <row r="1165" spans="1:11" ht="45.75" thickBot="1" x14ac:dyDescent="0.3">
      <c r="A1165" s="53" t="s">
        <v>1347</v>
      </c>
      <c r="B1165" s="40">
        <v>66115</v>
      </c>
      <c r="C1165" s="41" t="s">
        <v>1400</v>
      </c>
      <c r="D1165" s="30" t="e">
        <f>VLOOKUP(Table13[[#This Row],[kbli5]],Table1[[#All],[kbli5]:[digital_hijau]],3,)</f>
        <v>#N/A</v>
      </c>
      <c r="E1165" s="53" t="e">
        <f>VLOOKUP(Table13[[#This Row],[kbli5]],kata_kunci!$B:$H,4,FALSE)</f>
        <v>#N/A</v>
      </c>
      <c r="F1165" s="53" t="e">
        <f>VLOOKUP(Table13[[#This Row],[kbli5]],Table1[[#All],[kbli5]:[digital_hijau]],5,)</f>
        <v>#N/A</v>
      </c>
      <c r="G1165" s="53" t="e">
        <f>VLOOKUP(Table13[[#This Row],[kbli5]],Table1[[#All],[kbli5]:[digital_hijau]],6,)</f>
        <v>#N/A</v>
      </c>
      <c r="H1165" s="54" t="e">
        <f>VLOOKUP(Table13[[#This Row],[kbli5]],kata_kunci!$B:$H,3,FALSE)</f>
        <v>#N/A</v>
      </c>
      <c r="I1165" s="84" t="e">
        <f>VLOOKUP(Table13[[#This Row],[kbli5]],kata_kunci!$B:$H,5,FALSE)</f>
        <v>#N/A</v>
      </c>
      <c r="J1165" s="84" t="e">
        <f>VLOOKUP(Table13[[#This Row],[kbli5]],kata_kunci!$B:$H,6,FALSE)</f>
        <v>#N/A</v>
      </c>
      <c r="K1165" s="84" t="e">
        <f>VLOOKUP(Table13[[#This Row],[kbli5]],kata_kunci!$B:$H,7,FALSE)</f>
        <v>#N/A</v>
      </c>
    </row>
    <row r="1166" spans="1:11" ht="45.75" thickBot="1" x14ac:dyDescent="0.3">
      <c r="A1166" s="53" t="s">
        <v>1347</v>
      </c>
      <c r="B1166" s="40">
        <v>66116</v>
      </c>
      <c r="C1166" s="41" t="s">
        <v>1401</v>
      </c>
      <c r="D1166" s="30" t="e">
        <f>VLOOKUP(Table13[[#This Row],[kbli5]],Table1[[#All],[kbli5]:[digital_hijau]],3,)</f>
        <v>#N/A</v>
      </c>
      <c r="E1166" s="53" t="e">
        <f>VLOOKUP(Table13[[#This Row],[kbli5]],kata_kunci!$B:$H,4,FALSE)</f>
        <v>#N/A</v>
      </c>
      <c r="F1166" s="53" t="e">
        <f>VLOOKUP(Table13[[#This Row],[kbli5]],Table1[[#All],[kbli5]:[digital_hijau]],5,)</f>
        <v>#N/A</v>
      </c>
      <c r="G1166" s="53" t="e">
        <f>VLOOKUP(Table13[[#This Row],[kbli5]],Table1[[#All],[kbli5]:[digital_hijau]],6,)</f>
        <v>#N/A</v>
      </c>
      <c r="H1166" s="54" t="e">
        <f>VLOOKUP(Table13[[#This Row],[kbli5]],kata_kunci!$B:$H,3,FALSE)</f>
        <v>#N/A</v>
      </c>
      <c r="I1166" s="84" t="e">
        <f>VLOOKUP(Table13[[#This Row],[kbli5]],kata_kunci!$B:$H,5,FALSE)</f>
        <v>#N/A</v>
      </c>
      <c r="J1166" s="84" t="e">
        <f>VLOOKUP(Table13[[#This Row],[kbli5]],kata_kunci!$B:$H,6,FALSE)</f>
        <v>#N/A</v>
      </c>
      <c r="K1166" s="84" t="e">
        <f>VLOOKUP(Table13[[#This Row],[kbli5]],kata_kunci!$B:$H,7,FALSE)</f>
        <v>#N/A</v>
      </c>
    </row>
    <row r="1167" spans="1:11" ht="30.75" thickBot="1" x14ac:dyDescent="0.3">
      <c r="A1167" s="53" t="s">
        <v>1347</v>
      </c>
      <c r="B1167" s="40">
        <v>66117</v>
      </c>
      <c r="C1167" s="41" t="s">
        <v>1402</v>
      </c>
      <c r="D1167" s="30" t="e">
        <f>VLOOKUP(Table13[[#This Row],[kbli5]],Table1[[#All],[kbli5]:[digital_hijau]],3,)</f>
        <v>#N/A</v>
      </c>
      <c r="E1167" s="53" t="e">
        <f>VLOOKUP(Table13[[#This Row],[kbli5]],kata_kunci!$B:$H,4,FALSE)</f>
        <v>#N/A</v>
      </c>
      <c r="F1167" s="53" t="e">
        <f>VLOOKUP(Table13[[#This Row],[kbli5]],Table1[[#All],[kbli5]:[digital_hijau]],5,)</f>
        <v>#N/A</v>
      </c>
      <c r="G1167" s="53" t="e">
        <f>VLOOKUP(Table13[[#This Row],[kbli5]],Table1[[#All],[kbli5]:[digital_hijau]],6,)</f>
        <v>#N/A</v>
      </c>
      <c r="H1167" s="54" t="e">
        <f>VLOOKUP(Table13[[#This Row],[kbli5]],kata_kunci!$B:$H,3,FALSE)</f>
        <v>#N/A</v>
      </c>
      <c r="I1167" s="84" t="e">
        <f>VLOOKUP(Table13[[#This Row],[kbli5]],kata_kunci!$B:$H,5,FALSE)</f>
        <v>#N/A</v>
      </c>
      <c r="J1167" s="84" t="e">
        <f>VLOOKUP(Table13[[#This Row],[kbli5]],kata_kunci!$B:$H,6,FALSE)</f>
        <v>#N/A</v>
      </c>
      <c r="K1167" s="84" t="e">
        <f>VLOOKUP(Table13[[#This Row],[kbli5]],kata_kunci!$B:$H,7,FALSE)</f>
        <v>#N/A</v>
      </c>
    </row>
    <row r="1168" spans="1:11" ht="45.75" thickBot="1" x14ac:dyDescent="0.3">
      <c r="A1168" s="53" t="s">
        <v>1347</v>
      </c>
      <c r="B1168" s="40">
        <v>66119</v>
      </c>
      <c r="C1168" s="41" t="s">
        <v>1403</v>
      </c>
      <c r="D1168" s="30" t="e">
        <f>VLOOKUP(Table13[[#This Row],[kbli5]],Table1[[#All],[kbli5]:[digital_hijau]],3,)</f>
        <v>#N/A</v>
      </c>
      <c r="E1168" s="53" t="e">
        <f>VLOOKUP(Table13[[#This Row],[kbli5]],kata_kunci!$B:$H,4,FALSE)</f>
        <v>#N/A</v>
      </c>
      <c r="F1168" s="53" t="e">
        <f>VLOOKUP(Table13[[#This Row],[kbli5]],Table1[[#All],[kbli5]:[digital_hijau]],5,)</f>
        <v>#N/A</v>
      </c>
      <c r="G1168" s="53" t="e">
        <f>VLOOKUP(Table13[[#This Row],[kbli5]],Table1[[#All],[kbli5]:[digital_hijau]],6,)</f>
        <v>#N/A</v>
      </c>
      <c r="H1168" s="54" t="e">
        <f>VLOOKUP(Table13[[#This Row],[kbli5]],kata_kunci!$B:$H,3,FALSE)</f>
        <v>#N/A</v>
      </c>
      <c r="I1168" s="84" t="e">
        <f>VLOOKUP(Table13[[#This Row],[kbli5]],kata_kunci!$B:$H,5,FALSE)</f>
        <v>#N/A</v>
      </c>
      <c r="J1168" s="84" t="e">
        <f>VLOOKUP(Table13[[#This Row],[kbli5]],kata_kunci!$B:$H,6,FALSE)</f>
        <v>#N/A</v>
      </c>
      <c r="K1168" s="84" t="e">
        <f>VLOOKUP(Table13[[#This Row],[kbli5]],kata_kunci!$B:$H,7,FALSE)</f>
        <v>#N/A</v>
      </c>
    </row>
    <row r="1169" spans="1:11" ht="30.75" thickBot="1" x14ac:dyDescent="0.3">
      <c r="A1169" s="53" t="s">
        <v>1347</v>
      </c>
      <c r="B1169" s="40">
        <v>66121</v>
      </c>
      <c r="C1169" s="41" t="s">
        <v>1404</v>
      </c>
      <c r="D1169" s="30" t="e">
        <f>VLOOKUP(Table13[[#This Row],[kbli5]],Table1[[#All],[kbli5]:[digital_hijau]],3,)</f>
        <v>#N/A</v>
      </c>
      <c r="E1169" s="53" t="e">
        <f>VLOOKUP(Table13[[#This Row],[kbli5]],kata_kunci!$B:$H,4,FALSE)</f>
        <v>#N/A</v>
      </c>
      <c r="F1169" s="53" t="e">
        <f>VLOOKUP(Table13[[#This Row],[kbli5]],Table1[[#All],[kbli5]:[digital_hijau]],5,)</f>
        <v>#N/A</v>
      </c>
      <c r="G1169" s="53" t="e">
        <f>VLOOKUP(Table13[[#This Row],[kbli5]],Table1[[#All],[kbli5]:[digital_hijau]],6,)</f>
        <v>#N/A</v>
      </c>
      <c r="H1169" s="54" t="e">
        <f>VLOOKUP(Table13[[#This Row],[kbli5]],kata_kunci!$B:$H,3,FALSE)</f>
        <v>#N/A</v>
      </c>
      <c r="I1169" s="84" t="e">
        <f>VLOOKUP(Table13[[#This Row],[kbli5]],kata_kunci!$B:$H,5,FALSE)</f>
        <v>#N/A</v>
      </c>
      <c r="J1169" s="84" t="e">
        <f>VLOOKUP(Table13[[#This Row],[kbli5]],kata_kunci!$B:$H,6,FALSE)</f>
        <v>#N/A</v>
      </c>
      <c r="K1169" s="84" t="e">
        <f>VLOOKUP(Table13[[#This Row],[kbli5]],kata_kunci!$B:$H,7,FALSE)</f>
        <v>#N/A</v>
      </c>
    </row>
    <row r="1170" spans="1:11" ht="45.75" thickBot="1" x14ac:dyDescent="0.3">
      <c r="A1170" s="53" t="s">
        <v>1347</v>
      </c>
      <c r="B1170" s="40">
        <v>66122</v>
      </c>
      <c r="C1170" s="41" t="s">
        <v>1405</v>
      </c>
      <c r="D1170" s="30" t="e">
        <f>VLOOKUP(Table13[[#This Row],[kbli5]],Table1[[#All],[kbli5]:[digital_hijau]],3,)</f>
        <v>#N/A</v>
      </c>
      <c r="E1170" s="53" t="e">
        <f>VLOOKUP(Table13[[#This Row],[kbli5]],kata_kunci!$B:$H,4,FALSE)</f>
        <v>#N/A</v>
      </c>
      <c r="F1170" s="53" t="e">
        <f>VLOOKUP(Table13[[#This Row],[kbli5]],Table1[[#All],[kbli5]:[digital_hijau]],5,)</f>
        <v>#N/A</v>
      </c>
      <c r="G1170" s="53" t="e">
        <f>VLOOKUP(Table13[[#This Row],[kbli5]],Table1[[#All],[kbli5]:[digital_hijau]],6,)</f>
        <v>#N/A</v>
      </c>
      <c r="H1170" s="54" t="e">
        <f>VLOOKUP(Table13[[#This Row],[kbli5]],kata_kunci!$B:$H,3,FALSE)</f>
        <v>#N/A</v>
      </c>
      <c r="I1170" s="84" t="e">
        <f>VLOOKUP(Table13[[#This Row],[kbli5]],kata_kunci!$B:$H,5,FALSE)</f>
        <v>#N/A</v>
      </c>
      <c r="J1170" s="84" t="e">
        <f>VLOOKUP(Table13[[#This Row],[kbli5]],kata_kunci!$B:$H,6,FALSE)</f>
        <v>#N/A</v>
      </c>
      <c r="K1170" s="84" t="e">
        <f>VLOOKUP(Table13[[#This Row],[kbli5]],kata_kunci!$B:$H,7,FALSE)</f>
        <v>#N/A</v>
      </c>
    </row>
    <row r="1171" spans="1:11" ht="30.75" thickBot="1" x14ac:dyDescent="0.3">
      <c r="A1171" s="53" t="s">
        <v>1347</v>
      </c>
      <c r="B1171" s="40">
        <v>66123</v>
      </c>
      <c r="C1171" s="41" t="s">
        <v>1406</v>
      </c>
      <c r="D1171" s="30" t="e">
        <f>VLOOKUP(Table13[[#This Row],[kbli5]],Table1[[#All],[kbli5]:[digital_hijau]],3,)</f>
        <v>#N/A</v>
      </c>
      <c r="E1171" s="53" t="e">
        <f>VLOOKUP(Table13[[#This Row],[kbli5]],kata_kunci!$B:$H,4,FALSE)</f>
        <v>#N/A</v>
      </c>
      <c r="F1171" s="53" t="e">
        <f>VLOOKUP(Table13[[#This Row],[kbli5]],Table1[[#All],[kbli5]:[digital_hijau]],5,)</f>
        <v>#N/A</v>
      </c>
      <c r="G1171" s="53" t="e">
        <f>VLOOKUP(Table13[[#This Row],[kbli5]],Table1[[#All],[kbli5]:[digital_hijau]],6,)</f>
        <v>#N/A</v>
      </c>
      <c r="H1171" s="54" t="e">
        <f>VLOOKUP(Table13[[#This Row],[kbli5]],kata_kunci!$B:$H,3,FALSE)</f>
        <v>#N/A</v>
      </c>
      <c r="I1171" s="84" t="e">
        <f>VLOOKUP(Table13[[#This Row],[kbli5]],kata_kunci!$B:$H,5,FALSE)</f>
        <v>#N/A</v>
      </c>
      <c r="J1171" s="84" t="e">
        <f>VLOOKUP(Table13[[#This Row],[kbli5]],kata_kunci!$B:$H,6,FALSE)</f>
        <v>#N/A</v>
      </c>
      <c r="K1171" s="84" t="e">
        <f>VLOOKUP(Table13[[#This Row],[kbli5]],kata_kunci!$B:$H,7,FALSE)</f>
        <v>#N/A</v>
      </c>
    </row>
    <row r="1172" spans="1:11" ht="45.75" thickBot="1" x14ac:dyDescent="0.3">
      <c r="A1172" s="53" t="s">
        <v>1347</v>
      </c>
      <c r="B1172" s="40">
        <v>66124</v>
      </c>
      <c r="C1172" s="41" t="s">
        <v>1407</v>
      </c>
      <c r="D1172" s="30" t="e">
        <f>VLOOKUP(Table13[[#This Row],[kbli5]],Table1[[#All],[kbli5]:[digital_hijau]],3,)</f>
        <v>#N/A</v>
      </c>
      <c r="E1172" s="53" t="e">
        <f>VLOOKUP(Table13[[#This Row],[kbli5]],kata_kunci!$B:$H,4,FALSE)</f>
        <v>#N/A</v>
      </c>
      <c r="F1172" s="53" t="e">
        <f>VLOOKUP(Table13[[#This Row],[kbli5]],Table1[[#All],[kbli5]:[digital_hijau]],5,)</f>
        <v>#N/A</v>
      </c>
      <c r="G1172" s="53" t="e">
        <f>VLOOKUP(Table13[[#This Row],[kbli5]],Table1[[#All],[kbli5]:[digital_hijau]],6,)</f>
        <v>#N/A</v>
      </c>
      <c r="H1172" s="54" t="e">
        <f>VLOOKUP(Table13[[#This Row],[kbli5]],kata_kunci!$B:$H,3,FALSE)</f>
        <v>#N/A</v>
      </c>
      <c r="I1172" s="84" t="e">
        <f>VLOOKUP(Table13[[#This Row],[kbli5]],kata_kunci!$B:$H,5,FALSE)</f>
        <v>#N/A</v>
      </c>
      <c r="J1172" s="84" t="e">
        <f>VLOOKUP(Table13[[#This Row],[kbli5]],kata_kunci!$B:$H,6,FALSE)</f>
        <v>#N/A</v>
      </c>
      <c r="K1172" s="84" t="e">
        <f>VLOOKUP(Table13[[#This Row],[kbli5]],kata_kunci!$B:$H,7,FALSE)</f>
        <v>#N/A</v>
      </c>
    </row>
    <row r="1173" spans="1:11" ht="45.75" thickBot="1" x14ac:dyDescent="0.3">
      <c r="A1173" s="53" t="s">
        <v>1347</v>
      </c>
      <c r="B1173" s="40">
        <v>66125</v>
      </c>
      <c r="C1173" s="41" t="s">
        <v>1408</v>
      </c>
      <c r="D1173" s="30" t="e">
        <f>VLOOKUP(Table13[[#This Row],[kbli5]],Table1[[#All],[kbli5]:[digital_hijau]],3,)</f>
        <v>#N/A</v>
      </c>
      <c r="E1173" s="53" t="e">
        <f>VLOOKUP(Table13[[#This Row],[kbli5]],kata_kunci!$B:$H,4,FALSE)</f>
        <v>#N/A</v>
      </c>
      <c r="F1173" s="53" t="e">
        <f>VLOOKUP(Table13[[#This Row],[kbli5]],Table1[[#All],[kbli5]:[digital_hijau]],5,)</f>
        <v>#N/A</v>
      </c>
      <c r="G1173" s="53" t="e">
        <f>VLOOKUP(Table13[[#This Row],[kbli5]],Table1[[#All],[kbli5]:[digital_hijau]],6,)</f>
        <v>#N/A</v>
      </c>
      <c r="H1173" s="54" t="e">
        <f>VLOOKUP(Table13[[#This Row],[kbli5]],kata_kunci!$B:$H,3,FALSE)</f>
        <v>#N/A</v>
      </c>
      <c r="I1173" s="84" t="e">
        <f>VLOOKUP(Table13[[#This Row],[kbli5]],kata_kunci!$B:$H,5,FALSE)</f>
        <v>#N/A</v>
      </c>
      <c r="J1173" s="84" t="e">
        <f>VLOOKUP(Table13[[#This Row],[kbli5]],kata_kunci!$B:$H,6,FALSE)</f>
        <v>#N/A</v>
      </c>
      <c r="K1173" s="84" t="e">
        <f>VLOOKUP(Table13[[#This Row],[kbli5]],kata_kunci!$B:$H,7,FALSE)</f>
        <v>#N/A</v>
      </c>
    </row>
    <row r="1174" spans="1:11" ht="45.75" thickBot="1" x14ac:dyDescent="0.3">
      <c r="A1174" s="53" t="s">
        <v>1347</v>
      </c>
      <c r="B1174" s="40">
        <v>66126</v>
      </c>
      <c r="C1174" s="41" t="s">
        <v>1409</v>
      </c>
      <c r="D1174" s="30" t="e">
        <f>VLOOKUP(Table13[[#This Row],[kbli5]],Table1[[#All],[kbli5]:[digital_hijau]],3,)</f>
        <v>#N/A</v>
      </c>
      <c r="E1174" s="53" t="e">
        <f>VLOOKUP(Table13[[#This Row],[kbli5]],kata_kunci!$B:$H,4,FALSE)</f>
        <v>#N/A</v>
      </c>
      <c r="F1174" s="53" t="e">
        <f>VLOOKUP(Table13[[#This Row],[kbli5]],Table1[[#All],[kbli5]:[digital_hijau]],5,)</f>
        <v>#N/A</v>
      </c>
      <c r="G1174" s="53" t="e">
        <f>VLOOKUP(Table13[[#This Row],[kbli5]],Table1[[#All],[kbli5]:[digital_hijau]],6,)</f>
        <v>#N/A</v>
      </c>
      <c r="H1174" s="54" t="e">
        <f>VLOOKUP(Table13[[#This Row],[kbli5]],kata_kunci!$B:$H,3,FALSE)</f>
        <v>#N/A</v>
      </c>
      <c r="I1174" s="84" t="e">
        <f>VLOOKUP(Table13[[#This Row],[kbli5]],kata_kunci!$B:$H,5,FALSE)</f>
        <v>#N/A</v>
      </c>
      <c r="J1174" s="84" t="e">
        <f>VLOOKUP(Table13[[#This Row],[kbli5]],kata_kunci!$B:$H,6,FALSE)</f>
        <v>#N/A</v>
      </c>
      <c r="K1174" s="84" t="e">
        <f>VLOOKUP(Table13[[#This Row],[kbli5]],kata_kunci!$B:$H,7,FALSE)</f>
        <v>#N/A</v>
      </c>
    </row>
    <row r="1175" spans="1:11" ht="30.75" thickBot="1" x14ac:dyDescent="0.3">
      <c r="A1175" s="53" t="s">
        <v>1347</v>
      </c>
      <c r="B1175" s="40">
        <v>66127</v>
      </c>
      <c r="C1175" s="41" t="s">
        <v>1410</v>
      </c>
      <c r="D1175" s="30" t="e">
        <f>VLOOKUP(Table13[[#This Row],[kbli5]],Table1[[#All],[kbli5]:[digital_hijau]],3,)</f>
        <v>#N/A</v>
      </c>
      <c r="E1175" s="53" t="e">
        <f>VLOOKUP(Table13[[#This Row],[kbli5]],kata_kunci!$B:$H,4,FALSE)</f>
        <v>#N/A</v>
      </c>
      <c r="F1175" s="53" t="e">
        <f>VLOOKUP(Table13[[#This Row],[kbli5]],Table1[[#All],[kbli5]:[digital_hijau]],5,)</f>
        <v>#N/A</v>
      </c>
      <c r="G1175" s="53" t="e">
        <f>VLOOKUP(Table13[[#This Row],[kbli5]],Table1[[#All],[kbli5]:[digital_hijau]],6,)</f>
        <v>#N/A</v>
      </c>
      <c r="H1175" s="54" t="e">
        <f>VLOOKUP(Table13[[#This Row],[kbli5]],kata_kunci!$B:$H,3,FALSE)</f>
        <v>#N/A</v>
      </c>
      <c r="I1175" s="84" t="e">
        <f>VLOOKUP(Table13[[#This Row],[kbli5]],kata_kunci!$B:$H,5,FALSE)</f>
        <v>#N/A</v>
      </c>
      <c r="J1175" s="84" t="e">
        <f>VLOOKUP(Table13[[#This Row],[kbli5]],kata_kunci!$B:$H,6,FALSE)</f>
        <v>#N/A</v>
      </c>
      <c r="K1175" s="84" t="e">
        <f>VLOOKUP(Table13[[#This Row],[kbli5]],kata_kunci!$B:$H,7,FALSE)</f>
        <v>#N/A</v>
      </c>
    </row>
    <row r="1176" spans="1:11" ht="45.75" thickBot="1" x14ac:dyDescent="0.3">
      <c r="A1176" s="53" t="s">
        <v>1347</v>
      </c>
      <c r="B1176" s="40">
        <v>66129</v>
      </c>
      <c r="C1176" s="41" t="s">
        <v>1411</v>
      </c>
      <c r="D1176" s="30" t="e">
        <f>VLOOKUP(Table13[[#This Row],[kbli5]],Table1[[#All],[kbli5]:[digital_hijau]],3,)</f>
        <v>#N/A</v>
      </c>
      <c r="E1176" s="53" t="e">
        <f>VLOOKUP(Table13[[#This Row],[kbli5]],kata_kunci!$B:$H,4,FALSE)</f>
        <v>#N/A</v>
      </c>
      <c r="F1176" s="53" t="e">
        <f>VLOOKUP(Table13[[#This Row],[kbli5]],Table1[[#All],[kbli5]:[digital_hijau]],5,)</f>
        <v>#N/A</v>
      </c>
      <c r="G1176" s="53" t="e">
        <f>VLOOKUP(Table13[[#This Row],[kbli5]],Table1[[#All],[kbli5]:[digital_hijau]],6,)</f>
        <v>#N/A</v>
      </c>
      <c r="H1176" s="54" t="e">
        <f>VLOOKUP(Table13[[#This Row],[kbli5]],kata_kunci!$B:$H,3,FALSE)</f>
        <v>#N/A</v>
      </c>
      <c r="I1176" s="84" t="e">
        <f>VLOOKUP(Table13[[#This Row],[kbli5]],kata_kunci!$B:$H,5,FALSE)</f>
        <v>#N/A</v>
      </c>
      <c r="J1176" s="84" t="e">
        <f>VLOOKUP(Table13[[#This Row],[kbli5]],kata_kunci!$B:$H,6,FALSE)</f>
        <v>#N/A</v>
      </c>
      <c r="K1176" s="84" t="e">
        <f>VLOOKUP(Table13[[#This Row],[kbli5]],kata_kunci!$B:$H,7,FALSE)</f>
        <v>#N/A</v>
      </c>
    </row>
    <row r="1177" spans="1:11" ht="45.75" thickBot="1" x14ac:dyDescent="0.3">
      <c r="A1177" s="53" t="s">
        <v>1347</v>
      </c>
      <c r="B1177" s="40">
        <v>66131</v>
      </c>
      <c r="C1177" s="41" t="s">
        <v>1412</v>
      </c>
      <c r="D1177" s="30" t="e">
        <f>VLOOKUP(Table13[[#This Row],[kbli5]],Table1[[#All],[kbli5]:[digital_hijau]],3,)</f>
        <v>#N/A</v>
      </c>
      <c r="E1177" s="53" t="e">
        <f>VLOOKUP(Table13[[#This Row],[kbli5]],kata_kunci!$B:$H,4,FALSE)</f>
        <v>#N/A</v>
      </c>
      <c r="F1177" s="53" t="e">
        <f>VLOOKUP(Table13[[#This Row],[kbli5]],Table1[[#All],[kbli5]:[digital_hijau]],5,)</f>
        <v>#N/A</v>
      </c>
      <c r="G1177" s="53" t="e">
        <f>VLOOKUP(Table13[[#This Row],[kbli5]],Table1[[#All],[kbli5]:[digital_hijau]],6,)</f>
        <v>#N/A</v>
      </c>
      <c r="H1177" s="54" t="e">
        <f>VLOOKUP(Table13[[#This Row],[kbli5]],kata_kunci!$B:$H,3,FALSE)</f>
        <v>#N/A</v>
      </c>
      <c r="I1177" s="84" t="e">
        <f>VLOOKUP(Table13[[#This Row],[kbli5]],kata_kunci!$B:$H,5,FALSE)</f>
        <v>#N/A</v>
      </c>
      <c r="J1177" s="84" t="e">
        <f>VLOOKUP(Table13[[#This Row],[kbli5]],kata_kunci!$B:$H,6,FALSE)</f>
        <v>#N/A</v>
      </c>
      <c r="K1177" s="84" t="e">
        <f>VLOOKUP(Table13[[#This Row],[kbli5]],kata_kunci!$B:$H,7,FALSE)</f>
        <v>#N/A</v>
      </c>
    </row>
    <row r="1178" spans="1:11" ht="45.75" thickBot="1" x14ac:dyDescent="0.3">
      <c r="A1178" s="53" t="s">
        <v>1347</v>
      </c>
      <c r="B1178" s="40">
        <v>66132</v>
      </c>
      <c r="C1178" s="41" t="s">
        <v>1413</v>
      </c>
      <c r="D1178" s="30" t="e">
        <f>VLOOKUP(Table13[[#This Row],[kbli5]],Table1[[#All],[kbli5]:[digital_hijau]],3,)</f>
        <v>#N/A</v>
      </c>
      <c r="E1178" s="53" t="e">
        <f>VLOOKUP(Table13[[#This Row],[kbli5]],kata_kunci!$B:$H,4,FALSE)</f>
        <v>#N/A</v>
      </c>
      <c r="F1178" s="53" t="e">
        <f>VLOOKUP(Table13[[#This Row],[kbli5]],Table1[[#All],[kbli5]:[digital_hijau]],5,)</f>
        <v>#N/A</v>
      </c>
      <c r="G1178" s="53" t="e">
        <f>VLOOKUP(Table13[[#This Row],[kbli5]],Table1[[#All],[kbli5]:[digital_hijau]],6,)</f>
        <v>#N/A</v>
      </c>
      <c r="H1178" s="54" t="e">
        <f>VLOOKUP(Table13[[#This Row],[kbli5]],kata_kunci!$B:$H,3,FALSE)</f>
        <v>#N/A</v>
      </c>
      <c r="I1178" s="84" t="e">
        <f>VLOOKUP(Table13[[#This Row],[kbli5]],kata_kunci!$B:$H,5,FALSE)</f>
        <v>#N/A</v>
      </c>
      <c r="J1178" s="84" t="e">
        <f>VLOOKUP(Table13[[#This Row],[kbli5]],kata_kunci!$B:$H,6,FALSE)</f>
        <v>#N/A</v>
      </c>
      <c r="K1178" s="84" t="e">
        <f>VLOOKUP(Table13[[#This Row],[kbli5]],kata_kunci!$B:$H,7,FALSE)</f>
        <v>#N/A</v>
      </c>
    </row>
    <row r="1179" spans="1:11" ht="30.75" thickBot="1" x14ac:dyDescent="0.3">
      <c r="A1179" s="53" t="s">
        <v>1347</v>
      </c>
      <c r="B1179" s="40">
        <v>66133</v>
      </c>
      <c r="C1179" s="41" t="s">
        <v>1414</v>
      </c>
      <c r="D1179" s="30" t="e">
        <f>VLOOKUP(Table13[[#This Row],[kbli5]],Table1[[#All],[kbli5]:[digital_hijau]],3,)</f>
        <v>#N/A</v>
      </c>
      <c r="E1179" s="53" t="e">
        <f>VLOOKUP(Table13[[#This Row],[kbli5]],kata_kunci!$B:$H,4,FALSE)</f>
        <v>#N/A</v>
      </c>
      <c r="F1179" s="53" t="e">
        <f>VLOOKUP(Table13[[#This Row],[kbli5]],Table1[[#All],[kbli5]:[digital_hijau]],5,)</f>
        <v>#N/A</v>
      </c>
      <c r="G1179" s="53" t="e">
        <f>VLOOKUP(Table13[[#This Row],[kbli5]],Table1[[#All],[kbli5]:[digital_hijau]],6,)</f>
        <v>#N/A</v>
      </c>
      <c r="H1179" s="54" t="e">
        <f>VLOOKUP(Table13[[#This Row],[kbli5]],kata_kunci!$B:$H,3,FALSE)</f>
        <v>#N/A</v>
      </c>
      <c r="I1179" s="84" t="e">
        <f>VLOOKUP(Table13[[#This Row],[kbli5]],kata_kunci!$B:$H,5,FALSE)</f>
        <v>#N/A</v>
      </c>
      <c r="J1179" s="84" t="e">
        <f>VLOOKUP(Table13[[#This Row],[kbli5]],kata_kunci!$B:$H,6,FALSE)</f>
        <v>#N/A</v>
      </c>
      <c r="K1179" s="84" t="e">
        <f>VLOOKUP(Table13[[#This Row],[kbli5]],kata_kunci!$B:$H,7,FALSE)</f>
        <v>#N/A</v>
      </c>
    </row>
    <row r="1180" spans="1:11" ht="30.75" thickBot="1" x14ac:dyDescent="0.3">
      <c r="A1180" s="53" t="s">
        <v>1347</v>
      </c>
      <c r="B1180" s="40">
        <v>66141</v>
      </c>
      <c r="C1180" s="41" t="s">
        <v>1415</v>
      </c>
      <c r="D1180" s="30" t="e">
        <f>VLOOKUP(Table13[[#This Row],[kbli5]],Table1[[#All],[kbli5]:[digital_hijau]],3,)</f>
        <v>#N/A</v>
      </c>
      <c r="E1180" s="53" t="e">
        <f>VLOOKUP(Table13[[#This Row],[kbli5]],kata_kunci!$B:$H,4,FALSE)</f>
        <v>#N/A</v>
      </c>
      <c r="F1180" s="53" t="e">
        <f>VLOOKUP(Table13[[#This Row],[kbli5]],Table1[[#All],[kbli5]:[digital_hijau]],5,)</f>
        <v>#N/A</v>
      </c>
      <c r="G1180" s="53" t="e">
        <f>VLOOKUP(Table13[[#This Row],[kbli5]],Table1[[#All],[kbli5]:[digital_hijau]],6,)</f>
        <v>#N/A</v>
      </c>
      <c r="H1180" s="54" t="e">
        <f>VLOOKUP(Table13[[#This Row],[kbli5]],kata_kunci!$B:$H,3,FALSE)</f>
        <v>#N/A</v>
      </c>
      <c r="I1180" s="84" t="e">
        <f>VLOOKUP(Table13[[#This Row],[kbli5]],kata_kunci!$B:$H,5,FALSE)</f>
        <v>#N/A</v>
      </c>
      <c r="J1180" s="84" t="e">
        <f>VLOOKUP(Table13[[#This Row],[kbli5]],kata_kunci!$B:$H,6,FALSE)</f>
        <v>#N/A</v>
      </c>
      <c r="K1180" s="84" t="e">
        <f>VLOOKUP(Table13[[#This Row],[kbli5]],kata_kunci!$B:$H,7,FALSE)</f>
        <v>#N/A</v>
      </c>
    </row>
    <row r="1181" spans="1:11" ht="45.75" thickBot="1" x14ac:dyDescent="0.3">
      <c r="A1181" s="53" t="s">
        <v>1347</v>
      </c>
      <c r="B1181" s="40">
        <v>66142</v>
      </c>
      <c r="C1181" s="41" t="s">
        <v>1416</v>
      </c>
      <c r="D1181" s="30" t="e">
        <f>VLOOKUP(Table13[[#This Row],[kbli5]],Table1[[#All],[kbli5]:[digital_hijau]],3,)</f>
        <v>#N/A</v>
      </c>
      <c r="E1181" s="53" t="e">
        <f>VLOOKUP(Table13[[#This Row],[kbli5]],kata_kunci!$B:$H,4,FALSE)</f>
        <v>#N/A</v>
      </c>
      <c r="F1181" s="53" t="e">
        <f>VLOOKUP(Table13[[#This Row],[kbli5]],Table1[[#All],[kbli5]:[digital_hijau]],5,)</f>
        <v>#N/A</v>
      </c>
      <c r="G1181" s="53" t="e">
        <f>VLOOKUP(Table13[[#This Row],[kbli5]],Table1[[#All],[kbli5]:[digital_hijau]],6,)</f>
        <v>#N/A</v>
      </c>
      <c r="H1181" s="54" t="e">
        <f>VLOOKUP(Table13[[#This Row],[kbli5]],kata_kunci!$B:$H,3,FALSE)</f>
        <v>#N/A</v>
      </c>
      <c r="I1181" s="84" t="e">
        <f>VLOOKUP(Table13[[#This Row],[kbli5]],kata_kunci!$B:$H,5,FALSE)</f>
        <v>#N/A</v>
      </c>
      <c r="J1181" s="84" t="e">
        <f>VLOOKUP(Table13[[#This Row],[kbli5]],kata_kunci!$B:$H,6,FALSE)</f>
        <v>#N/A</v>
      </c>
      <c r="K1181" s="84" t="e">
        <f>VLOOKUP(Table13[[#This Row],[kbli5]],kata_kunci!$B:$H,7,FALSE)</f>
        <v>#N/A</v>
      </c>
    </row>
    <row r="1182" spans="1:11" ht="45.75" thickBot="1" x14ac:dyDescent="0.3">
      <c r="A1182" s="53" t="s">
        <v>1347</v>
      </c>
      <c r="B1182" s="40">
        <v>66143</v>
      </c>
      <c r="C1182" s="41" t="s">
        <v>1417</v>
      </c>
      <c r="D1182" s="30" t="e">
        <f>VLOOKUP(Table13[[#This Row],[kbli5]],Table1[[#All],[kbli5]:[digital_hijau]],3,)</f>
        <v>#N/A</v>
      </c>
      <c r="E1182" s="53" t="e">
        <f>VLOOKUP(Table13[[#This Row],[kbli5]],kata_kunci!$B:$H,4,FALSE)</f>
        <v>#N/A</v>
      </c>
      <c r="F1182" s="53" t="e">
        <f>VLOOKUP(Table13[[#This Row],[kbli5]],Table1[[#All],[kbli5]:[digital_hijau]],5,)</f>
        <v>#N/A</v>
      </c>
      <c r="G1182" s="53" t="e">
        <f>VLOOKUP(Table13[[#This Row],[kbli5]],Table1[[#All],[kbli5]:[digital_hijau]],6,)</f>
        <v>#N/A</v>
      </c>
      <c r="H1182" s="54" t="e">
        <f>VLOOKUP(Table13[[#This Row],[kbli5]],kata_kunci!$B:$H,3,FALSE)</f>
        <v>#N/A</v>
      </c>
      <c r="I1182" s="84" t="e">
        <f>VLOOKUP(Table13[[#This Row],[kbli5]],kata_kunci!$B:$H,5,FALSE)</f>
        <v>#N/A</v>
      </c>
      <c r="J1182" s="84" t="e">
        <f>VLOOKUP(Table13[[#This Row],[kbli5]],kata_kunci!$B:$H,6,FALSE)</f>
        <v>#N/A</v>
      </c>
      <c r="K1182" s="84" t="e">
        <f>VLOOKUP(Table13[[#This Row],[kbli5]],kata_kunci!$B:$H,7,FALSE)</f>
        <v>#N/A</v>
      </c>
    </row>
    <row r="1183" spans="1:11" ht="45.75" thickBot="1" x14ac:dyDescent="0.3">
      <c r="A1183" s="53" t="s">
        <v>1347</v>
      </c>
      <c r="B1183" s="40">
        <v>66144</v>
      </c>
      <c r="C1183" s="41" t="s">
        <v>1418</v>
      </c>
      <c r="D1183" s="30" t="e">
        <f>VLOOKUP(Table13[[#This Row],[kbli5]],Table1[[#All],[kbli5]:[digital_hijau]],3,)</f>
        <v>#N/A</v>
      </c>
      <c r="E1183" s="53" t="e">
        <f>VLOOKUP(Table13[[#This Row],[kbli5]],kata_kunci!$B:$H,4,FALSE)</f>
        <v>#N/A</v>
      </c>
      <c r="F1183" s="53" t="e">
        <f>VLOOKUP(Table13[[#This Row],[kbli5]],Table1[[#All],[kbli5]:[digital_hijau]],5,)</f>
        <v>#N/A</v>
      </c>
      <c r="G1183" s="53" t="e">
        <f>VLOOKUP(Table13[[#This Row],[kbli5]],Table1[[#All],[kbli5]:[digital_hijau]],6,)</f>
        <v>#N/A</v>
      </c>
      <c r="H1183" s="54" t="e">
        <f>VLOOKUP(Table13[[#This Row],[kbli5]],kata_kunci!$B:$H,3,FALSE)</f>
        <v>#N/A</v>
      </c>
      <c r="I1183" s="84" t="e">
        <f>VLOOKUP(Table13[[#This Row],[kbli5]],kata_kunci!$B:$H,5,FALSE)</f>
        <v>#N/A</v>
      </c>
      <c r="J1183" s="84" t="e">
        <f>VLOOKUP(Table13[[#This Row],[kbli5]],kata_kunci!$B:$H,6,FALSE)</f>
        <v>#N/A</v>
      </c>
      <c r="K1183" s="84" t="e">
        <f>VLOOKUP(Table13[[#This Row],[kbli5]],kata_kunci!$B:$H,7,FALSE)</f>
        <v>#N/A</v>
      </c>
    </row>
    <row r="1184" spans="1:11" ht="45.75" thickBot="1" x14ac:dyDescent="0.3">
      <c r="A1184" s="53" t="s">
        <v>1347</v>
      </c>
      <c r="B1184" s="40">
        <v>66149</v>
      </c>
      <c r="C1184" s="41" t="s">
        <v>1419</v>
      </c>
      <c r="D1184" s="30" t="e">
        <f>VLOOKUP(Table13[[#This Row],[kbli5]],Table1[[#All],[kbli5]:[digital_hijau]],3,)</f>
        <v>#N/A</v>
      </c>
      <c r="E1184" s="53" t="e">
        <f>VLOOKUP(Table13[[#This Row],[kbli5]],kata_kunci!$B:$H,4,FALSE)</f>
        <v>#N/A</v>
      </c>
      <c r="F1184" s="53" t="e">
        <f>VLOOKUP(Table13[[#This Row],[kbli5]],Table1[[#All],[kbli5]:[digital_hijau]],5,)</f>
        <v>#N/A</v>
      </c>
      <c r="G1184" s="53" t="e">
        <f>VLOOKUP(Table13[[#This Row],[kbli5]],Table1[[#All],[kbli5]:[digital_hijau]],6,)</f>
        <v>#N/A</v>
      </c>
      <c r="H1184" s="54" t="e">
        <f>VLOOKUP(Table13[[#This Row],[kbli5]],kata_kunci!$B:$H,3,FALSE)</f>
        <v>#N/A</v>
      </c>
      <c r="I1184" s="84" t="e">
        <f>VLOOKUP(Table13[[#This Row],[kbli5]],kata_kunci!$B:$H,5,FALSE)</f>
        <v>#N/A</v>
      </c>
      <c r="J1184" s="84" t="e">
        <f>VLOOKUP(Table13[[#This Row],[kbli5]],kata_kunci!$B:$H,6,FALSE)</f>
        <v>#N/A</v>
      </c>
      <c r="K1184" s="84" t="e">
        <f>VLOOKUP(Table13[[#This Row],[kbli5]],kata_kunci!$B:$H,7,FALSE)</f>
        <v>#N/A</v>
      </c>
    </row>
    <row r="1185" spans="1:11" ht="30.75" thickBot="1" x14ac:dyDescent="0.3">
      <c r="A1185" s="53" t="s">
        <v>1347</v>
      </c>
      <c r="B1185" s="40">
        <v>66151</v>
      </c>
      <c r="C1185" s="41" t="s">
        <v>1420</v>
      </c>
      <c r="D1185" s="30" t="e">
        <f>VLOOKUP(Table13[[#This Row],[kbli5]],Table1[[#All],[kbli5]:[digital_hijau]],3,)</f>
        <v>#N/A</v>
      </c>
      <c r="E1185" s="53" t="e">
        <f>VLOOKUP(Table13[[#This Row],[kbli5]],kata_kunci!$B:$H,4,FALSE)</f>
        <v>#N/A</v>
      </c>
      <c r="F1185" s="53" t="e">
        <f>VLOOKUP(Table13[[#This Row],[kbli5]],Table1[[#All],[kbli5]:[digital_hijau]],5,)</f>
        <v>#N/A</v>
      </c>
      <c r="G1185" s="53" t="e">
        <f>VLOOKUP(Table13[[#This Row],[kbli5]],Table1[[#All],[kbli5]:[digital_hijau]],6,)</f>
        <v>#N/A</v>
      </c>
      <c r="H1185" s="54" t="e">
        <f>VLOOKUP(Table13[[#This Row],[kbli5]],kata_kunci!$B:$H,3,FALSE)</f>
        <v>#N/A</v>
      </c>
      <c r="I1185" s="84" t="e">
        <f>VLOOKUP(Table13[[#This Row],[kbli5]],kata_kunci!$B:$H,5,FALSE)</f>
        <v>#N/A</v>
      </c>
      <c r="J1185" s="84" t="e">
        <f>VLOOKUP(Table13[[#This Row],[kbli5]],kata_kunci!$B:$H,6,FALSE)</f>
        <v>#N/A</v>
      </c>
      <c r="K1185" s="84" t="e">
        <f>VLOOKUP(Table13[[#This Row],[kbli5]],kata_kunci!$B:$H,7,FALSE)</f>
        <v>#N/A</v>
      </c>
    </row>
    <row r="1186" spans="1:11" ht="45.75" thickBot="1" x14ac:dyDescent="0.3">
      <c r="A1186" s="53" t="s">
        <v>1347</v>
      </c>
      <c r="B1186" s="40">
        <v>66152</v>
      </c>
      <c r="C1186" s="41" t="s">
        <v>1421</v>
      </c>
      <c r="D1186" s="30" t="e">
        <f>VLOOKUP(Table13[[#This Row],[kbli5]],Table1[[#All],[kbli5]:[digital_hijau]],3,)</f>
        <v>#N/A</v>
      </c>
      <c r="E1186" s="53" t="e">
        <f>VLOOKUP(Table13[[#This Row],[kbli5]],kata_kunci!$B:$H,4,FALSE)</f>
        <v>#N/A</v>
      </c>
      <c r="F1186" s="53" t="e">
        <f>VLOOKUP(Table13[[#This Row],[kbli5]],Table1[[#All],[kbli5]:[digital_hijau]],5,)</f>
        <v>#N/A</v>
      </c>
      <c r="G1186" s="53" t="e">
        <f>VLOOKUP(Table13[[#This Row],[kbli5]],Table1[[#All],[kbli5]:[digital_hijau]],6,)</f>
        <v>#N/A</v>
      </c>
      <c r="H1186" s="54" t="e">
        <f>VLOOKUP(Table13[[#This Row],[kbli5]],kata_kunci!$B:$H,3,FALSE)</f>
        <v>#N/A</v>
      </c>
      <c r="I1186" s="84" t="e">
        <f>VLOOKUP(Table13[[#This Row],[kbli5]],kata_kunci!$B:$H,5,FALSE)</f>
        <v>#N/A</v>
      </c>
      <c r="J1186" s="84" t="e">
        <f>VLOOKUP(Table13[[#This Row],[kbli5]],kata_kunci!$B:$H,6,FALSE)</f>
        <v>#N/A</v>
      </c>
      <c r="K1186" s="84" t="e">
        <f>VLOOKUP(Table13[[#This Row],[kbli5]],kata_kunci!$B:$H,7,FALSE)</f>
        <v>#N/A</v>
      </c>
    </row>
    <row r="1187" spans="1:11" ht="30.75" thickBot="1" x14ac:dyDescent="0.3">
      <c r="A1187" s="53" t="s">
        <v>1347</v>
      </c>
      <c r="B1187" s="40">
        <v>66153</v>
      </c>
      <c r="C1187" s="41" t="s">
        <v>1422</v>
      </c>
      <c r="D1187" s="30" t="e">
        <f>VLOOKUP(Table13[[#This Row],[kbli5]],Table1[[#All],[kbli5]:[digital_hijau]],3,)</f>
        <v>#N/A</v>
      </c>
      <c r="E1187" s="53" t="e">
        <f>VLOOKUP(Table13[[#This Row],[kbli5]],kata_kunci!$B:$H,4,FALSE)</f>
        <v>#N/A</v>
      </c>
      <c r="F1187" s="53" t="e">
        <f>VLOOKUP(Table13[[#This Row],[kbli5]],Table1[[#All],[kbli5]:[digital_hijau]],5,)</f>
        <v>#N/A</v>
      </c>
      <c r="G1187" s="53" t="e">
        <f>VLOOKUP(Table13[[#This Row],[kbli5]],Table1[[#All],[kbli5]:[digital_hijau]],6,)</f>
        <v>#N/A</v>
      </c>
      <c r="H1187" s="54" t="e">
        <f>VLOOKUP(Table13[[#This Row],[kbli5]],kata_kunci!$B:$H,3,FALSE)</f>
        <v>#N/A</v>
      </c>
      <c r="I1187" s="84" t="e">
        <f>VLOOKUP(Table13[[#This Row],[kbli5]],kata_kunci!$B:$H,5,FALSE)</f>
        <v>#N/A</v>
      </c>
      <c r="J1187" s="84" t="e">
        <f>VLOOKUP(Table13[[#This Row],[kbli5]],kata_kunci!$B:$H,6,FALSE)</f>
        <v>#N/A</v>
      </c>
      <c r="K1187" s="84" t="e">
        <f>VLOOKUP(Table13[[#This Row],[kbli5]],kata_kunci!$B:$H,7,FALSE)</f>
        <v>#N/A</v>
      </c>
    </row>
    <row r="1188" spans="1:11" ht="30.75" thickBot="1" x14ac:dyDescent="0.3">
      <c r="A1188" s="53" t="s">
        <v>1347</v>
      </c>
      <c r="B1188" s="40">
        <v>66159</v>
      </c>
      <c r="C1188" s="41" t="s">
        <v>1423</v>
      </c>
      <c r="D1188" s="30" t="e">
        <f>VLOOKUP(Table13[[#This Row],[kbli5]],Table1[[#All],[kbli5]:[digital_hijau]],3,)</f>
        <v>#N/A</v>
      </c>
      <c r="E1188" s="53" t="e">
        <f>VLOOKUP(Table13[[#This Row],[kbli5]],kata_kunci!$B:$H,4,FALSE)</f>
        <v>#N/A</v>
      </c>
      <c r="F1188" s="53" t="e">
        <f>VLOOKUP(Table13[[#This Row],[kbli5]],Table1[[#All],[kbli5]:[digital_hijau]],5,)</f>
        <v>#N/A</v>
      </c>
      <c r="G1188" s="53" t="e">
        <f>VLOOKUP(Table13[[#This Row],[kbli5]],Table1[[#All],[kbli5]:[digital_hijau]],6,)</f>
        <v>#N/A</v>
      </c>
      <c r="H1188" s="54" t="e">
        <f>VLOOKUP(Table13[[#This Row],[kbli5]],kata_kunci!$B:$H,3,FALSE)</f>
        <v>#N/A</v>
      </c>
      <c r="I1188" s="84" t="e">
        <f>VLOOKUP(Table13[[#This Row],[kbli5]],kata_kunci!$B:$H,5,FALSE)</f>
        <v>#N/A</v>
      </c>
      <c r="J1188" s="84" t="e">
        <f>VLOOKUP(Table13[[#This Row],[kbli5]],kata_kunci!$B:$H,6,FALSE)</f>
        <v>#N/A</v>
      </c>
      <c r="K1188" s="84" t="e">
        <f>VLOOKUP(Table13[[#This Row],[kbli5]],kata_kunci!$B:$H,7,FALSE)</f>
        <v>#N/A</v>
      </c>
    </row>
    <row r="1189" spans="1:11" ht="45.75" thickBot="1" x14ac:dyDescent="0.3">
      <c r="A1189" s="53" t="s">
        <v>1347</v>
      </c>
      <c r="B1189" s="40">
        <v>66161</v>
      </c>
      <c r="C1189" s="41" t="s">
        <v>1424</v>
      </c>
      <c r="D1189" s="30" t="e">
        <f>VLOOKUP(Table13[[#This Row],[kbli5]],Table1[[#All],[kbli5]:[digital_hijau]],3,)</f>
        <v>#N/A</v>
      </c>
      <c r="E1189" s="53" t="e">
        <f>VLOOKUP(Table13[[#This Row],[kbli5]],kata_kunci!$B:$H,4,FALSE)</f>
        <v>#N/A</v>
      </c>
      <c r="F1189" s="53" t="e">
        <f>VLOOKUP(Table13[[#This Row],[kbli5]],Table1[[#All],[kbli5]:[digital_hijau]],5,)</f>
        <v>#N/A</v>
      </c>
      <c r="G1189" s="53" t="e">
        <f>VLOOKUP(Table13[[#This Row],[kbli5]],Table1[[#All],[kbli5]:[digital_hijau]],6,)</f>
        <v>#N/A</v>
      </c>
      <c r="H1189" s="54" t="e">
        <f>VLOOKUP(Table13[[#This Row],[kbli5]],kata_kunci!$B:$H,3,FALSE)</f>
        <v>#N/A</v>
      </c>
      <c r="I1189" s="84" t="e">
        <f>VLOOKUP(Table13[[#This Row],[kbli5]],kata_kunci!$B:$H,5,FALSE)</f>
        <v>#N/A</v>
      </c>
      <c r="J1189" s="84" t="e">
        <f>VLOOKUP(Table13[[#This Row],[kbli5]],kata_kunci!$B:$H,6,FALSE)</f>
        <v>#N/A</v>
      </c>
      <c r="K1189" s="84" t="e">
        <f>VLOOKUP(Table13[[#This Row],[kbli5]],kata_kunci!$B:$H,7,FALSE)</f>
        <v>#N/A</v>
      </c>
    </row>
    <row r="1190" spans="1:11" ht="45.75" thickBot="1" x14ac:dyDescent="0.3">
      <c r="A1190" s="53" t="s">
        <v>1347</v>
      </c>
      <c r="B1190" s="40">
        <v>66162</v>
      </c>
      <c r="C1190" s="41" t="s">
        <v>1424</v>
      </c>
      <c r="D1190" s="30" t="e">
        <f>VLOOKUP(Table13[[#This Row],[kbli5]],Table1[[#All],[kbli5]:[digital_hijau]],3,)</f>
        <v>#N/A</v>
      </c>
      <c r="E1190" s="53" t="e">
        <f>VLOOKUP(Table13[[#This Row],[kbli5]],kata_kunci!$B:$H,4,FALSE)</f>
        <v>#N/A</v>
      </c>
      <c r="F1190" s="53" t="e">
        <f>VLOOKUP(Table13[[#This Row],[kbli5]],Table1[[#All],[kbli5]:[digital_hijau]],5,)</f>
        <v>#N/A</v>
      </c>
      <c r="G1190" s="53" t="e">
        <f>VLOOKUP(Table13[[#This Row],[kbli5]],Table1[[#All],[kbli5]:[digital_hijau]],6,)</f>
        <v>#N/A</v>
      </c>
      <c r="H1190" s="54" t="e">
        <f>VLOOKUP(Table13[[#This Row],[kbli5]],kata_kunci!$B:$H,3,FALSE)</f>
        <v>#N/A</v>
      </c>
      <c r="I1190" s="84" t="e">
        <f>VLOOKUP(Table13[[#This Row],[kbli5]],kata_kunci!$B:$H,5,FALSE)</f>
        <v>#N/A</v>
      </c>
      <c r="J1190" s="84" t="e">
        <f>VLOOKUP(Table13[[#This Row],[kbli5]],kata_kunci!$B:$H,6,FALSE)</f>
        <v>#N/A</v>
      </c>
      <c r="K1190" s="84" t="e">
        <f>VLOOKUP(Table13[[#This Row],[kbli5]],kata_kunci!$B:$H,7,FALSE)</f>
        <v>#N/A</v>
      </c>
    </row>
    <row r="1191" spans="1:11" ht="30.75" thickBot="1" x14ac:dyDescent="0.3">
      <c r="A1191" s="53" t="s">
        <v>1347</v>
      </c>
      <c r="B1191" s="40">
        <v>66191</v>
      </c>
      <c r="C1191" s="41" t="s">
        <v>1425</v>
      </c>
      <c r="D1191" s="30" t="e">
        <f>VLOOKUP(Table13[[#This Row],[kbli5]],Table1[[#All],[kbli5]:[digital_hijau]],3,)</f>
        <v>#N/A</v>
      </c>
      <c r="E1191" s="53" t="e">
        <f>VLOOKUP(Table13[[#This Row],[kbli5]],kata_kunci!$B:$H,4,FALSE)</f>
        <v>#N/A</v>
      </c>
      <c r="F1191" s="53" t="e">
        <f>VLOOKUP(Table13[[#This Row],[kbli5]],Table1[[#All],[kbli5]:[digital_hijau]],5,)</f>
        <v>#N/A</v>
      </c>
      <c r="G1191" s="53" t="e">
        <f>VLOOKUP(Table13[[#This Row],[kbli5]],Table1[[#All],[kbli5]:[digital_hijau]],6,)</f>
        <v>#N/A</v>
      </c>
      <c r="H1191" s="54" t="e">
        <f>VLOOKUP(Table13[[#This Row],[kbli5]],kata_kunci!$B:$H,3,FALSE)</f>
        <v>#N/A</v>
      </c>
      <c r="I1191" s="84" t="e">
        <f>VLOOKUP(Table13[[#This Row],[kbli5]],kata_kunci!$B:$H,5,FALSE)</f>
        <v>#N/A</v>
      </c>
      <c r="J1191" s="84" t="e">
        <f>VLOOKUP(Table13[[#This Row],[kbli5]],kata_kunci!$B:$H,6,FALSE)</f>
        <v>#N/A</v>
      </c>
      <c r="K1191" s="84" t="e">
        <f>VLOOKUP(Table13[[#This Row],[kbli5]],kata_kunci!$B:$H,7,FALSE)</f>
        <v>#N/A</v>
      </c>
    </row>
    <row r="1192" spans="1:11" ht="60.75" thickBot="1" x14ac:dyDescent="0.3">
      <c r="A1192" s="53" t="s">
        <v>1347</v>
      </c>
      <c r="B1192" s="40">
        <v>66192</v>
      </c>
      <c r="C1192" s="41" t="s">
        <v>1426</v>
      </c>
      <c r="D1192" s="30" t="e">
        <f>VLOOKUP(Table13[[#This Row],[kbli5]],Table1[[#All],[kbli5]:[digital_hijau]],3,)</f>
        <v>#N/A</v>
      </c>
      <c r="E1192" s="53" t="e">
        <f>VLOOKUP(Table13[[#This Row],[kbli5]],kata_kunci!$B:$H,4,FALSE)</f>
        <v>#N/A</v>
      </c>
      <c r="F1192" s="53" t="e">
        <f>VLOOKUP(Table13[[#This Row],[kbli5]],Table1[[#All],[kbli5]:[digital_hijau]],5,)</f>
        <v>#N/A</v>
      </c>
      <c r="G1192" s="53" t="e">
        <f>VLOOKUP(Table13[[#This Row],[kbli5]],Table1[[#All],[kbli5]:[digital_hijau]],6,)</f>
        <v>#N/A</v>
      </c>
      <c r="H1192" s="54" t="e">
        <f>VLOOKUP(Table13[[#This Row],[kbli5]],kata_kunci!$B:$H,3,FALSE)</f>
        <v>#N/A</v>
      </c>
      <c r="I1192" s="84" t="e">
        <f>VLOOKUP(Table13[[#This Row],[kbli5]],kata_kunci!$B:$H,5,FALSE)</f>
        <v>#N/A</v>
      </c>
      <c r="J1192" s="84" t="e">
        <f>VLOOKUP(Table13[[#This Row],[kbli5]],kata_kunci!$B:$H,6,FALSE)</f>
        <v>#N/A</v>
      </c>
      <c r="K1192" s="84" t="e">
        <f>VLOOKUP(Table13[[#This Row],[kbli5]],kata_kunci!$B:$H,7,FALSE)</f>
        <v>#N/A</v>
      </c>
    </row>
    <row r="1193" spans="1:11" ht="15.75" thickBot="1" x14ac:dyDescent="0.3">
      <c r="A1193" s="53" t="s">
        <v>1347</v>
      </c>
      <c r="B1193" s="40">
        <v>66193</v>
      </c>
      <c r="C1193" s="41" t="s">
        <v>1427</v>
      </c>
      <c r="D1193" s="30" t="e">
        <f>VLOOKUP(Table13[[#This Row],[kbli5]],Table1[[#All],[kbli5]:[digital_hijau]],3,)</f>
        <v>#N/A</v>
      </c>
      <c r="E1193" s="53" t="e">
        <f>VLOOKUP(Table13[[#This Row],[kbli5]],kata_kunci!$B:$H,4,FALSE)</f>
        <v>#N/A</v>
      </c>
      <c r="F1193" s="53" t="e">
        <f>VLOOKUP(Table13[[#This Row],[kbli5]],Table1[[#All],[kbli5]:[digital_hijau]],5,)</f>
        <v>#N/A</v>
      </c>
      <c r="G1193" s="53" t="e">
        <f>VLOOKUP(Table13[[#This Row],[kbli5]],Table1[[#All],[kbli5]:[digital_hijau]],6,)</f>
        <v>#N/A</v>
      </c>
      <c r="H1193" s="54" t="e">
        <f>VLOOKUP(Table13[[#This Row],[kbli5]],kata_kunci!$B:$H,3,FALSE)</f>
        <v>#N/A</v>
      </c>
      <c r="I1193" s="84" t="e">
        <f>VLOOKUP(Table13[[#This Row],[kbli5]],kata_kunci!$B:$H,5,FALSE)</f>
        <v>#N/A</v>
      </c>
      <c r="J1193" s="84" t="e">
        <f>VLOOKUP(Table13[[#This Row],[kbli5]],kata_kunci!$B:$H,6,FALSE)</f>
        <v>#N/A</v>
      </c>
      <c r="K1193" s="84" t="e">
        <f>VLOOKUP(Table13[[#This Row],[kbli5]],kata_kunci!$B:$H,7,FALSE)</f>
        <v>#N/A</v>
      </c>
    </row>
    <row r="1194" spans="1:11" ht="15.75" thickBot="1" x14ac:dyDescent="0.3">
      <c r="A1194" s="53" t="s">
        <v>1347</v>
      </c>
      <c r="B1194" s="40">
        <v>66194</v>
      </c>
      <c r="C1194" s="41" t="s">
        <v>1428</v>
      </c>
      <c r="D1194" s="30" t="e">
        <f>VLOOKUP(Table13[[#This Row],[kbli5]],Table1[[#All],[kbli5]:[digital_hijau]],3,)</f>
        <v>#N/A</v>
      </c>
      <c r="E1194" s="53" t="e">
        <f>VLOOKUP(Table13[[#This Row],[kbli5]],kata_kunci!$B:$H,4,FALSE)</f>
        <v>#N/A</v>
      </c>
      <c r="F1194" s="53" t="e">
        <f>VLOOKUP(Table13[[#This Row],[kbli5]],Table1[[#All],[kbli5]:[digital_hijau]],5,)</f>
        <v>#N/A</v>
      </c>
      <c r="G1194" s="53" t="e">
        <f>VLOOKUP(Table13[[#This Row],[kbli5]],Table1[[#All],[kbli5]:[digital_hijau]],6,)</f>
        <v>#N/A</v>
      </c>
      <c r="H1194" s="54" t="e">
        <f>VLOOKUP(Table13[[#This Row],[kbli5]],kata_kunci!$B:$H,3,FALSE)</f>
        <v>#N/A</v>
      </c>
      <c r="I1194" s="84" t="e">
        <f>VLOOKUP(Table13[[#This Row],[kbli5]],kata_kunci!$B:$H,5,FALSE)</f>
        <v>#N/A</v>
      </c>
      <c r="J1194" s="84" t="e">
        <f>VLOOKUP(Table13[[#This Row],[kbli5]],kata_kunci!$B:$H,6,FALSE)</f>
        <v>#N/A</v>
      </c>
      <c r="K1194" s="84" t="e">
        <f>VLOOKUP(Table13[[#This Row],[kbli5]],kata_kunci!$B:$H,7,FALSE)</f>
        <v>#N/A</v>
      </c>
    </row>
    <row r="1195" spans="1:11" ht="30.75" thickBot="1" x14ac:dyDescent="0.3">
      <c r="A1195" s="53" t="s">
        <v>1347</v>
      </c>
      <c r="B1195" s="40">
        <v>66195</v>
      </c>
      <c r="C1195" s="41" t="s">
        <v>1429</v>
      </c>
      <c r="D1195" s="30" t="e">
        <f>VLOOKUP(Table13[[#This Row],[kbli5]],Table1[[#All],[kbli5]:[digital_hijau]],3,)</f>
        <v>#N/A</v>
      </c>
      <c r="E1195" s="53" t="e">
        <f>VLOOKUP(Table13[[#This Row],[kbli5]],kata_kunci!$B:$H,4,FALSE)</f>
        <v>#N/A</v>
      </c>
      <c r="F1195" s="53" t="e">
        <f>VLOOKUP(Table13[[#This Row],[kbli5]],Table1[[#All],[kbli5]:[digital_hijau]],5,)</f>
        <v>#N/A</v>
      </c>
      <c r="G1195" s="53" t="e">
        <f>VLOOKUP(Table13[[#This Row],[kbli5]],Table1[[#All],[kbli5]:[digital_hijau]],6,)</f>
        <v>#N/A</v>
      </c>
      <c r="H1195" s="54" t="e">
        <f>VLOOKUP(Table13[[#This Row],[kbli5]],kata_kunci!$B:$H,3,FALSE)</f>
        <v>#N/A</v>
      </c>
      <c r="I1195" s="84" t="e">
        <f>VLOOKUP(Table13[[#This Row],[kbli5]],kata_kunci!$B:$H,5,FALSE)</f>
        <v>#N/A</v>
      </c>
      <c r="J1195" s="84" t="e">
        <f>VLOOKUP(Table13[[#This Row],[kbli5]],kata_kunci!$B:$H,6,FALSE)</f>
        <v>#N/A</v>
      </c>
      <c r="K1195" s="84" t="e">
        <f>VLOOKUP(Table13[[#This Row],[kbli5]],kata_kunci!$B:$H,7,FALSE)</f>
        <v>#N/A</v>
      </c>
    </row>
    <row r="1196" spans="1:11" ht="30.75" thickBot="1" x14ac:dyDescent="0.3">
      <c r="A1196" s="53" t="s">
        <v>1347</v>
      </c>
      <c r="B1196" s="40">
        <v>66196</v>
      </c>
      <c r="C1196" s="41" t="s">
        <v>1430</v>
      </c>
      <c r="D1196" s="30" t="e">
        <f>VLOOKUP(Table13[[#This Row],[kbli5]],Table1[[#All],[kbli5]:[digital_hijau]],3,)</f>
        <v>#N/A</v>
      </c>
      <c r="E1196" s="53" t="e">
        <f>VLOOKUP(Table13[[#This Row],[kbli5]],kata_kunci!$B:$H,4,FALSE)</f>
        <v>#N/A</v>
      </c>
      <c r="F1196" s="53" t="e">
        <f>VLOOKUP(Table13[[#This Row],[kbli5]],Table1[[#All],[kbli5]:[digital_hijau]],5,)</f>
        <v>#N/A</v>
      </c>
      <c r="G1196" s="53" t="e">
        <f>VLOOKUP(Table13[[#This Row],[kbli5]],Table1[[#All],[kbli5]:[digital_hijau]],6,)</f>
        <v>#N/A</v>
      </c>
      <c r="H1196" s="54" t="e">
        <f>VLOOKUP(Table13[[#This Row],[kbli5]],kata_kunci!$B:$H,3,FALSE)</f>
        <v>#N/A</v>
      </c>
      <c r="I1196" s="84" t="e">
        <f>VLOOKUP(Table13[[#This Row],[kbli5]],kata_kunci!$B:$H,5,FALSE)</f>
        <v>#N/A</v>
      </c>
      <c r="J1196" s="84" t="e">
        <f>VLOOKUP(Table13[[#This Row],[kbli5]],kata_kunci!$B:$H,6,FALSE)</f>
        <v>#N/A</v>
      </c>
      <c r="K1196" s="84" t="e">
        <f>VLOOKUP(Table13[[#This Row],[kbli5]],kata_kunci!$B:$H,7,FALSE)</f>
        <v>#N/A</v>
      </c>
    </row>
    <row r="1197" spans="1:11" ht="45.75" thickBot="1" x14ac:dyDescent="0.3">
      <c r="A1197" s="53" t="s">
        <v>1347</v>
      </c>
      <c r="B1197" s="40">
        <v>66197</v>
      </c>
      <c r="C1197" s="41" t="s">
        <v>1431</v>
      </c>
      <c r="D1197" s="30" t="e">
        <f>VLOOKUP(Table13[[#This Row],[kbli5]],Table1[[#All],[kbli5]:[digital_hijau]],3,)</f>
        <v>#N/A</v>
      </c>
      <c r="E1197" s="53" t="e">
        <f>VLOOKUP(Table13[[#This Row],[kbli5]],kata_kunci!$B:$H,4,FALSE)</f>
        <v>#N/A</v>
      </c>
      <c r="F1197" s="53" t="e">
        <f>VLOOKUP(Table13[[#This Row],[kbli5]],Table1[[#All],[kbli5]:[digital_hijau]],5,)</f>
        <v>#N/A</v>
      </c>
      <c r="G1197" s="53" t="e">
        <f>VLOOKUP(Table13[[#This Row],[kbli5]],Table1[[#All],[kbli5]:[digital_hijau]],6,)</f>
        <v>#N/A</v>
      </c>
      <c r="H1197" s="54" t="e">
        <f>VLOOKUP(Table13[[#This Row],[kbli5]],kata_kunci!$B:$H,3,FALSE)</f>
        <v>#N/A</v>
      </c>
      <c r="I1197" s="84" t="e">
        <f>VLOOKUP(Table13[[#This Row],[kbli5]],kata_kunci!$B:$H,5,FALSE)</f>
        <v>#N/A</v>
      </c>
      <c r="J1197" s="84" t="e">
        <f>VLOOKUP(Table13[[#This Row],[kbli5]],kata_kunci!$B:$H,6,FALSE)</f>
        <v>#N/A</v>
      </c>
      <c r="K1197" s="84" t="e">
        <f>VLOOKUP(Table13[[#This Row],[kbli5]],kata_kunci!$B:$H,7,FALSE)</f>
        <v>#N/A</v>
      </c>
    </row>
    <row r="1198" spans="1:11" ht="45.75" thickBot="1" x14ac:dyDescent="0.3">
      <c r="A1198" s="53" t="s">
        <v>1347</v>
      </c>
      <c r="B1198" s="40">
        <v>66198</v>
      </c>
      <c r="C1198" s="41" t="s">
        <v>1432</v>
      </c>
      <c r="D1198" s="30" t="e">
        <f>VLOOKUP(Table13[[#This Row],[kbli5]],Table1[[#All],[kbli5]:[digital_hijau]],3,)</f>
        <v>#N/A</v>
      </c>
      <c r="E1198" s="53" t="e">
        <f>VLOOKUP(Table13[[#This Row],[kbli5]],kata_kunci!$B:$H,4,FALSE)</f>
        <v>#N/A</v>
      </c>
      <c r="F1198" s="53" t="e">
        <f>VLOOKUP(Table13[[#This Row],[kbli5]],Table1[[#All],[kbli5]:[digital_hijau]],5,)</f>
        <v>#N/A</v>
      </c>
      <c r="G1198" s="53" t="e">
        <f>VLOOKUP(Table13[[#This Row],[kbli5]],Table1[[#All],[kbli5]:[digital_hijau]],6,)</f>
        <v>#N/A</v>
      </c>
      <c r="H1198" s="54" t="e">
        <f>VLOOKUP(Table13[[#This Row],[kbli5]],kata_kunci!$B:$H,3,FALSE)</f>
        <v>#N/A</v>
      </c>
      <c r="I1198" s="84" t="e">
        <f>VLOOKUP(Table13[[#This Row],[kbli5]],kata_kunci!$B:$H,5,FALSE)</f>
        <v>#N/A</v>
      </c>
      <c r="J1198" s="84" t="e">
        <f>VLOOKUP(Table13[[#This Row],[kbli5]],kata_kunci!$B:$H,6,FALSE)</f>
        <v>#N/A</v>
      </c>
      <c r="K1198" s="84" t="e">
        <f>VLOOKUP(Table13[[#This Row],[kbli5]],kata_kunci!$B:$H,7,FALSE)</f>
        <v>#N/A</v>
      </c>
    </row>
    <row r="1199" spans="1:11" ht="45.75" thickBot="1" x14ac:dyDescent="0.3">
      <c r="A1199" s="53" t="s">
        <v>1347</v>
      </c>
      <c r="B1199" s="40">
        <v>66199</v>
      </c>
      <c r="C1199" s="41" t="s">
        <v>1433</v>
      </c>
      <c r="D1199" s="30" t="e">
        <f>VLOOKUP(Table13[[#This Row],[kbli5]],Table1[[#All],[kbli5]:[digital_hijau]],3,)</f>
        <v>#N/A</v>
      </c>
      <c r="E1199" s="53" t="e">
        <f>VLOOKUP(Table13[[#This Row],[kbli5]],kata_kunci!$B:$H,4,FALSE)</f>
        <v>#N/A</v>
      </c>
      <c r="F1199" s="53" t="e">
        <f>VLOOKUP(Table13[[#This Row],[kbli5]],Table1[[#All],[kbli5]:[digital_hijau]],5,)</f>
        <v>#N/A</v>
      </c>
      <c r="G1199" s="53" t="e">
        <f>VLOOKUP(Table13[[#This Row],[kbli5]],Table1[[#All],[kbli5]:[digital_hijau]],6,)</f>
        <v>#N/A</v>
      </c>
      <c r="H1199" s="54" t="e">
        <f>VLOOKUP(Table13[[#This Row],[kbli5]],kata_kunci!$B:$H,3,FALSE)</f>
        <v>#N/A</v>
      </c>
      <c r="I1199" s="84" t="e">
        <f>VLOOKUP(Table13[[#This Row],[kbli5]],kata_kunci!$B:$H,5,FALSE)</f>
        <v>#N/A</v>
      </c>
      <c r="J1199" s="84" t="e">
        <f>VLOOKUP(Table13[[#This Row],[kbli5]],kata_kunci!$B:$H,6,FALSE)</f>
        <v>#N/A</v>
      </c>
      <c r="K1199" s="84" t="e">
        <f>VLOOKUP(Table13[[#This Row],[kbli5]],kata_kunci!$B:$H,7,FALSE)</f>
        <v>#N/A</v>
      </c>
    </row>
    <row r="1200" spans="1:11" ht="30.75" thickBot="1" x14ac:dyDescent="0.3">
      <c r="A1200" s="53" t="s">
        <v>1347</v>
      </c>
      <c r="B1200" s="40">
        <v>66211</v>
      </c>
      <c r="C1200" s="41" t="s">
        <v>1434</v>
      </c>
      <c r="D1200" s="30" t="e">
        <f>VLOOKUP(Table13[[#This Row],[kbli5]],Table1[[#All],[kbli5]:[digital_hijau]],3,)</f>
        <v>#N/A</v>
      </c>
      <c r="E1200" s="53" t="e">
        <f>VLOOKUP(Table13[[#This Row],[kbli5]],kata_kunci!$B:$H,4,FALSE)</f>
        <v>#N/A</v>
      </c>
      <c r="F1200" s="53" t="e">
        <f>VLOOKUP(Table13[[#This Row],[kbli5]],Table1[[#All],[kbli5]:[digital_hijau]],5,)</f>
        <v>#N/A</v>
      </c>
      <c r="G1200" s="53" t="e">
        <f>VLOOKUP(Table13[[#This Row],[kbli5]],Table1[[#All],[kbli5]:[digital_hijau]],6,)</f>
        <v>#N/A</v>
      </c>
      <c r="H1200" s="54" t="e">
        <f>VLOOKUP(Table13[[#This Row],[kbli5]],kata_kunci!$B:$H,3,FALSE)</f>
        <v>#N/A</v>
      </c>
      <c r="I1200" s="84" t="e">
        <f>VLOOKUP(Table13[[#This Row],[kbli5]],kata_kunci!$B:$H,5,FALSE)</f>
        <v>#N/A</v>
      </c>
      <c r="J1200" s="84" t="e">
        <f>VLOOKUP(Table13[[#This Row],[kbli5]],kata_kunci!$B:$H,6,FALSE)</f>
        <v>#N/A</v>
      </c>
      <c r="K1200" s="84" t="e">
        <f>VLOOKUP(Table13[[#This Row],[kbli5]],kata_kunci!$B:$H,7,FALSE)</f>
        <v>#N/A</v>
      </c>
    </row>
    <row r="1201" spans="1:11" ht="30.75" thickBot="1" x14ac:dyDescent="0.3">
      <c r="A1201" s="53" t="s">
        <v>1347</v>
      </c>
      <c r="B1201" s="40">
        <v>66212</v>
      </c>
      <c r="C1201" s="41" t="s">
        <v>1435</v>
      </c>
      <c r="D1201" s="30" t="e">
        <f>VLOOKUP(Table13[[#This Row],[kbli5]],Table1[[#All],[kbli5]:[digital_hijau]],3,)</f>
        <v>#N/A</v>
      </c>
      <c r="E1201" s="53" t="e">
        <f>VLOOKUP(Table13[[#This Row],[kbli5]],kata_kunci!$B:$H,4,FALSE)</f>
        <v>#N/A</v>
      </c>
      <c r="F1201" s="53" t="e">
        <f>VLOOKUP(Table13[[#This Row],[kbli5]],Table1[[#All],[kbli5]:[digital_hijau]],5,)</f>
        <v>#N/A</v>
      </c>
      <c r="G1201" s="53" t="e">
        <f>VLOOKUP(Table13[[#This Row],[kbli5]],Table1[[#All],[kbli5]:[digital_hijau]],6,)</f>
        <v>#N/A</v>
      </c>
      <c r="H1201" s="54" t="e">
        <f>VLOOKUP(Table13[[#This Row],[kbli5]],kata_kunci!$B:$H,3,FALSE)</f>
        <v>#N/A</v>
      </c>
      <c r="I1201" s="84" t="e">
        <f>VLOOKUP(Table13[[#This Row],[kbli5]],kata_kunci!$B:$H,5,FALSE)</f>
        <v>#N/A</v>
      </c>
      <c r="J1201" s="84" t="e">
        <f>VLOOKUP(Table13[[#This Row],[kbli5]],kata_kunci!$B:$H,6,FALSE)</f>
        <v>#N/A</v>
      </c>
      <c r="K1201" s="84" t="e">
        <f>VLOOKUP(Table13[[#This Row],[kbli5]],kata_kunci!$B:$H,7,FALSE)</f>
        <v>#N/A</v>
      </c>
    </row>
    <row r="1202" spans="1:11" ht="15.75" thickBot="1" x14ac:dyDescent="0.3">
      <c r="A1202" s="53" t="s">
        <v>1347</v>
      </c>
      <c r="B1202" s="40">
        <v>66221</v>
      </c>
      <c r="C1202" s="41" t="s">
        <v>1436</v>
      </c>
      <c r="D1202" s="30" t="e">
        <f>VLOOKUP(Table13[[#This Row],[kbli5]],Table1[[#All],[kbli5]:[digital_hijau]],3,)</f>
        <v>#N/A</v>
      </c>
      <c r="E1202" s="53" t="e">
        <f>VLOOKUP(Table13[[#This Row],[kbli5]],kata_kunci!$B:$H,4,FALSE)</f>
        <v>#N/A</v>
      </c>
      <c r="F1202" s="53" t="e">
        <f>VLOOKUP(Table13[[#This Row],[kbli5]],Table1[[#All],[kbli5]:[digital_hijau]],5,)</f>
        <v>#N/A</v>
      </c>
      <c r="G1202" s="53" t="e">
        <f>VLOOKUP(Table13[[#This Row],[kbli5]],Table1[[#All],[kbli5]:[digital_hijau]],6,)</f>
        <v>#N/A</v>
      </c>
      <c r="H1202" s="54" t="e">
        <f>VLOOKUP(Table13[[#This Row],[kbli5]],kata_kunci!$B:$H,3,FALSE)</f>
        <v>#N/A</v>
      </c>
      <c r="I1202" s="84" t="e">
        <f>VLOOKUP(Table13[[#This Row],[kbli5]],kata_kunci!$B:$H,5,FALSE)</f>
        <v>#N/A</v>
      </c>
      <c r="J1202" s="84" t="e">
        <f>VLOOKUP(Table13[[#This Row],[kbli5]],kata_kunci!$B:$H,6,FALSE)</f>
        <v>#N/A</v>
      </c>
      <c r="K1202" s="84" t="e">
        <f>VLOOKUP(Table13[[#This Row],[kbli5]],kata_kunci!$B:$H,7,FALSE)</f>
        <v>#N/A</v>
      </c>
    </row>
    <row r="1203" spans="1:11" ht="30.75" thickBot="1" x14ac:dyDescent="0.3">
      <c r="A1203" s="53" t="s">
        <v>1347</v>
      </c>
      <c r="B1203" s="40">
        <v>66222</v>
      </c>
      <c r="C1203" s="41" t="s">
        <v>1437</v>
      </c>
      <c r="D1203" s="30" t="e">
        <f>VLOOKUP(Table13[[#This Row],[kbli5]],Table1[[#All],[kbli5]:[digital_hijau]],3,)</f>
        <v>#N/A</v>
      </c>
      <c r="E1203" s="53" t="e">
        <f>VLOOKUP(Table13[[#This Row],[kbli5]],kata_kunci!$B:$H,4,FALSE)</f>
        <v>#N/A</v>
      </c>
      <c r="F1203" s="53" t="e">
        <f>VLOOKUP(Table13[[#This Row],[kbli5]],Table1[[#All],[kbli5]:[digital_hijau]],5,)</f>
        <v>#N/A</v>
      </c>
      <c r="G1203" s="53" t="e">
        <f>VLOOKUP(Table13[[#This Row],[kbli5]],Table1[[#All],[kbli5]:[digital_hijau]],6,)</f>
        <v>#N/A</v>
      </c>
      <c r="H1203" s="54" t="e">
        <f>VLOOKUP(Table13[[#This Row],[kbli5]],kata_kunci!$B:$H,3,FALSE)</f>
        <v>#N/A</v>
      </c>
      <c r="I1203" s="84" t="e">
        <f>VLOOKUP(Table13[[#This Row],[kbli5]],kata_kunci!$B:$H,5,FALSE)</f>
        <v>#N/A</v>
      </c>
      <c r="J1203" s="84" t="e">
        <f>VLOOKUP(Table13[[#This Row],[kbli5]],kata_kunci!$B:$H,6,FALSE)</f>
        <v>#N/A</v>
      </c>
      <c r="K1203" s="84" t="e">
        <f>VLOOKUP(Table13[[#This Row],[kbli5]],kata_kunci!$B:$H,7,FALSE)</f>
        <v>#N/A</v>
      </c>
    </row>
    <row r="1204" spans="1:11" ht="30.75" thickBot="1" x14ac:dyDescent="0.3">
      <c r="A1204" s="53" t="s">
        <v>1347</v>
      </c>
      <c r="B1204" s="40">
        <v>66223</v>
      </c>
      <c r="C1204" s="41" t="s">
        <v>1438</v>
      </c>
      <c r="D1204" s="30" t="e">
        <f>VLOOKUP(Table13[[#This Row],[kbli5]],Table1[[#All],[kbli5]:[digital_hijau]],3,)</f>
        <v>#N/A</v>
      </c>
      <c r="E1204" s="53" t="e">
        <f>VLOOKUP(Table13[[#This Row],[kbli5]],kata_kunci!$B:$H,4,FALSE)</f>
        <v>#N/A</v>
      </c>
      <c r="F1204" s="53" t="e">
        <f>VLOOKUP(Table13[[#This Row],[kbli5]],Table1[[#All],[kbli5]:[digital_hijau]],5,)</f>
        <v>#N/A</v>
      </c>
      <c r="G1204" s="53" t="e">
        <f>VLOOKUP(Table13[[#This Row],[kbli5]],Table1[[#All],[kbli5]:[digital_hijau]],6,)</f>
        <v>#N/A</v>
      </c>
      <c r="H1204" s="54" t="e">
        <f>VLOOKUP(Table13[[#This Row],[kbli5]],kata_kunci!$B:$H,3,FALSE)</f>
        <v>#N/A</v>
      </c>
      <c r="I1204" s="84" t="e">
        <f>VLOOKUP(Table13[[#This Row],[kbli5]],kata_kunci!$B:$H,5,FALSE)</f>
        <v>#N/A</v>
      </c>
      <c r="J1204" s="84" t="e">
        <f>VLOOKUP(Table13[[#This Row],[kbli5]],kata_kunci!$B:$H,6,FALSE)</f>
        <v>#N/A</v>
      </c>
      <c r="K1204" s="84" t="e">
        <f>VLOOKUP(Table13[[#This Row],[kbli5]],kata_kunci!$B:$H,7,FALSE)</f>
        <v>#N/A</v>
      </c>
    </row>
    <row r="1205" spans="1:11" ht="30.75" thickBot="1" x14ac:dyDescent="0.3">
      <c r="A1205" s="53" t="s">
        <v>1347</v>
      </c>
      <c r="B1205" s="40">
        <v>66224</v>
      </c>
      <c r="C1205" s="41" t="s">
        <v>1439</v>
      </c>
      <c r="D1205" s="30" t="e">
        <f>VLOOKUP(Table13[[#This Row],[kbli5]],Table1[[#All],[kbli5]:[digital_hijau]],3,)</f>
        <v>#N/A</v>
      </c>
      <c r="E1205" s="53" t="e">
        <f>VLOOKUP(Table13[[#This Row],[kbli5]],kata_kunci!$B:$H,4,FALSE)</f>
        <v>#N/A</v>
      </c>
      <c r="F1205" s="53" t="e">
        <f>VLOOKUP(Table13[[#This Row],[kbli5]],Table1[[#All],[kbli5]:[digital_hijau]],5,)</f>
        <v>#N/A</v>
      </c>
      <c r="G1205" s="53" t="e">
        <f>VLOOKUP(Table13[[#This Row],[kbli5]],Table1[[#All],[kbli5]:[digital_hijau]],6,)</f>
        <v>#N/A</v>
      </c>
      <c r="H1205" s="54" t="e">
        <f>VLOOKUP(Table13[[#This Row],[kbli5]],kata_kunci!$B:$H,3,FALSE)</f>
        <v>#N/A</v>
      </c>
      <c r="I1205" s="84" t="e">
        <f>VLOOKUP(Table13[[#This Row],[kbli5]],kata_kunci!$B:$H,5,FALSE)</f>
        <v>#N/A</v>
      </c>
      <c r="J1205" s="84" t="e">
        <f>VLOOKUP(Table13[[#This Row],[kbli5]],kata_kunci!$B:$H,6,FALSE)</f>
        <v>#N/A</v>
      </c>
      <c r="K1205" s="84" t="e">
        <f>VLOOKUP(Table13[[#This Row],[kbli5]],kata_kunci!$B:$H,7,FALSE)</f>
        <v>#N/A</v>
      </c>
    </row>
    <row r="1206" spans="1:11" ht="30.75" thickBot="1" x14ac:dyDescent="0.3">
      <c r="A1206" s="53" t="s">
        <v>1347</v>
      </c>
      <c r="B1206" s="40">
        <v>66225</v>
      </c>
      <c r="C1206" s="41" t="s">
        <v>1440</v>
      </c>
      <c r="D1206" s="30" t="e">
        <f>VLOOKUP(Table13[[#This Row],[kbli5]],Table1[[#All],[kbli5]:[digital_hijau]],3,)</f>
        <v>#N/A</v>
      </c>
      <c r="E1206" s="53" t="e">
        <f>VLOOKUP(Table13[[#This Row],[kbli5]],kata_kunci!$B:$H,4,FALSE)</f>
        <v>#N/A</v>
      </c>
      <c r="F1206" s="53" t="e">
        <f>VLOOKUP(Table13[[#This Row],[kbli5]],Table1[[#All],[kbli5]:[digital_hijau]],5,)</f>
        <v>#N/A</v>
      </c>
      <c r="G1206" s="53" t="e">
        <f>VLOOKUP(Table13[[#This Row],[kbli5]],Table1[[#All],[kbli5]:[digital_hijau]],6,)</f>
        <v>#N/A</v>
      </c>
      <c r="H1206" s="54" t="e">
        <f>VLOOKUP(Table13[[#This Row],[kbli5]],kata_kunci!$B:$H,3,FALSE)</f>
        <v>#N/A</v>
      </c>
      <c r="I1206" s="84" t="e">
        <f>VLOOKUP(Table13[[#This Row],[kbli5]],kata_kunci!$B:$H,5,FALSE)</f>
        <v>#N/A</v>
      </c>
      <c r="J1206" s="84" t="e">
        <f>VLOOKUP(Table13[[#This Row],[kbli5]],kata_kunci!$B:$H,6,FALSE)</f>
        <v>#N/A</v>
      </c>
      <c r="K1206" s="84" t="e">
        <f>VLOOKUP(Table13[[#This Row],[kbli5]],kata_kunci!$B:$H,7,FALSE)</f>
        <v>#N/A</v>
      </c>
    </row>
    <row r="1207" spans="1:11" ht="30.75" thickBot="1" x14ac:dyDescent="0.3">
      <c r="A1207" s="53" t="s">
        <v>1347</v>
      </c>
      <c r="B1207" s="40">
        <v>66226</v>
      </c>
      <c r="C1207" s="41" t="s">
        <v>1441</v>
      </c>
      <c r="D1207" s="30" t="e">
        <f>VLOOKUP(Table13[[#This Row],[kbli5]],Table1[[#All],[kbli5]:[digital_hijau]],3,)</f>
        <v>#N/A</v>
      </c>
      <c r="E1207" s="53" t="e">
        <f>VLOOKUP(Table13[[#This Row],[kbli5]],kata_kunci!$B:$H,4,FALSE)</f>
        <v>#N/A</v>
      </c>
      <c r="F1207" s="53" t="e">
        <f>VLOOKUP(Table13[[#This Row],[kbli5]],Table1[[#All],[kbli5]:[digital_hijau]],5,)</f>
        <v>#N/A</v>
      </c>
      <c r="G1207" s="53" t="e">
        <f>VLOOKUP(Table13[[#This Row],[kbli5]],Table1[[#All],[kbli5]:[digital_hijau]],6,)</f>
        <v>#N/A</v>
      </c>
      <c r="H1207" s="54" t="e">
        <f>VLOOKUP(Table13[[#This Row],[kbli5]],kata_kunci!$B:$H,3,FALSE)</f>
        <v>#N/A</v>
      </c>
      <c r="I1207" s="84" t="e">
        <f>VLOOKUP(Table13[[#This Row],[kbli5]],kata_kunci!$B:$H,5,FALSE)</f>
        <v>#N/A</v>
      </c>
      <c r="J1207" s="84" t="e">
        <f>VLOOKUP(Table13[[#This Row],[kbli5]],kata_kunci!$B:$H,6,FALSE)</f>
        <v>#N/A</v>
      </c>
      <c r="K1207" s="84" t="e">
        <f>VLOOKUP(Table13[[#This Row],[kbli5]],kata_kunci!$B:$H,7,FALSE)</f>
        <v>#N/A</v>
      </c>
    </row>
    <row r="1208" spans="1:11" ht="30.75" thickBot="1" x14ac:dyDescent="0.3">
      <c r="A1208" s="53" t="s">
        <v>1347</v>
      </c>
      <c r="B1208" s="40">
        <v>66291</v>
      </c>
      <c r="C1208" s="41" t="s">
        <v>1442</v>
      </c>
      <c r="D1208" s="30" t="e">
        <f>VLOOKUP(Table13[[#This Row],[kbli5]],Table1[[#All],[kbli5]:[digital_hijau]],3,)</f>
        <v>#N/A</v>
      </c>
      <c r="E1208" s="53" t="e">
        <f>VLOOKUP(Table13[[#This Row],[kbli5]],kata_kunci!$B:$H,4,FALSE)</f>
        <v>#N/A</v>
      </c>
      <c r="F1208" s="53" t="e">
        <f>VLOOKUP(Table13[[#This Row],[kbli5]],Table1[[#All],[kbli5]:[digital_hijau]],5,)</f>
        <v>#N/A</v>
      </c>
      <c r="G1208" s="53" t="e">
        <f>VLOOKUP(Table13[[#This Row],[kbli5]],Table1[[#All],[kbli5]:[digital_hijau]],6,)</f>
        <v>#N/A</v>
      </c>
      <c r="H1208" s="54" t="e">
        <f>VLOOKUP(Table13[[#This Row],[kbli5]],kata_kunci!$B:$H,3,FALSE)</f>
        <v>#N/A</v>
      </c>
      <c r="I1208" s="84" t="e">
        <f>VLOOKUP(Table13[[#This Row],[kbli5]],kata_kunci!$B:$H,5,FALSE)</f>
        <v>#N/A</v>
      </c>
      <c r="J1208" s="84" t="e">
        <f>VLOOKUP(Table13[[#This Row],[kbli5]],kata_kunci!$B:$H,6,FALSE)</f>
        <v>#N/A</v>
      </c>
      <c r="K1208" s="84" t="e">
        <f>VLOOKUP(Table13[[#This Row],[kbli5]],kata_kunci!$B:$H,7,FALSE)</f>
        <v>#N/A</v>
      </c>
    </row>
    <row r="1209" spans="1:11" ht="45.75" thickBot="1" x14ac:dyDescent="0.3">
      <c r="A1209" s="53" t="s">
        <v>1347</v>
      </c>
      <c r="B1209" s="40">
        <v>66292</v>
      </c>
      <c r="C1209" s="41" t="s">
        <v>1443</v>
      </c>
      <c r="D1209" s="30" t="e">
        <f>VLOOKUP(Table13[[#This Row],[kbli5]],Table1[[#All],[kbli5]:[digital_hijau]],3,)</f>
        <v>#N/A</v>
      </c>
      <c r="E1209" s="53" t="e">
        <f>VLOOKUP(Table13[[#This Row],[kbli5]],kata_kunci!$B:$H,4,FALSE)</f>
        <v>#N/A</v>
      </c>
      <c r="F1209" s="53" t="e">
        <f>VLOOKUP(Table13[[#This Row],[kbli5]],Table1[[#All],[kbli5]:[digital_hijau]],5,)</f>
        <v>#N/A</v>
      </c>
      <c r="G1209" s="53" t="e">
        <f>VLOOKUP(Table13[[#This Row],[kbli5]],Table1[[#All],[kbli5]:[digital_hijau]],6,)</f>
        <v>#N/A</v>
      </c>
      <c r="H1209" s="54" t="e">
        <f>VLOOKUP(Table13[[#This Row],[kbli5]],kata_kunci!$B:$H,3,FALSE)</f>
        <v>#N/A</v>
      </c>
      <c r="I1209" s="84" t="e">
        <f>VLOOKUP(Table13[[#This Row],[kbli5]],kata_kunci!$B:$H,5,FALSE)</f>
        <v>#N/A</v>
      </c>
      <c r="J1209" s="84" t="e">
        <f>VLOOKUP(Table13[[#This Row],[kbli5]],kata_kunci!$B:$H,6,FALSE)</f>
        <v>#N/A</v>
      </c>
      <c r="K1209" s="84" t="e">
        <f>VLOOKUP(Table13[[#This Row],[kbli5]],kata_kunci!$B:$H,7,FALSE)</f>
        <v>#N/A</v>
      </c>
    </row>
    <row r="1210" spans="1:11" ht="45.75" thickBot="1" x14ac:dyDescent="0.3">
      <c r="A1210" s="53" t="s">
        <v>1347</v>
      </c>
      <c r="B1210" s="40">
        <v>66299</v>
      </c>
      <c r="C1210" s="41" t="s">
        <v>1444</v>
      </c>
      <c r="D1210" s="30" t="e">
        <f>VLOOKUP(Table13[[#This Row],[kbli5]],Table1[[#All],[kbli5]:[digital_hijau]],3,)</f>
        <v>#N/A</v>
      </c>
      <c r="E1210" s="53" t="e">
        <f>VLOOKUP(Table13[[#This Row],[kbli5]],kata_kunci!$B:$H,4,FALSE)</f>
        <v>#N/A</v>
      </c>
      <c r="F1210" s="53" t="e">
        <f>VLOOKUP(Table13[[#This Row],[kbli5]],Table1[[#All],[kbli5]:[digital_hijau]],5,)</f>
        <v>#N/A</v>
      </c>
      <c r="G1210" s="53" t="e">
        <f>VLOOKUP(Table13[[#This Row],[kbli5]],Table1[[#All],[kbli5]:[digital_hijau]],6,)</f>
        <v>#N/A</v>
      </c>
      <c r="H1210" s="54" t="e">
        <f>VLOOKUP(Table13[[#This Row],[kbli5]],kata_kunci!$B:$H,3,FALSE)</f>
        <v>#N/A</v>
      </c>
      <c r="I1210" s="84" t="e">
        <f>VLOOKUP(Table13[[#This Row],[kbli5]],kata_kunci!$B:$H,5,FALSE)</f>
        <v>#N/A</v>
      </c>
      <c r="J1210" s="84" t="e">
        <f>VLOOKUP(Table13[[#This Row],[kbli5]],kata_kunci!$B:$H,6,FALSE)</f>
        <v>#N/A</v>
      </c>
      <c r="K1210" s="84" t="e">
        <f>VLOOKUP(Table13[[#This Row],[kbli5]],kata_kunci!$B:$H,7,FALSE)</f>
        <v>#N/A</v>
      </c>
    </row>
    <row r="1211" spans="1:11" ht="45.75" thickBot="1" x14ac:dyDescent="0.3">
      <c r="A1211" s="53" t="s">
        <v>1347</v>
      </c>
      <c r="B1211" s="40">
        <v>66301</v>
      </c>
      <c r="C1211" s="41" t="s">
        <v>1445</v>
      </c>
      <c r="D1211" s="30" t="e">
        <f>VLOOKUP(Table13[[#This Row],[kbli5]],Table1[[#All],[kbli5]:[digital_hijau]],3,)</f>
        <v>#N/A</v>
      </c>
      <c r="E1211" s="53" t="e">
        <f>VLOOKUP(Table13[[#This Row],[kbli5]],kata_kunci!$B:$H,4,FALSE)</f>
        <v>#N/A</v>
      </c>
      <c r="F1211" s="53" t="e">
        <f>VLOOKUP(Table13[[#This Row],[kbli5]],Table1[[#All],[kbli5]:[digital_hijau]],5,)</f>
        <v>#N/A</v>
      </c>
      <c r="G1211" s="53" t="e">
        <f>VLOOKUP(Table13[[#This Row],[kbli5]],Table1[[#All],[kbli5]:[digital_hijau]],6,)</f>
        <v>#N/A</v>
      </c>
      <c r="H1211" s="54" t="e">
        <f>VLOOKUP(Table13[[#This Row],[kbli5]],kata_kunci!$B:$H,3,FALSE)</f>
        <v>#N/A</v>
      </c>
      <c r="I1211" s="84" t="e">
        <f>VLOOKUP(Table13[[#This Row],[kbli5]],kata_kunci!$B:$H,5,FALSE)</f>
        <v>#N/A</v>
      </c>
      <c r="J1211" s="84" t="e">
        <f>VLOOKUP(Table13[[#This Row],[kbli5]],kata_kunci!$B:$H,6,FALSE)</f>
        <v>#N/A</v>
      </c>
      <c r="K1211" s="84" t="e">
        <f>VLOOKUP(Table13[[#This Row],[kbli5]],kata_kunci!$B:$H,7,FALSE)</f>
        <v>#N/A</v>
      </c>
    </row>
    <row r="1212" spans="1:11" ht="45.75" thickBot="1" x14ac:dyDescent="0.3">
      <c r="A1212" s="53" t="s">
        <v>1347</v>
      </c>
      <c r="B1212" s="40">
        <v>66302</v>
      </c>
      <c r="C1212" s="41" t="s">
        <v>1446</v>
      </c>
      <c r="D1212" s="30" t="e">
        <f>VLOOKUP(Table13[[#This Row],[kbli5]],Table1[[#All],[kbli5]:[digital_hijau]],3,)</f>
        <v>#N/A</v>
      </c>
      <c r="E1212" s="53" t="e">
        <f>VLOOKUP(Table13[[#This Row],[kbli5]],kata_kunci!$B:$H,4,FALSE)</f>
        <v>#N/A</v>
      </c>
      <c r="F1212" s="53" t="e">
        <f>VLOOKUP(Table13[[#This Row],[kbli5]],Table1[[#All],[kbli5]:[digital_hijau]],5,)</f>
        <v>#N/A</v>
      </c>
      <c r="G1212" s="53" t="e">
        <f>VLOOKUP(Table13[[#This Row],[kbli5]],Table1[[#All],[kbli5]:[digital_hijau]],6,)</f>
        <v>#N/A</v>
      </c>
      <c r="H1212" s="54" t="e">
        <f>VLOOKUP(Table13[[#This Row],[kbli5]],kata_kunci!$B:$H,3,FALSE)</f>
        <v>#N/A</v>
      </c>
      <c r="I1212" s="84" t="e">
        <f>VLOOKUP(Table13[[#This Row],[kbli5]],kata_kunci!$B:$H,5,FALSE)</f>
        <v>#N/A</v>
      </c>
      <c r="J1212" s="84" t="e">
        <f>VLOOKUP(Table13[[#This Row],[kbli5]],kata_kunci!$B:$H,6,FALSE)</f>
        <v>#N/A</v>
      </c>
      <c r="K1212" s="84" t="e">
        <f>VLOOKUP(Table13[[#This Row],[kbli5]],kata_kunci!$B:$H,7,FALSE)</f>
        <v>#N/A</v>
      </c>
    </row>
    <row r="1213" spans="1:11" ht="45.75" thickBot="1" x14ac:dyDescent="0.3">
      <c r="A1213" s="53" t="s">
        <v>1347</v>
      </c>
      <c r="B1213" s="40">
        <v>66303</v>
      </c>
      <c r="C1213" s="41" t="s">
        <v>1447</v>
      </c>
      <c r="D1213" s="30" t="e">
        <f>VLOOKUP(Table13[[#This Row],[kbli5]],Table1[[#All],[kbli5]:[digital_hijau]],3,)</f>
        <v>#N/A</v>
      </c>
      <c r="E1213" s="53" t="e">
        <f>VLOOKUP(Table13[[#This Row],[kbli5]],kata_kunci!$B:$H,4,FALSE)</f>
        <v>#N/A</v>
      </c>
      <c r="F1213" s="53" t="e">
        <f>VLOOKUP(Table13[[#This Row],[kbli5]],Table1[[#All],[kbli5]:[digital_hijau]],5,)</f>
        <v>#N/A</v>
      </c>
      <c r="G1213" s="53" t="e">
        <f>VLOOKUP(Table13[[#This Row],[kbli5]],Table1[[#All],[kbli5]:[digital_hijau]],6,)</f>
        <v>#N/A</v>
      </c>
      <c r="H1213" s="54" t="e">
        <f>VLOOKUP(Table13[[#This Row],[kbli5]],kata_kunci!$B:$H,3,FALSE)</f>
        <v>#N/A</v>
      </c>
      <c r="I1213" s="84" t="e">
        <f>VLOOKUP(Table13[[#This Row],[kbli5]],kata_kunci!$B:$H,5,FALSE)</f>
        <v>#N/A</v>
      </c>
      <c r="J1213" s="84" t="e">
        <f>VLOOKUP(Table13[[#This Row],[kbli5]],kata_kunci!$B:$H,6,FALSE)</f>
        <v>#N/A</v>
      </c>
      <c r="K1213" s="84" t="e">
        <f>VLOOKUP(Table13[[#This Row],[kbli5]],kata_kunci!$B:$H,7,FALSE)</f>
        <v>#N/A</v>
      </c>
    </row>
    <row r="1214" spans="1:11" ht="30.75" thickBot="1" x14ac:dyDescent="0.3">
      <c r="A1214" s="53" t="s">
        <v>1347</v>
      </c>
      <c r="B1214" s="40">
        <v>66309</v>
      </c>
      <c r="C1214" s="41" t="s">
        <v>1448</v>
      </c>
      <c r="D1214" s="30" t="e">
        <f>VLOOKUP(Table13[[#This Row],[kbli5]],Table1[[#All],[kbli5]:[digital_hijau]],3,)</f>
        <v>#N/A</v>
      </c>
      <c r="E1214" s="53" t="e">
        <f>VLOOKUP(Table13[[#This Row],[kbli5]],kata_kunci!$B:$H,4,FALSE)</f>
        <v>#N/A</v>
      </c>
      <c r="F1214" s="53" t="e">
        <f>VLOOKUP(Table13[[#This Row],[kbli5]],Table1[[#All],[kbli5]:[digital_hijau]],5,)</f>
        <v>#N/A</v>
      </c>
      <c r="G1214" s="53" t="e">
        <f>VLOOKUP(Table13[[#This Row],[kbli5]],Table1[[#All],[kbli5]:[digital_hijau]],6,)</f>
        <v>#N/A</v>
      </c>
      <c r="H1214" s="54" t="e">
        <f>VLOOKUP(Table13[[#This Row],[kbli5]],kata_kunci!$B:$H,3,FALSE)</f>
        <v>#N/A</v>
      </c>
      <c r="I1214" s="84" t="e">
        <f>VLOOKUP(Table13[[#This Row],[kbli5]],kata_kunci!$B:$H,5,FALSE)</f>
        <v>#N/A</v>
      </c>
      <c r="J1214" s="84" t="e">
        <f>VLOOKUP(Table13[[#This Row],[kbli5]],kata_kunci!$B:$H,6,FALSE)</f>
        <v>#N/A</v>
      </c>
      <c r="K1214" s="84" t="e">
        <f>VLOOKUP(Table13[[#This Row],[kbli5]],kata_kunci!$B:$H,7,FALSE)</f>
        <v>#N/A</v>
      </c>
    </row>
    <row r="1215" spans="1:11" ht="60.75" thickBot="1" x14ac:dyDescent="0.3">
      <c r="A1215" s="53" t="s">
        <v>1449</v>
      </c>
      <c r="B1215" s="40">
        <v>68111</v>
      </c>
      <c r="C1215" s="41" t="s">
        <v>1450</v>
      </c>
      <c r="D1215" s="30" t="e">
        <f>VLOOKUP(Table13[[#This Row],[kbli5]],Table1[[#All],[kbli5]:[digital_hijau]],3,)</f>
        <v>#N/A</v>
      </c>
      <c r="E1215" s="53" t="e">
        <f>VLOOKUP(Table13[[#This Row],[kbli5]],kata_kunci!$B:$H,4,FALSE)</f>
        <v>#N/A</v>
      </c>
      <c r="F1215" s="53" t="e">
        <f>VLOOKUP(Table13[[#This Row],[kbli5]],Table1[[#All],[kbli5]:[digital_hijau]],5,)</f>
        <v>#N/A</v>
      </c>
      <c r="G1215" s="53" t="e">
        <f>VLOOKUP(Table13[[#This Row],[kbli5]],Table1[[#All],[kbli5]:[digital_hijau]],6,)</f>
        <v>#N/A</v>
      </c>
      <c r="H1215" s="54" t="e">
        <f>VLOOKUP(Table13[[#This Row],[kbli5]],kata_kunci!$B:$H,3,FALSE)</f>
        <v>#N/A</v>
      </c>
      <c r="I1215" s="84" t="e">
        <f>VLOOKUP(Table13[[#This Row],[kbli5]],kata_kunci!$B:$H,5,FALSE)</f>
        <v>#N/A</v>
      </c>
      <c r="J1215" s="84" t="e">
        <f>VLOOKUP(Table13[[#This Row],[kbli5]],kata_kunci!$B:$H,6,FALSE)</f>
        <v>#N/A</v>
      </c>
      <c r="K1215" s="84" t="e">
        <f>VLOOKUP(Table13[[#This Row],[kbli5]],kata_kunci!$B:$H,7,FALSE)</f>
        <v>#N/A</v>
      </c>
    </row>
    <row r="1216" spans="1:11" ht="45.75" thickBot="1" x14ac:dyDescent="0.3">
      <c r="A1216" s="53" t="s">
        <v>1449</v>
      </c>
      <c r="B1216" s="40">
        <v>68112</v>
      </c>
      <c r="C1216" s="41" t="s">
        <v>1451</v>
      </c>
      <c r="D1216" s="30" t="e">
        <f>VLOOKUP(Table13[[#This Row],[kbli5]],Table1[[#All],[kbli5]:[digital_hijau]],3,)</f>
        <v>#N/A</v>
      </c>
      <c r="E1216" s="53" t="e">
        <f>VLOOKUP(Table13[[#This Row],[kbli5]],kata_kunci!$B:$H,4,FALSE)</f>
        <v>#N/A</v>
      </c>
      <c r="F1216" s="53" t="e">
        <f>VLOOKUP(Table13[[#This Row],[kbli5]],Table1[[#All],[kbli5]:[digital_hijau]],5,)</f>
        <v>#N/A</v>
      </c>
      <c r="G1216" s="53" t="e">
        <f>VLOOKUP(Table13[[#This Row],[kbli5]],Table1[[#All],[kbli5]:[digital_hijau]],6,)</f>
        <v>#N/A</v>
      </c>
      <c r="H1216" s="54" t="e">
        <f>VLOOKUP(Table13[[#This Row],[kbli5]],kata_kunci!$B:$H,3,FALSE)</f>
        <v>#N/A</v>
      </c>
      <c r="I1216" s="84" t="e">
        <f>VLOOKUP(Table13[[#This Row],[kbli5]],kata_kunci!$B:$H,5,FALSE)</f>
        <v>#N/A</v>
      </c>
      <c r="J1216" s="84" t="e">
        <f>VLOOKUP(Table13[[#This Row],[kbli5]],kata_kunci!$B:$H,6,FALSE)</f>
        <v>#N/A</v>
      </c>
      <c r="K1216" s="84" t="e">
        <f>VLOOKUP(Table13[[#This Row],[kbli5]],kata_kunci!$B:$H,7,FALSE)</f>
        <v>#N/A</v>
      </c>
    </row>
    <row r="1217" spans="1:11" ht="30.75" thickBot="1" x14ac:dyDescent="0.3">
      <c r="A1217" s="53" t="s">
        <v>1449</v>
      </c>
      <c r="B1217" s="40">
        <v>68121</v>
      </c>
      <c r="C1217" s="41" t="s">
        <v>1452</v>
      </c>
      <c r="D1217" s="30" t="e">
        <f>VLOOKUP(Table13[[#This Row],[kbli5]],Table1[[#All],[kbli5]:[digital_hijau]],3,)</f>
        <v>#N/A</v>
      </c>
      <c r="E1217" s="53" t="e">
        <f>VLOOKUP(Table13[[#This Row],[kbli5]],kata_kunci!$B:$H,4,FALSE)</f>
        <v>#N/A</v>
      </c>
      <c r="F1217" s="53" t="e">
        <f>VLOOKUP(Table13[[#This Row],[kbli5]],Table1[[#All],[kbli5]:[digital_hijau]],5,)</f>
        <v>#N/A</v>
      </c>
      <c r="G1217" s="53" t="e">
        <f>VLOOKUP(Table13[[#This Row],[kbli5]],Table1[[#All],[kbli5]:[digital_hijau]],6,)</f>
        <v>#N/A</v>
      </c>
      <c r="H1217" s="54" t="e">
        <f>VLOOKUP(Table13[[#This Row],[kbli5]],kata_kunci!$B:$H,3,FALSE)</f>
        <v>#N/A</v>
      </c>
      <c r="I1217" s="84" t="e">
        <f>VLOOKUP(Table13[[#This Row],[kbli5]],kata_kunci!$B:$H,5,FALSE)</f>
        <v>#N/A</v>
      </c>
      <c r="J1217" s="84" t="e">
        <f>VLOOKUP(Table13[[#This Row],[kbli5]],kata_kunci!$B:$H,6,FALSE)</f>
        <v>#N/A</v>
      </c>
      <c r="K1217" s="84" t="e">
        <f>VLOOKUP(Table13[[#This Row],[kbli5]],kata_kunci!$B:$H,7,FALSE)</f>
        <v>#N/A</v>
      </c>
    </row>
    <row r="1218" spans="1:11" ht="30.75" thickBot="1" x14ac:dyDescent="0.3">
      <c r="A1218" s="53" t="s">
        <v>1449</v>
      </c>
      <c r="B1218" s="40">
        <v>68122</v>
      </c>
      <c r="C1218" s="41" t="s">
        <v>1453</v>
      </c>
      <c r="D1218" s="30" t="e">
        <f>VLOOKUP(Table13[[#This Row],[kbli5]],Table1[[#All],[kbli5]:[digital_hijau]],3,)</f>
        <v>#N/A</v>
      </c>
      <c r="E1218" s="53" t="e">
        <f>VLOOKUP(Table13[[#This Row],[kbli5]],kata_kunci!$B:$H,4,FALSE)</f>
        <v>#N/A</v>
      </c>
      <c r="F1218" s="53" t="e">
        <f>VLOOKUP(Table13[[#This Row],[kbli5]],Table1[[#All],[kbli5]:[digital_hijau]],5,)</f>
        <v>#N/A</v>
      </c>
      <c r="G1218" s="53" t="e">
        <f>VLOOKUP(Table13[[#This Row],[kbli5]],Table1[[#All],[kbli5]:[digital_hijau]],6,)</f>
        <v>#N/A</v>
      </c>
      <c r="H1218" s="54" t="e">
        <f>VLOOKUP(Table13[[#This Row],[kbli5]],kata_kunci!$B:$H,3,FALSE)</f>
        <v>#N/A</v>
      </c>
      <c r="I1218" s="84" t="e">
        <f>VLOOKUP(Table13[[#This Row],[kbli5]],kata_kunci!$B:$H,5,FALSE)</f>
        <v>#N/A</v>
      </c>
      <c r="J1218" s="84" t="e">
        <f>VLOOKUP(Table13[[#This Row],[kbli5]],kata_kunci!$B:$H,6,FALSE)</f>
        <v>#N/A</v>
      </c>
      <c r="K1218" s="84" t="e">
        <f>VLOOKUP(Table13[[#This Row],[kbli5]],kata_kunci!$B:$H,7,FALSE)</f>
        <v>#N/A</v>
      </c>
    </row>
    <row r="1219" spans="1:11" ht="30.75" thickBot="1" x14ac:dyDescent="0.3">
      <c r="A1219" s="53" t="s">
        <v>1449</v>
      </c>
      <c r="B1219" s="40">
        <v>68123</v>
      </c>
      <c r="C1219" s="41" t="s">
        <v>1454</v>
      </c>
      <c r="D1219" s="30" t="e">
        <f>VLOOKUP(Table13[[#This Row],[kbli5]],Table1[[#All],[kbli5]:[digital_hijau]],3,)</f>
        <v>#N/A</v>
      </c>
      <c r="E1219" s="53" t="e">
        <f>VLOOKUP(Table13[[#This Row],[kbli5]],kata_kunci!$B:$H,4,FALSE)</f>
        <v>#N/A</v>
      </c>
      <c r="F1219" s="53" t="e">
        <f>VLOOKUP(Table13[[#This Row],[kbli5]],Table1[[#All],[kbli5]:[digital_hijau]],5,)</f>
        <v>#N/A</v>
      </c>
      <c r="G1219" s="53" t="e">
        <f>VLOOKUP(Table13[[#This Row],[kbli5]],Table1[[#All],[kbli5]:[digital_hijau]],6,)</f>
        <v>#N/A</v>
      </c>
      <c r="H1219" s="54" t="e">
        <f>VLOOKUP(Table13[[#This Row],[kbli5]],kata_kunci!$B:$H,3,FALSE)</f>
        <v>#N/A</v>
      </c>
      <c r="I1219" s="84" t="e">
        <f>VLOOKUP(Table13[[#This Row],[kbli5]],kata_kunci!$B:$H,5,FALSE)</f>
        <v>#N/A</v>
      </c>
      <c r="J1219" s="84" t="e">
        <f>VLOOKUP(Table13[[#This Row],[kbli5]],kata_kunci!$B:$H,6,FALSE)</f>
        <v>#N/A</v>
      </c>
      <c r="K1219" s="84" t="e">
        <f>VLOOKUP(Table13[[#This Row],[kbli5]],kata_kunci!$B:$H,7,FALSE)</f>
        <v>#N/A</v>
      </c>
    </row>
    <row r="1220" spans="1:11" ht="45.75" thickBot="1" x14ac:dyDescent="0.3">
      <c r="A1220" s="53" t="s">
        <v>1449</v>
      </c>
      <c r="B1220" s="40">
        <v>68124</v>
      </c>
      <c r="C1220" s="41" t="s">
        <v>1455</v>
      </c>
      <c r="D1220" s="30" t="e">
        <f>VLOOKUP(Table13[[#This Row],[kbli5]],Table1[[#All],[kbli5]:[digital_hijau]],3,)</f>
        <v>#N/A</v>
      </c>
      <c r="E1220" s="53" t="e">
        <f>VLOOKUP(Table13[[#This Row],[kbli5]],kata_kunci!$B:$H,4,FALSE)</f>
        <v>#N/A</v>
      </c>
      <c r="F1220" s="53" t="e">
        <f>VLOOKUP(Table13[[#This Row],[kbli5]],Table1[[#All],[kbli5]:[digital_hijau]],5,)</f>
        <v>#N/A</v>
      </c>
      <c r="G1220" s="53" t="e">
        <f>VLOOKUP(Table13[[#This Row],[kbli5]],Table1[[#All],[kbli5]:[digital_hijau]],6,)</f>
        <v>#N/A</v>
      </c>
      <c r="H1220" s="54" t="e">
        <f>VLOOKUP(Table13[[#This Row],[kbli5]],kata_kunci!$B:$H,3,FALSE)</f>
        <v>#N/A</v>
      </c>
      <c r="I1220" s="84" t="e">
        <f>VLOOKUP(Table13[[#This Row],[kbli5]],kata_kunci!$B:$H,5,FALSE)</f>
        <v>#N/A</v>
      </c>
      <c r="J1220" s="84" t="e">
        <f>VLOOKUP(Table13[[#This Row],[kbli5]],kata_kunci!$B:$H,6,FALSE)</f>
        <v>#N/A</v>
      </c>
      <c r="K1220" s="84" t="e">
        <f>VLOOKUP(Table13[[#This Row],[kbli5]],kata_kunci!$B:$H,7,FALSE)</f>
        <v>#N/A</v>
      </c>
    </row>
    <row r="1221" spans="1:11" ht="30.75" thickBot="1" x14ac:dyDescent="0.3">
      <c r="A1221" s="53" t="s">
        <v>1449</v>
      </c>
      <c r="B1221" s="40">
        <v>68125</v>
      </c>
      <c r="C1221" s="41" t="s">
        <v>1456</v>
      </c>
      <c r="D1221" s="30" t="str">
        <f>VLOOKUP(Table13[[#This Row],[kbli5]],Table1[[#All],[kbli5]:[digital_hijau]],3,)</f>
        <v>Pengelola pusat perbelanjaan; Pengelola Mall;</v>
      </c>
      <c r="E1221" s="53" t="e">
        <f>VLOOKUP(Table13[[#This Row],[kbli5]],kata_kunci!$B:$H,4,FALSE)</f>
        <v>#N/A</v>
      </c>
      <c r="F1221" s="53" t="str">
        <f>VLOOKUP(Table13[[#This Row],[kbli5]],Table1[[#All],[kbli5]:[digital_hijau]],5,)</f>
        <v>Umum Ditemukan</v>
      </c>
      <c r="G1221" s="53">
        <f>VLOOKUP(Table13[[#This Row],[kbli5]],Table1[[#All],[kbli5]:[digital_hijau]],6,)</f>
        <v>0</v>
      </c>
      <c r="H1221" s="54" t="e">
        <f>VLOOKUP(Table13[[#This Row],[kbli5]],kata_kunci!$B:$H,3,FALSE)</f>
        <v>#N/A</v>
      </c>
      <c r="I1221" s="84" t="e">
        <f>VLOOKUP(Table13[[#This Row],[kbli5]],kata_kunci!$B:$H,5,FALSE)</f>
        <v>#N/A</v>
      </c>
      <c r="J1221" s="84" t="e">
        <f>VLOOKUP(Table13[[#This Row],[kbli5]],kata_kunci!$B:$H,6,FALSE)</f>
        <v>#N/A</v>
      </c>
      <c r="K1221" s="84" t="e">
        <f>VLOOKUP(Table13[[#This Row],[kbli5]],kata_kunci!$B:$H,7,FALSE)</f>
        <v>#N/A</v>
      </c>
    </row>
    <row r="1222" spans="1:11" ht="45.75" thickBot="1" x14ac:dyDescent="0.3">
      <c r="A1222" s="53" t="s">
        <v>1449</v>
      </c>
      <c r="B1222" s="40">
        <v>68126</v>
      </c>
      <c r="C1222" s="41" t="s">
        <v>1457</v>
      </c>
      <c r="D1222" s="30" t="e">
        <f>VLOOKUP(Table13[[#This Row],[kbli5]],Table1[[#All],[kbli5]:[digital_hijau]],3,)</f>
        <v>#N/A</v>
      </c>
      <c r="E1222" s="53" t="e">
        <f>VLOOKUP(Table13[[#This Row],[kbli5]],kata_kunci!$B:$H,4,FALSE)</f>
        <v>#N/A</v>
      </c>
      <c r="F1222" s="53" t="e">
        <f>VLOOKUP(Table13[[#This Row],[kbli5]],Table1[[#All],[kbli5]:[digital_hijau]],5,)</f>
        <v>#N/A</v>
      </c>
      <c r="G1222" s="53" t="e">
        <f>VLOOKUP(Table13[[#This Row],[kbli5]],Table1[[#All],[kbli5]:[digital_hijau]],6,)</f>
        <v>#N/A</v>
      </c>
      <c r="H1222" s="54" t="e">
        <f>VLOOKUP(Table13[[#This Row],[kbli5]],kata_kunci!$B:$H,3,FALSE)</f>
        <v>#N/A</v>
      </c>
      <c r="I1222" s="84" t="e">
        <f>VLOOKUP(Table13[[#This Row],[kbli5]],kata_kunci!$B:$H,5,FALSE)</f>
        <v>#N/A</v>
      </c>
      <c r="J1222" s="84" t="e">
        <f>VLOOKUP(Table13[[#This Row],[kbli5]],kata_kunci!$B:$H,6,FALSE)</f>
        <v>#N/A</v>
      </c>
      <c r="K1222" s="84" t="e">
        <f>VLOOKUP(Table13[[#This Row],[kbli5]],kata_kunci!$B:$H,7,FALSE)</f>
        <v>#N/A</v>
      </c>
    </row>
    <row r="1223" spans="1:11" ht="30.75" thickBot="1" x14ac:dyDescent="0.3">
      <c r="A1223" s="53" t="s">
        <v>1449</v>
      </c>
      <c r="B1223" s="40">
        <v>68127</v>
      </c>
      <c r="C1223" s="41" t="s">
        <v>1458</v>
      </c>
      <c r="D1223" s="30" t="e">
        <f>VLOOKUP(Table13[[#This Row],[kbli5]],Table1[[#All],[kbli5]:[digital_hijau]],3,)</f>
        <v>#N/A</v>
      </c>
      <c r="E1223" s="53" t="e">
        <f>VLOOKUP(Table13[[#This Row],[kbli5]],kata_kunci!$B:$H,4,FALSE)</f>
        <v>#N/A</v>
      </c>
      <c r="F1223" s="53" t="e">
        <f>VLOOKUP(Table13[[#This Row],[kbli5]],Table1[[#All],[kbli5]:[digital_hijau]],5,)</f>
        <v>#N/A</v>
      </c>
      <c r="G1223" s="53" t="e">
        <f>VLOOKUP(Table13[[#This Row],[kbli5]],Table1[[#All],[kbli5]:[digital_hijau]],6,)</f>
        <v>#N/A</v>
      </c>
      <c r="H1223" s="54" t="e">
        <f>VLOOKUP(Table13[[#This Row],[kbli5]],kata_kunci!$B:$H,3,FALSE)</f>
        <v>#N/A</v>
      </c>
      <c r="I1223" s="84" t="e">
        <f>VLOOKUP(Table13[[#This Row],[kbli5]],kata_kunci!$B:$H,5,FALSE)</f>
        <v>#N/A</v>
      </c>
      <c r="J1223" s="84" t="e">
        <f>VLOOKUP(Table13[[#This Row],[kbli5]],kata_kunci!$B:$H,6,FALSE)</f>
        <v>#N/A</v>
      </c>
      <c r="K1223" s="84" t="e">
        <f>VLOOKUP(Table13[[#This Row],[kbli5]],kata_kunci!$B:$H,7,FALSE)</f>
        <v>#N/A</v>
      </c>
    </row>
    <row r="1224" spans="1:11" ht="45.75" thickBot="1" x14ac:dyDescent="0.3">
      <c r="A1224" s="53" t="s">
        <v>1449</v>
      </c>
      <c r="B1224" s="40">
        <v>68129</v>
      </c>
      <c r="C1224" s="41" t="s">
        <v>1459</v>
      </c>
      <c r="D1224" s="30" t="e">
        <f>VLOOKUP(Table13[[#This Row],[kbli5]],Table1[[#All],[kbli5]:[digital_hijau]],3,)</f>
        <v>#N/A</v>
      </c>
      <c r="E1224" s="53" t="e">
        <f>VLOOKUP(Table13[[#This Row],[kbli5]],kata_kunci!$B:$H,4,FALSE)</f>
        <v>#N/A</v>
      </c>
      <c r="F1224" s="53" t="e">
        <f>VLOOKUP(Table13[[#This Row],[kbli5]],Table1[[#All],[kbli5]:[digital_hijau]],5,)</f>
        <v>#N/A</v>
      </c>
      <c r="G1224" s="53" t="e">
        <f>VLOOKUP(Table13[[#This Row],[kbli5]],Table1[[#All],[kbli5]:[digital_hijau]],6,)</f>
        <v>#N/A</v>
      </c>
      <c r="H1224" s="54" t="e">
        <f>VLOOKUP(Table13[[#This Row],[kbli5]],kata_kunci!$B:$H,3,FALSE)</f>
        <v>#N/A</v>
      </c>
      <c r="I1224" s="84" t="e">
        <f>VLOOKUP(Table13[[#This Row],[kbli5]],kata_kunci!$B:$H,5,FALSE)</f>
        <v>#N/A</v>
      </c>
      <c r="J1224" s="84" t="e">
        <f>VLOOKUP(Table13[[#This Row],[kbli5]],kata_kunci!$B:$H,6,FALSE)</f>
        <v>#N/A</v>
      </c>
      <c r="K1224" s="84" t="e">
        <f>VLOOKUP(Table13[[#This Row],[kbli5]],kata_kunci!$B:$H,7,FALSE)</f>
        <v>#N/A</v>
      </c>
    </row>
    <row r="1225" spans="1:11" ht="30.75" thickBot="1" x14ac:dyDescent="0.3">
      <c r="A1225" s="53" t="s">
        <v>1449</v>
      </c>
      <c r="B1225" s="40">
        <v>68210</v>
      </c>
      <c r="C1225" s="41" t="s">
        <v>1460</v>
      </c>
      <c r="D1225" s="30" t="e">
        <f>VLOOKUP(Table13[[#This Row],[kbli5]],Table1[[#All],[kbli5]:[digital_hijau]],3,)</f>
        <v>#N/A</v>
      </c>
      <c r="E1225" s="53" t="e">
        <f>VLOOKUP(Table13[[#This Row],[kbli5]],kata_kunci!$B:$H,4,FALSE)</f>
        <v>#N/A</v>
      </c>
      <c r="F1225" s="53" t="e">
        <f>VLOOKUP(Table13[[#This Row],[kbli5]],Table1[[#All],[kbli5]:[digital_hijau]],5,)</f>
        <v>#N/A</v>
      </c>
      <c r="G1225" s="35" t="s">
        <v>2090</v>
      </c>
      <c r="H1225" s="89" t="e">
        <f>VLOOKUP(Table13[[#This Row],[kbli5]],kata_kunci!$B:$H,3,FALSE)</f>
        <v>#N/A</v>
      </c>
      <c r="I1225" s="84" t="e">
        <f>VLOOKUP(Table13[[#This Row],[kbli5]],kata_kunci!$B:$H,5,FALSE)</f>
        <v>#N/A</v>
      </c>
      <c r="J1225" s="84" t="e">
        <f>VLOOKUP(Table13[[#This Row],[kbli5]],kata_kunci!$B:$H,6,FALSE)</f>
        <v>#N/A</v>
      </c>
      <c r="K1225" s="84" t="e">
        <f>VLOOKUP(Table13[[#This Row],[kbli5]],kata_kunci!$B:$H,7,FALSE)</f>
        <v>#N/A</v>
      </c>
    </row>
    <row r="1226" spans="1:11" ht="15.75" thickBot="1" x14ac:dyDescent="0.3">
      <c r="A1226" s="53" t="s">
        <v>1449</v>
      </c>
      <c r="B1226" s="40">
        <v>68291</v>
      </c>
      <c r="C1226" s="41" t="s">
        <v>1461</v>
      </c>
      <c r="D1226" s="30" t="e">
        <f>VLOOKUP(Table13[[#This Row],[kbli5]],Table1[[#All],[kbli5]:[digital_hijau]],3,)</f>
        <v>#N/A</v>
      </c>
      <c r="E1226" s="53" t="e">
        <f>VLOOKUP(Table13[[#This Row],[kbli5]],kata_kunci!$B:$H,4,FALSE)</f>
        <v>#N/A</v>
      </c>
      <c r="F1226" s="53" t="e">
        <f>VLOOKUP(Table13[[#This Row],[kbli5]],Table1[[#All],[kbli5]:[digital_hijau]],5,)</f>
        <v>#N/A</v>
      </c>
      <c r="G1226" s="53" t="e">
        <f>VLOOKUP(Table13[[#This Row],[kbli5]],Table1[[#All],[kbli5]:[digital_hijau]],6,)</f>
        <v>#N/A</v>
      </c>
      <c r="H1226" s="54" t="e">
        <f>VLOOKUP(Table13[[#This Row],[kbli5]],kata_kunci!$B:$H,3,FALSE)</f>
        <v>#N/A</v>
      </c>
      <c r="I1226" s="84" t="e">
        <f>VLOOKUP(Table13[[#This Row],[kbli5]],kata_kunci!$B:$H,5,FALSE)</f>
        <v>#N/A</v>
      </c>
      <c r="J1226" s="84" t="e">
        <f>VLOOKUP(Table13[[#This Row],[kbli5]],kata_kunci!$B:$H,6,FALSE)</f>
        <v>#N/A</v>
      </c>
      <c r="K1226" s="84" t="e">
        <f>VLOOKUP(Table13[[#This Row],[kbli5]],kata_kunci!$B:$H,7,FALSE)</f>
        <v>#N/A</v>
      </c>
    </row>
    <row r="1227" spans="1:11" ht="45.75" thickBot="1" x14ac:dyDescent="0.3">
      <c r="A1227" s="53" t="s">
        <v>1449</v>
      </c>
      <c r="B1227" s="40">
        <v>68292</v>
      </c>
      <c r="C1227" s="41" t="s">
        <v>1462</v>
      </c>
      <c r="D1227" s="30" t="e">
        <f>VLOOKUP(Table13[[#This Row],[kbli5]],Table1[[#All],[kbli5]:[digital_hijau]],3,)</f>
        <v>#N/A</v>
      </c>
      <c r="E1227" s="53" t="e">
        <f>VLOOKUP(Table13[[#This Row],[kbli5]],kata_kunci!$B:$H,4,FALSE)</f>
        <v>#N/A</v>
      </c>
      <c r="F1227" s="53" t="e">
        <f>VLOOKUP(Table13[[#This Row],[kbli5]],Table1[[#All],[kbli5]:[digital_hijau]],5,)</f>
        <v>#N/A</v>
      </c>
      <c r="G1227" s="53" t="e">
        <f>VLOOKUP(Table13[[#This Row],[kbli5]],Table1[[#All],[kbli5]:[digital_hijau]],6,)</f>
        <v>#N/A</v>
      </c>
      <c r="H1227" s="54" t="e">
        <f>VLOOKUP(Table13[[#This Row],[kbli5]],kata_kunci!$B:$H,3,FALSE)</f>
        <v>#N/A</v>
      </c>
      <c r="I1227" s="84" t="e">
        <f>VLOOKUP(Table13[[#This Row],[kbli5]],kata_kunci!$B:$H,5,FALSE)</f>
        <v>#N/A</v>
      </c>
      <c r="J1227" s="84" t="e">
        <f>VLOOKUP(Table13[[#This Row],[kbli5]],kata_kunci!$B:$H,6,FALSE)</f>
        <v>#N/A</v>
      </c>
      <c r="K1227" s="84" t="e">
        <f>VLOOKUP(Table13[[#This Row],[kbli5]],kata_kunci!$B:$H,7,FALSE)</f>
        <v>#N/A</v>
      </c>
    </row>
    <row r="1228" spans="1:11" ht="45.75" thickBot="1" x14ac:dyDescent="0.3">
      <c r="A1228" s="53" t="s">
        <v>1449</v>
      </c>
      <c r="B1228" s="40">
        <v>68299</v>
      </c>
      <c r="C1228" s="41" t="s">
        <v>1463</v>
      </c>
      <c r="D1228" s="30" t="e">
        <f>VLOOKUP(Table13[[#This Row],[kbli5]],Table1[[#All],[kbli5]:[digital_hijau]],3,)</f>
        <v>#N/A</v>
      </c>
      <c r="E1228" s="53" t="e">
        <f>VLOOKUP(Table13[[#This Row],[kbli5]],kata_kunci!$B:$H,4,FALSE)</f>
        <v>#N/A</v>
      </c>
      <c r="F1228" s="53" t="e">
        <f>VLOOKUP(Table13[[#This Row],[kbli5]],Table1[[#All],[kbli5]:[digital_hijau]],5,)</f>
        <v>#N/A</v>
      </c>
      <c r="G1228" s="53" t="e">
        <f>VLOOKUP(Table13[[#This Row],[kbli5]],Table1[[#All],[kbli5]:[digital_hijau]],6,)</f>
        <v>#N/A</v>
      </c>
      <c r="H1228" s="54" t="e">
        <f>VLOOKUP(Table13[[#This Row],[kbli5]],kata_kunci!$B:$H,3,FALSE)</f>
        <v>#N/A</v>
      </c>
      <c r="I1228" s="84" t="e">
        <f>VLOOKUP(Table13[[#This Row],[kbli5]],kata_kunci!$B:$H,5,FALSE)</f>
        <v>#N/A</v>
      </c>
      <c r="J1228" s="84" t="e">
        <f>VLOOKUP(Table13[[#This Row],[kbli5]],kata_kunci!$B:$H,6,FALSE)</f>
        <v>#N/A</v>
      </c>
      <c r="K1228" s="84" t="e">
        <f>VLOOKUP(Table13[[#This Row],[kbli5]],kata_kunci!$B:$H,7,FALSE)</f>
        <v>#N/A</v>
      </c>
    </row>
    <row r="1229" spans="1:11" ht="15.75" thickBot="1" x14ac:dyDescent="0.3">
      <c r="A1229" s="53" t="s">
        <v>1464</v>
      </c>
      <c r="B1229" s="40">
        <v>69101</v>
      </c>
      <c r="C1229" s="41" t="s">
        <v>1465</v>
      </c>
      <c r="D1229" s="30" t="e">
        <f>VLOOKUP(Table13[[#This Row],[kbli5]],Table1[[#All],[kbli5]:[digital_hijau]],3,)</f>
        <v>#N/A</v>
      </c>
      <c r="E1229" s="53" t="e">
        <f>VLOOKUP(Table13[[#This Row],[kbli5]],kata_kunci!$B:$H,4,FALSE)</f>
        <v>#N/A</v>
      </c>
      <c r="F1229" s="53" t="e">
        <f>VLOOKUP(Table13[[#This Row],[kbli5]],Table1[[#All],[kbli5]:[digital_hijau]],5,)</f>
        <v>#N/A</v>
      </c>
      <c r="G1229" s="53" t="e">
        <f>VLOOKUP(Table13[[#This Row],[kbli5]],Table1[[#All],[kbli5]:[digital_hijau]],6,)</f>
        <v>#N/A</v>
      </c>
      <c r="H1229" s="54" t="e">
        <f>VLOOKUP(Table13[[#This Row],[kbli5]],kata_kunci!$B:$H,3,FALSE)</f>
        <v>#N/A</v>
      </c>
      <c r="I1229" s="84" t="e">
        <f>VLOOKUP(Table13[[#This Row],[kbli5]],kata_kunci!$B:$H,5,FALSE)</f>
        <v>#N/A</v>
      </c>
      <c r="J1229" s="84" t="e">
        <f>VLOOKUP(Table13[[#This Row],[kbli5]],kata_kunci!$B:$H,6,FALSE)</f>
        <v>#N/A</v>
      </c>
      <c r="K1229" s="84" t="e">
        <f>VLOOKUP(Table13[[#This Row],[kbli5]],kata_kunci!$B:$H,7,FALSE)</f>
        <v>#N/A</v>
      </c>
    </row>
    <row r="1230" spans="1:11" ht="30.75" thickBot="1" x14ac:dyDescent="0.3">
      <c r="A1230" s="53" t="s">
        <v>1464</v>
      </c>
      <c r="B1230" s="40">
        <v>69102</v>
      </c>
      <c r="C1230" s="41" t="s">
        <v>1466</v>
      </c>
      <c r="D1230" s="30" t="e">
        <f>VLOOKUP(Table13[[#This Row],[kbli5]],Table1[[#All],[kbli5]:[digital_hijau]],3,)</f>
        <v>#N/A</v>
      </c>
      <c r="E1230" s="53" t="e">
        <f>VLOOKUP(Table13[[#This Row],[kbli5]],kata_kunci!$B:$H,4,FALSE)</f>
        <v>#N/A</v>
      </c>
      <c r="F1230" s="53" t="e">
        <f>VLOOKUP(Table13[[#This Row],[kbli5]],Table1[[#All],[kbli5]:[digital_hijau]],5,)</f>
        <v>#N/A</v>
      </c>
      <c r="G1230" s="53" t="e">
        <f>VLOOKUP(Table13[[#This Row],[kbli5]],Table1[[#All],[kbli5]:[digital_hijau]],6,)</f>
        <v>#N/A</v>
      </c>
      <c r="H1230" s="54" t="e">
        <f>VLOOKUP(Table13[[#This Row],[kbli5]],kata_kunci!$B:$H,3,FALSE)</f>
        <v>#N/A</v>
      </c>
      <c r="I1230" s="84" t="e">
        <f>VLOOKUP(Table13[[#This Row],[kbli5]],kata_kunci!$B:$H,5,FALSE)</f>
        <v>#N/A</v>
      </c>
      <c r="J1230" s="84" t="e">
        <f>VLOOKUP(Table13[[#This Row],[kbli5]],kata_kunci!$B:$H,6,FALSE)</f>
        <v>#N/A</v>
      </c>
      <c r="K1230" s="84" t="e">
        <f>VLOOKUP(Table13[[#This Row],[kbli5]],kata_kunci!$B:$H,7,FALSE)</f>
        <v>#N/A</v>
      </c>
    </row>
    <row r="1231" spans="1:11" ht="30.75" thickBot="1" x14ac:dyDescent="0.3">
      <c r="A1231" s="53" t="s">
        <v>1464</v>
      </c>
      <c r="B1231" s="40">
        <v>69103</v>
      </c>
      <c r="C1231" s="41" t="s">
        <v>1467</v>
      </c>
      <c r="D1231" s="30" t="e">
        <f>VLOOKUP(Table13[[#This Row],[kbli5]],Table1[[#All],[kbli5]:[digital_hijau]],3,)</f>
        <v>#N/A</v>
      </c>
      <c r="E1231" s="53" t="e">
        <f>VLOOKUP(Table13[[#This Row],[kbli5]],kata_kunci!$B:$H,4,FALSE)</f>
        <v>#N/A</v>
      </c>
      <c r="F1231" s="53" t="e">
        <f>VLOOKUP(Table13[[#This Row],[kbli5]],Table1[[#All],[kbli5]:[digital_hijau]],5,)</f>
        <v>#N/A</v>
      </c>
      <c r="G1231" s="53" t="e">
        <f>VLOOKUP(Table13[[#This Row],[kbli5]],Table1[[#All],[kbli5]:[digital_hijau]],6,)</f>
        <v>#N/A</v>
      </c>
      <c r="H1231" s="54" t="e">
        <f>VLOOKUP(Table13[[#This Row],[kbli5]],kata_kunci!$B:$H,3,FALSE)</f>
        <v>#N/A</v>
      </c>
      <c r="I1231" s="84" t="e">
        <f>VLOOKUP(Table13[[#This Row],[kbli5]],kata_kunci!$B:$H,5,FALSE)</f>
        <v>#N/A</v>
      </c>
      <c r="J1231" s="84" t="e">
        <f>VLOOKUP(Table13[[#This Row],[kbli5]],kata_kunci!$B:$H,6,FALSE)</f>
        <v>#N/A</v>
      </c>
      <c r="K1231" s="84" t="e">
        <f>VLOOKUP(Table13[[#This Row],[kbli5]],kata_kunci!$B:$H,7,FALSE)</f>
        <v>#N/A</v>
      </c>
    </row>
    <row r="1232" spans="1:11" ht="45.75" thickBot="1" x14ac:dyDescent="0.3">
      <c r="A1232" s="53" t="s">
        <v>1464</v>
      </c>
      <c r="B1232" s="40">
        <v>69104</v>
      </c>
      <c r="C1232" s="41" t="s">
        <v>1468</v>
      </c>
      <c r="D1232" s="30" t="e">
        <f>VLOOKUP(Table13[[#This Row],[kbli5]],Table1[[#All],[kbli5]:[digital_hijau]],3,)</f>
        <v>#N/A</v>
      </c>
      <c r="E1232" s="53" t="e">
        <f>VLOOKUP(Table13[[#This Row],[kbli5]],kata_kunci!$B:$H,4,FALSE)</f>
        <v>#N/A</v>
      </c>
      <c r="F1232" s="53" t="e">
        <f>VLOOKUP(Table13[[#This Row],[kbli5]],Table1[[#All],[kbli5]:[digital_hijau]],5,)</f>
        <v>#N/A</v>
      </c>
      <c r="G1232" s="53" t="e">
        <f>VLOOKUP(Table13[[#This Row],[kbli5]],Table1[[#All],[kbli5]:[digital_hijau]],6,)</f>
        <v>#N/A</v>
      </c>
      <c r="H1232" s="54" t="e">
        <f>VLOOKUP(Table13[[#This Row],[kbli5]],kata_kunci!$B:$H,3,FALSE)</f>
        <v>#N/A</v>
      </c>
      <c r="I1232" s="84" t="e">
        <f>VLOOKUP(Table13[[#This Row],[kbli5]],kata_kunci!$B:$H,5,FALSE)</f>
        <v>#N/A</v>
      </c>
      <c r="J1232" s="84" t="e">
        <f>VLOOKUP(Table13[[#This Row],[kbli5]],kata_kunci!$B:$H,6,FALSE)</f>
        <v>#N/A</v>
      </c>
      <c r="K1232" s="84" t="e">
        <f>VLOOKUP(Table13[[#This Row],[kbli5]],kata_kunci!$B:$H,7,FALSE)</f>
        <v>#N/A</v>
      </c>
    </row>
    <row r="1233" spans="1:11" ht="45.75" thickBot="1" x14ac:dyDescent="0.3">
      <c r="A1233" s="53" t="s">
        <v>1464</v>
      </c>
      <c r="B1233" s="40">
        <v>69201</v>
      </c>
      <c r="C1233" s="41" t="s">
        <v>1469</v>
      </c>
      <c r="D1233" s="30" t="e">
        <f>VLOOKUP(Table13[[#This Row],[kbli5]],Table1[[#All],[kbli5]:[digital_hijau]],3,)</f>
        <v>#N/A</v>
      </c>
      <c r="E1233" s="53" t="e">
        <f>VLOOKUP(Table13[[#This Row],[kbli5]],kata_kunci!$B:$H,4,FALSE)</f>
        <v>#N/A</v>
      </c>
      <c r="F1233" s="53" t="e">
        <f>VLOOKUP(Table13[[#This Row],[kbli5]],Table1[[#All],[kbli5]:[digital_hijau]],5,)</f>
        <v>#N/A</v>
      </c>
      <c r="G1233" s="53" t="e">
        <f>VLOOKUP(Table13[[#This Row],[kbli5]],Table1[[#All],[kbli5]:[digital_hijau]],6,)</f>
        <v>#N/A</v>
      </c>
      <c r="H1233" s="54" t="e">
        <f>VLOOKUP(Table13[[#This Row],[kbli5]],kata_kunci!$B:$H,3,FALSE)</f>
        <v>#N/A</v>
      </c>
      <c r="I1233" s="84" t="e">
        <f>VLOOKUP(Table13[[#This Row],[kbli5]],kata_kunci!$B:$H,5,FALSE)</f>
        <v>#N/A</v>
      </c>
      <c r="J1233" s="84" t="e">
        <f>VLOOKUP(Table13[[#This Row],[kbli5]],kata_kunci!$B:$H,6,FALSE)</f>
        <v>#N/A</v>
      </c>
      <c r="K1233" s="84" t="e">
        <f>VLOOKUP(Table13[[#This Row],[kbli5]],kata_kunci!$B:$H,7,FALSE)</f>
        <v>#N/A</v>
      </c>
    </row>
    <row r="1234" spans="1:11" ht="30.75" thickBot="1" x14ac:dyDescent="0.3">
      <c r="A1234" s="53" t="s">
        <v>1464</v>
      </c>
      <c r="B1234" s="40">
        <v>69202</v>
      </c>
      <c r="C1234" s="41" t="s">
        <v>1470</v>
      </c>
      <c r="D1234" s="30" t="e">
        <f>VLOOKUP(Table13[[#This Row],[kbli5]],Table1[[#All],[kbli5]:[digital_hijau]],3,)</f>
        <v>#N/A</v>
      </c>
      <c r="E1234" s="53" t="e">
        <f>VLOOKUP(Table13[[#This Row],[kbli5]],kata_kunci!$B:$H,4,FALSE)</f>
        <v>#N/A</v>
      </c>
      <c r="F1234" s="53" t="e">
        <f>VLOOKUP(Table13[[#This Row],[kbli5]],Table1[[#All],[kbli5]:[digital_hijau]],5,)</f>
        <v>#N/A</v>
      </c>
      <c r="G1234" s="53" t="e">
        <f>VLOOKUP(Table13[[#This Row],[kbli5]],Table1[[#All],[kbli5]:[digital_hijau]],6,)</f>
        <v>#N/A</v>
      </c>
      <c r="H1234" s="54" t="e">
        <f>VLOOKUP(Table13[[#This Row],[kbli5]],kata_kunci!$B:$H,3,FALSE)</f>
        <v>#N/A</v>
      </c>
      <c r="I1234" s="84" t="e">
        <f>VLOOKUP(Table13[[#This Row],[kbli5]],kata_kunci!$B:$H,5,FALSE)</f>
        <v>#N/A</v>
      </c>
      <c r="J1234" s="84" t="e">
        <f>VLOOKUP(Table13[[#This Row],[kbli5]],kata_kunci!$B:$H,6,FALSE)</f>
        <v>#N/A</v>
      </c>
      <c r="K1234" s="84" t="e">
        <f>VLOOKUP(Table13[[#This Row],[kbli5]],kata_kunci!$B:$H,7,FALSE)</f>
        <v>#N/A</v>
      </c>
    </row>
    <row r="1235" spans="1:11" ht="15.75" thickBot="1" x14ac:dyDescent="0.3">
      <c r="A1235" s="53" t="s">
        <v>1464</v>
      </c>
      <c r="B1235" s="40">
        <v>70100</v>
      </c>
      <c r="C1235" s="41" t="s">
        <v>1471</v>
      </c>
      <c r="D1235" s="30" t="e">
        <f>VLOOKUP(Table13[[#This Row],[kbli5]],Table1[[#All],[kbli5]:[digital_hijau]],3,)</f>
        <v>#N/A</v>
      </c>
      <c r="E1235" s="53" t="e">
        <f>VLOOKUP(Table13[[#This Row],[kbli5]],kata_kunci!$B:$H,4,FALSE)</f>
        <v>#N/A</v>
      </c>
      <c r="F1235" s="53" t="e">
        <f>VLOOKUP(Table13[[#This Row],[kbli5]],Table1[[#All],[kbli5]:[digital_hijau]],5,)</f>
        <v>#N/A</v>
      </c>
      <c r="G1235" s="53" t="e">
        <f>VLOOKUP(Table13[[#This Row],[kbli5]],Table1[[#All],[kbli5]:[digital_hijau]],6,)</f>
        <v>#N/A</v>
      </c>
      <c r="H1235" s="54" t="e">
        <f>VLOOKUP(Table13[[#This Row],[kbli5]],kata_kunci!$B:$H,3,FALSE)</f>
        <v>#N/A</v>
      </c>
      <c r="I1235" s="84" t="e">
        <f>VLOOKUP(Table13[[#This Row],[kbli5]],kata_kunci!$B:$H,5,FALSE)</f>
        <v>#N/A</v>
      </c>
      <c r="J1235" s="84" t="e">
        <f>VLOOKUP(Table13[[#This Row],[kbli5]],kata_kunci!$B:$H,6,FALSE)</f>
        <v>#N/A</v>
      </c>
      <c r="K1235" s="84" t="e">
        <f>VLOOKUP(Table13[[#This Row],[kbli5]],kata_kunci!$B:$H,7,FALSE)</f>
        <v>#N/A</v>
      </c>
    </row>
    <row r="1236" spans="1:11" ht="45.75" thickBot="1" x14ac:dyDescent="0.3">
      <c r="A1236" s="53" t="s">
        <v>1464</v>
      </c>
      <c r="B1236" s="40">
        <v>70201</v>
      </c>
      <c r="C1236" s="41" t="s">
        <v>1472</v>
      </c>
      <c r="D1236" s="30" t="e">
        <f>VLOOKUP(Table13[[#This Row],[kbli5]],Table1[[#All],[kbli5]:[digital_hijau]],3,)</f>
        <v>#N/A</v>
      </c>
      <c r="E1236" s="53" t="e">
        <f>VLOOKUP(Table13[[#This Row],[kbli5]],kata_kunci!$B:$H,4,FALSE)</f>
        <v>#N/A</v>
      </c>
      <c r="F1236" s="53" t="e">
        <f>VLOOKUP(Table13[[#This Row],[kbli5]],Table1[[#All],[kbli5]:[digital_hijau]],5,)</f>
        <v>#N/A</v>
      </c>
      <c r="G1236" s="53" t="e">
        <f>VLOOKUP(Table13[[#This Row],[kbli5]],Table1[[#All],[kbli5]:[digital_hijau]],6,)</f>
        <v>#N/A</v>
      </c>
      <c r="H1236" s="54" t="e">
        <f>VLOOKUP(Table13[[#This Row],[kbli5]],kata_kunci!$B:$H,3,FALSE)</f>
        <v>#N/A</v>
      </c>
      <c r="I1236" s="84" t="e">
        <f>VLOOKUP(Table13[[#This Row],[kbli5]],kata_kunci!$B:$H,5,FALSE)</f>
        <v>#N/A</v>
      </c>
      <c r="J1236" s="84" t="e">
        <f>VLOOKUP(Table13[[#This Row],[kbli5]],kata_kunci!$B:$H,6,FALSE)</f>
        <v>#N/A</v>
      </c>
      <c r="K1236" s="84" t="e">
        <f>VLOOKUP(Table13[[#This Row],[kbli5]],kata_kunci!$B:$H,7,FALSE)</f>
        <v>#N/A</v>
      </c>
    </row>
    <row r="1237" spans="1:11" ht="45.75" thickBot="1" x14ac:dyDescent="0.3">
      <c r="A1237" s="53" t="s">
        <v>1464</v>
      </c>
      <c r="B1237" s="40">
        <v>70202</v>
      </c>
      <c r="C1237" s="41" t="s">
        <v>1473</v>
      </c>
      <c r="D1237" s="30" t="e">
        <f>VLOOKUP(Table13[[#This Row],[kbli5]],Table1[[#All],[kbli5]:[digital_hijau]],3,)</f>
        <v>#N/A</v>
      </c>
      <c r="E1237" s="53" t="e">
        <f>VLOOKUP(Table13[[#This Row],[kbli5]],kata_kunci!$B:$H,4,FALSE)</f>
        <v>#N/A</v>
      </c>
      <c r="F1237" s="53" t="e">
        <f>VLOOKUP(Table13[[#This Row],[kbli5]],Table1[[#All],[kbli5]:[digital_hijau]],5,)</f>
        <v>#N/A</v>
      </c>
      <c r="G1237" s="53" t="e">
        <f>VLOOKUP(Table13[[#This Row],[kbli5]],Table1[[#All],[kbli5]:[digital_hijau]],6,)</f>
        <v>#N/A</v>
      </c>
      <c r="H1237" s="54" t="e">
        <f>VLOOKUP(Table13[[#This Row],[kbli5]],kata_kunci!$B:$H,3,FALSE)</f>
        <v>#N/A</v>
      </c>
      <c r="I1237" s="84" t="e">
        <f>VLOOKUP(Table13[[#This Row],[kbli5]],kata_kunci!$B:$H,5,FALSE)</f>
        <v>#N/A</v>
      </c>
      <c r="J1237" s="84" t="e">
        <f>VLOOKUP(Table13[[#This Row],[kbli5]],kata_kunci!$B:$H,6,FALSE)</f>
        <v>#N/A</v>
      </c>
      <c r="K1237" s="84" t="e">
        <f>VLOOKUP(Table13[[#This Row],[kbli5]],kata_kunci!$B:$H,7,FALSE)</f>
        <v>#N/A</v>
      </c>
    </row>
    <row r="1238" spans="1:11" ht="45.75" thickBot="1" x14ac:dyDescent="0.3">
      <c r="A1238" s="53" t="s">
        <v>1464</v>
      </c>
      <c r="B1238" s="40">
        <v>70203</v>
      </c>
      <c r="C1238" s="41" t="s">
        <v>1474</v>
      </c>
      <c r="D1238" s="30" t="e">
        <f>VLOOKUP(Table13[[#This Row],[kbli5]],Table1[[#All],[kbli5]:[digital_hijau]],3,)</f>
        <v>#N/A</v>
      </c>
      <c r="E1238" s="53" t="e">
        <f>VLOOKUP(Table13[[#This Row],[kbli5]],kata_kunci!$B:$H,4,FALSE)</f>
        <v>#N/A</v>
      </c>
      <c r="F1238" s="53" t="e">
        <f>VLOOKUP(Table13[[#This Row],[kbli5]],Table1[[#All],[kbli5]:[digital_hijau]],5,)</f>
        <v>#N/A</v>
      </c>
      <c r="G1238" s="53" t="e">
        <f>VLOOKUP(Table13[[#This Row],[kbli5]],Table1[[#All],[kbli5]:[digital_hijau]],6,)</f>
        <v>#N/A</v>
      </c>
      <c r="H1238" s="54" t="e">
        <f>VLOOKUP(Table13[[#This Row],[kbli5]],kata_kunci!$B:$H,3,FALSE)</f>
        <v>#N/A</v>
      </c>
      <c r="I1238" s="84" t="e">
        <f>VLOOKUP(Table13[[#This Row],[kbli5]],kata_kunci!$B:$H,5,FALSE)</f>
        <v>#N/A</v>
      </c>
      <c r="J1238" s="84" t="e">
        <f>VLOOKUP(Table13[[#This Row],[kbli5]],kata_kunci!$B:$H,6,FALSE)</f>
        <v>#N/A</v>
      </c>
      <c r="K1238" s="84" t="e">
        <f>VLOOKUP(Table13[[#This Row],[kbli5]],kata_kunci!$B:$H,7,FALSE)</f>
        <v>#N/A</v>
      </c>
    </row>
    <row r="1239" spans="1:11" ht="45.75" thickBot="1" x14ac:dyDescent="0.3">
      <c r="A1239" s="53" t="s">
        <v>1464</v>
      </c>
      <c r="B1239" s="40">
        <v>70209</v>
      </c>
      <c r="C1239" s="41" t="s">
        <v>1475</v>
      </c>
      <c r="D1239" s="30" t="e">
        <f>VLOOKUP(Table13[[#This Row],[kbli5]],Table1[[#All],[kbli5]:[digital_hijau]],3,)</f>
        <v>#N/A</v>
      </c>
      <c r="E1239" s="53" t="e">
        <f>VLOOKUP(Table13[[#This Row],[kbli5]],kata_kunci!$B:$H,4,FALSE)</f>
        <v>#N/A</v>
      </c>
      <c r="F1239" s="53" t="e">
        <f>VLOOKUP(Table13[[#This Row],[kbli5]],Table1[[#All],[kbli5]:[digital_hijau]],5,)</f>
        <v>#N/A</v>
      </c>
      <c r="G1239" s="53" t="e">
        <f>VLOOKUP(Table13[[#This Row],[kbli5]],Table1[[#All],[kbli5]:[digital_hijau]],6,)</f>
        <v>#N/A</v>
      </c>
      <c r="H1239" s="54" t="e">
        <f>VLOOKUP(Table13[[#This Row],[kbli5]],kata_kunci!$B:$H,3,FALSE)</f>
        <v>#N/A</v>
      </c>
      <c r="I1239" s="84" t="e">
        <f>VLOOKUP(Table13[[#This Row],[kbli5]],kata_kunci!$B:$H,5,FALSE)</f>
        <v>#N/A</v>
      </c>
      <c r="J1239" s="84" t="e">
        <f>VLOOKUP(Table13[[#This Row],[kbli5]],kata_kunci!$B:$H,6,FALSE)</f>
        <v>#N/A</v>
      </c>
      <c r="K1239" s="84" t="e">
        <f>VLOOKUP(Table13[[#This Row],[kbli5]],kata_kunci!$B:$H,7,FALSE)</f>
        <v>#N/A</v>
      </c>
    </row>
    <row r="1240" spans="1:11" ht="15.75" thickBot="1" x14ac:dyDescent="0.3">
      <c r="A1240" s="53" t="s">
        <v>1464</v>
      </c>
      <c r="B1240" s="40">
        <v>71101</v>
      </c>
      <c r="C1240" s="41" t="s">
        <v>1476</v>
      </c>
      <c r="D1240" s="30" t="e">
        <f>VLOOKUP(Table13[[#This Row],[kbli5]],Table1[[#All],[kbli5]:[digital_hijau]],3,)</f>
        <v>#N/A</v>
      </c>
      <c r="E1240" s="53" t="e">
        <f>VLOOKUP(Table13[[#This Row],[kbli5]],kata_kunci!$B:$H,4,FALSE)</f>
        <v>#N/A</v>
      </c>
      <c r="F1240" s="53" t="e">
        <f>VLOOKUP(Table13[[#This Row],[kbli5]],Table1[[#All],[kbli5]:[digital_hijau]],5,)</f>
        <v>#N/A</v>
      </c>
      <c r="G1240" s="53" t="e">
        <f>VLOOKUP(Table13[[#This Row],[kbli5]],Table1[[#All],[kbli5]:[digital_hijau]],6,)</f>
        <v>#N/A</v>
      </c>
      <c r="H1240" s="54" t="e">
        <f>VLOOKUP(Table13[[#This Row],[kbli5]],kata_kunci!$B:$H,3,FALSE)</f>
        <v>#N/A</v>
      </c>
      <c r="I1240" s="84" t="e">
        <f>VLOOKUP(Table13[[#This Row],[kbli5]],kata_kunci!$B:$H,5,FALSE)</f>
        <v>#N/A</v>
      </c>
      <c r="J1240" s="84" t="e">
        <f>VLOOKUP(Table13[[#This Row],[kbli5]],kata_kunci!$B:$H,6,FALSE)</f>
        <v>#N/A</v>
      </c>
      <c r="K1240" s="84" t="e">
        <f>VLOOKUP(Table13[[#This Row],[kbli5]],kata_kunci!$B:$H,7,FALSE)</f>
        <v>#N/A</v>
      </c>
    </row>
    <row r="1241" spans="1:11" ht="45.75" thickBot="1" x14ac:dyDescent="0.3">
      <c r="A1241" s="53" t="s">
        <v>1464</v>
      </c>
      <c r="B1241" s="40">
        <v>71102</v>
      </c>
      <c r="C1241" s="41" t="s">
        <v>1477</v>
      </c>
      <c r="D1241" s="30" t="e">
        <f>VLOOKUP(Table13[[#This Row],[kbli5]],Table1[[#All],[kbli5]:[digital_hijau]],3,)</f>
        <v>#N/A</v>
      </c>
      <c r="E1241" s="53" t="e">
        <f>VLOOKUP(Table13[[#This Row],[kbli5]],kata_kunci!$B:$H,4,FALSE)</f>
        <v>#N/A</v>
      </c>
      <c r="F1241" s="53" t="e">
        <f>VLOOKUP(Table13[[#This Row],[kbli5]],Table1[[#All],[kbli5]:[digital_hijau]],5,)</f>
        <v>#N/A</v>
      </c>
      <c r="G1241" s="53" t="e">
        <f>VLOOKUP(Table13[[#This Row],[kbli5]],Table1[[#All],[kbli5]:[digital_hijau]],6,)</f>
        <v>#N/A</v>
      </c>
      <c r="H1241" s="54" t="e">
        <f>VLOOKUP(Table13[[#This Row],[kbli5]],kata_kunci!$B:$H,3,FALSE)</f>
        <v>#N/A</v>
      </c>
      <c r="I1241" s="84" t="e">
        <f>VLOOKUP(Table13[[#This Row],[kbli5]],kata_kunci!$B:$H,5,FALSE)</f>
        <v>#N/A</v>
      </c>
      <c r="J1241" s="84" t="e">
        <f>VLOOKUP(Table13[[#This Row],[kbli5]],kata_kunci!$B:$H,6,FALSE)</f>
        <v>#N/A</v>
      </c>
      <c r="K1241" s="84" t="e">
        <f>VLOOKUP(Table13[[#This Row],[kbli5]],kata_kunci!$B:$H,7,FALSE)</f>
        <v>#N/A</v>
      </c>
    </row>
    <row r="1242" spans="1:11" ht="45.75" thickBot="1" x14ac:dyDescent="0.3">
      <c r="A1242" s="53" t="s">
        <v>1464</v>
      </c>
      <c r="B1242" s="40">
        <v>71109</v>
      </c>
      <c r="C1242" s="41" t="s">
        <v>1478</v>
      </c>
      <c r="D1242" s="30" t="e">
        <f>VLOOKUP(Table13[[#This Row],[kbli5]],Table1[[#All],[kbli5]:[digital_hijau]],3,)</f>
        <v>#N/A</v>
      </c>
      <c r="E1242" s="53" t="e">
        <f>VLOOKUP(Table13[[#This Row],[kbli5]],kata_kunci!$B:$H,4,FALSE)</f>
        <v>#N/A</v>
      </c>
      <c r="F1242" s="53" t="e">
        <f>VLOOKUP(Table13[[#This Row],[kbli5]],Table1[[#All],[kbli5]:[digital_hijau]],5,)</f>
        <v>#N/A</v>
      </c>
      <c r="G1242" s="53" t="e">
        <f>VLOOKUP(Table13[[#This Row],[kbli5]],Table1[[#All],[kbli5]:[digital_hijau]],6,)</f>
        <v>#N/A</v>
      </c>
      <c r="H1242" s="54" t="e">
        <f>VLOOKUP(Table13[[#This Row],[kbli5]],kata_kunci!$B:$H,3,FALSE)</f>
        <v>#N/A</v>
      </c>
      <c r="I1242" s="84" t="e">
        <f>VLOOKUP(Table13[[#This Row],[kbli5]],kata_kunci!$B:$H,5,FALSE)</f>
        <v>#N/A</v>
      </c>
      <c r="J1242" s="84" t="e">
        <f>VLOOKUP(Table13[[#This Row],[kbli5]],kata_kunci!$B:$H,6,FALSE)</f>
        <v>#N/A</v>
      </c>
      <c r="K1242" s="84" t="e">
        <f>VLOOKUP(Table13[[#This Row],[kbli5]],kata_kunci!$B:$H,7,FALSE)</f>
        <v>#N/A</v>
      </c>
    </row>
    <row r="1243" spans="1:11" ht="15.75" thickBot="1" x14ac:dyDescent="0.3">
      <c r="A1243" s="53" t="s">
        <v>1464</v>
      </c>
      <c r="B1243" s="40">
        <v>71201</v>
      </c>
      <c r="C1243" s="41" t="s">
        <v>1479</v>
      </c>
      <c r="D1243" s="30" t="e">
        <f>VLOOKUP(Table13[[#This Row],[kbli5]],Table1[[#All],[kbli5]:[digital_hijau]],3,)</f>
        <v>#N/A</v>
      </c>
      <c r="E1243" s="53" t="e">
        <f>VLOOKUP(Table13[[#This Row],[kbli5]],kata_kunci!$B:$H,4,FALSE)</f>
        <v>#N/A</v>
      </c>
      <c r="F1243" s="53" t="e">
        <f>VLOOKUP(Table13[[#This Row],[kbli5]],Table1[[#All],[kbli5]:[digital_hijau]],5,)</f>
        <v>#N/A</v>
      </c>
      <c r="G1243" s="53" t="e">
        <f>VLOOKUP(Table13[[#This Row],[kbli5]],Table1[[#All],[kbli5]:[digital_hijau]],6,)</f>
        <v>#N/A</v>
      </c>
      <c r="H1243" s="54" t="e">
        <f>VLOOKUP(Table13[[#This Row],[kbli5]],kata_kunci!$B:$H,3,FALSE)</f>
        <v>#N/A</v>
      </c>
      <c r="I1243" s="84" t="e">
        <f>VLOOKUP(Table13[[#This Row],[kbli5]],kata_kunci!$B:$H,5,FALSE)</f>
        <v>#N/A</v>
      </c>
      <c r="J1243" s="84" t="e">
        <f>VLOOKUP(Table13[[#This Row],[kbli5]],kata_kunci!$B:$H,6,FALSE)</f>
        <v>#N/A</v>
      </c>
      <c r="K1243" s="84" t="e">
        <f>VLOOKUP(Table13[[#This Row],[kbli5]],kata_kunci!$B:$H,7,FALSE)</f>
        <v>#N/A</v>
      </c>
    </row>
    <row r="1244" spans="1:11" ht="15.75" thickBot="1" x14ac:dyDescent="0.3">
      <c r="A1244" s="53" t="s">
        <v>1464</v>
      </c>
      <c r="B1244" s="40">
        <v>71202</v>
      </c>
      <c r="C1244" s="41" t="s">
        <v>1480</v>
      </c>
      <c r="D1244" s="30" t="e">
        <f>VLOOKUP(Table13[[#This Row],[kbli5]],Table1[[#All],[kbli5]:[digital_hijau]],3,)</f>
        <v>#N/A</v>
      </c>
      <c r="E1244" s="53" t="e">
        <f>VLOOKUP(Table13[[#This Row],[kbli5]],kata_kunci!$B:$H,4,FALSE)</f>
        <v>#N/A</v>
      </c>
      <c r="F1244" s="53" t="e">
        <f>VLOOKUP(Table13[[#This Row],[kbli5]],Table1[[#All],[kbli5]:[digital_hijau]],5,)</f>
        <v>#N/A</v>
      </c>
      <c r="G1244" s="53" t="e">
        <f>VLOOKUP(Table13[[#This Row],[kbli5]],Table1[[#All],[kbli5]:[digital_hijau]],6,)</f>
        <v>#N/A</v>
      </c>
      <c r="H1244" s="54" t="e">
        <f>VLOOKUP(Table13[[#This Row],[kbli5]],kata_kunci!$B:$H,3,FALSE)</f>
        <v>#N/A</v>
      </c>
      <c r="I1244" s="84" t="e">
        <f>VLOOKUP(Table13[[#This Row],[kbli5]],kata_kunci!$B:$H,5,FALSE)</f>
        <v>#N/A</v>
      </c>
      <c r="J1244" s="84" t="e">
        <f>VLOOKUP(Table13[[#This Row],[kbli5]],kata_kunci!$B:$H,6,FALSE)</f>
        <v>#N/A</v>
      </c>
      <c r="K1244" s="84" t="e">
        <f>VLOOKUP(Table13[[#This Row],[kbli5]],kata_kunci!$B:$H,7,FALSE)</f>
        <v>#N/A</v>
      </c>
    </row>
    <row r="1245" spans="1:11" ht="30.75" thickBot="1" x14ac:dyDescent="0.3">
      <c r="A1245" s="53" t="s">
        <v>1464</v>
      </c>
      <c r="B1245" s="40">
        <v>71203</v>
      </c>
      <c r="C1245" s="41" t="s">
        <v>1481</v>
      </c>
      <c r="D1245" s="30" t="e">
        <f>VLOOKUP(Table13[[#This Row],[kbli5]],Table1[[#All],[kbli5]:[digital_hijau]],3,)</f>
        <v>#N/A</v>
      </c>
      <c r="E1245" s="53" t="e">
        <f>VLOOKUP(Table13[[#This Row],[kbli5]],kata_kunci!$B:$H,4,FALSE)</f>
        <v>#N/A</v>
      </c>
      <c r="F1245" s="53" t="e">
        <f>VLOOKUP(Table13[[#This Row],[kbli5]],Table1[[#All],[kbli5]:[digital_hijau]],5,)</f>
        <v>#N/A</v>
      </c>
      <c r="G1245" s="53" t="e">
        <f>VLOOKUP(Table13[[#This Row],[kbli5]],Table1[[#All],[kbli5]:[digital_hijau]],6,)</f>
        <v>#N/A</v>
      </c>
      <c r="H1245" s="54" t="e">
        <f>VLOOKUP(Table13[[#This Row],[kbli5]],kata_kunci!$B:$H,3,FALSE)</f>
        <v>#N/A</v>
      </c>
      <c r="I1245" s="84" t="e">
        <f>VLOOKUP(Table13[[#This Row],[kbli5]],kata_kunci!$B:$H,5,FALSE)</f>
        <v>#N/A</v>
      </c>
      <c r="J1245" s="84" t="e">
        <f>VLOOKUP(Table13[[#This Row],[kbli5]],kata_kunci!$B:$H,6,FALSE)</f>
        <v>#N/A</v>
      </c>
      <c r="K1245" s="84" t="e">
        <f>VLOOKUP(Table13[[#This Row],[kbli5]],kata_kunci!$B:$H,7,FALSE)</f>
        <v>#N/A</v>
      </c>
    </row>
    <row r="1246" spans="1:11" ht="15.75" thickBot="1" x14ac:dyDescent="0.3">
      <c r="A1246" s="53" t="s">
        <v>1464</v>
      </c>
      <c r="B1246" s="40">
        <v>71204</v>
      </c>
      <c r="C1246" s="41" t="s">
        <v>1482</v>
      </c>
      <c r="D1246" s="30" t="e">
        <f>VLOOKUP(Table13[[#This Row],[kbli5]],Table1[[#All],[kbli5]:[digital_hijau]],3,)</f>
        <v>#N/A</v>
      </c>
      <c r="E1246" s="53" t="e">
        <f>VLOOKUP(Table13[[#This Row],[kbli5]],kata_kunci!$B:$H,4,FALSE)</f>
        <v>#N/A</v>
      </c>
      <c r="F1246" s="53" t="e">
        <f>VLOOKUP(Table13[[#This Row],[kbli5]],Table1[[#All],[kbli5]:[digital_hijau]],5,)</f>
        <v>#N/A</v>
      </c>
      <c r="G1246" s="53" t="e">
        <f>VLOOKUP(Table13[[#This Row],[kbli5]],Table1[[#All],[kbli5]:[digital_hijau]],6,)</f>
        <v>#N/A</v>
      </c>
      <c r="H1246" s="54" t="e">
        <f>VLOOKUP(Table13[[#This Row],[kbli5]],kata_kunci!$B:$H,3,FALSE)</f>
        <v>#N/A</v>
      </c>
      <c r="I1246" s="84" t="e">
        <f>VLOOKUP(Table13[[#This Row],[kbli5]],kata_kunci!$B:$H,5,FALSE)</f>
        <v>#N/A</v>
      </c>
      <c r="J1246" s="84" t="e">
        <f>VLOOKUP(Table13[[#This Row],[kbli5]],kata_kunci!$B:$H,6,FALSE)</f>
        <v>#N/A</v>
      </c>
      <c r="K1246" s="84" t="e">
        <f>VLOOKUP(Table13[[#This Row],[kbli5]],kata_kunci!$B:$H,7,FALSE)</f>
        <v>#N/A</v>
      </c>
    </row>
    <row r="1247" spans="1:11" ht="30.75" thickBot="1" x14ac:dyDescent="0.3">
      <c r="A1247" s="53" t="s">
        <v>1464</v>
      </c>
      <c r="B1247" s="40">
        <v>71209</v>
      </c>
      <c r="C1247" s="41" t="s">
        <v>1483</v>
      </c>
      <c r="D1247" s="30" t="e">
        <f>VLOOKUP(Table13[[#This Row],[kbli5]],Table1[[#All],[kbli5]:[digital_hijau]],3,)</f>
        <v>#N/A</v>
      </c>
      <c r="E1247" s="53" t="e">
        <f>VLOOKUP(Table13[[#This Row],[kbli5]],kata_kunci!$B:$H,4,FALSE)</f>
        <v>#N/A</v>
      </c>
      <c r="F1247" s="53" t="e">
        <f>VLOOKUP(Table13[[#This Row],[kbli5]],Table1[[#All],[kbli5]:[digital_hijau]],5,)</f>
        <v>#N/A</v>
      </c>
      <c r="G1247" s="53" t="e">
        <f>VLOOKUP(Table13[[#This Row],[kbli5]],Table1[[#All],[kbli5]:[digital_hijau]],6,)</f>
        <v>#N/A</v>
      </c>
      <c r="H1247" s="54" t="e">
        <f>VLOOKUP(Table13[[#This Row],[kbli5]],kata_kunci!$B:$H,3,FALSE)</f>
        <v>#N/A</v>
      </c>
      <c r="I1247" s="84" t="e">
        <f>VLOOKUP(Table13[[#This Row],[kbli5]],kata_kunci!$B:$H,5,FALSE)</f>
        <v>#N/A</v>
      </c>
      <c r="J1247" s="84" t="e">
        <f>VLOOKUP(Table13[[#This Row],[kbli5]],kata_kunci!$B:$H,6,FALSE)</f>
        <v>#N/A</v>
      </c>
      <c r="K1247" s="84" t="e">
        <f>VLOOKUP(Table13[[#This Row],[kbli5]],kata_kunci!$B:$H,7,FALSE)</f>
        <v>#N/A</v>
      </c>
    </row>
    <row r="1248" spans="1:11" ht="45.75" thickBot="1" x14ac:dyDescent="0.3">
      <c r="A1248" s="53" t="s">
        <v>1464</v>
      </c>
      <c r="B1248" s="40">
        <v>72101</v>
      </c>
      <c r="C1248" s="41" t="s">
        <v>1484</v>
      </c>
      <c r="D1248" s="30" t="e">
        <f>VLOOKUP(Table13[[#This Row],[kbli5]],Table1[[#All],[kbli5]:[digital_hijau]],3,)</f>
        <v>#N/A</v>
      </c>
      <c r="E1248" s="53" t="e">
        <f>VLOOKUP(Table13[[#This Row],[kbli5]],kata_kunci!$B:$H,4,FALSE)</f>
        <v>#N/A</v>
      </c>
      <c r="F1248" s="53" t="e">
        <f>VLOOKUP(Table13[[#This Row],[kbli5]],Table1[[#All],[kbli5]:[digital_hijau]],5,)</f>
        <v>#N/A</v>
      </c>
      <c r="G1248" s="53" t="e">
        <f>VLOOKUP(Table13[[#This Row],[kbli5]],Table1[[#All],[kbli5]:[digital_hijau]],6,)</f>
        <v>#N/A</v>
      </c>
      <c r="H1248" s="54" t="e">
        <f>VLOOKUP(Table13[[#This Row],[kbli5]],kata_kunci!$B:$H,3,FALSE)</f>
        <v>#N/A</v>
      </c>
      <c r="I1248" s="84" t="e">
        <f>VLOOKUP(Table13[[#This Row],[kbli5]],kata_kunci!$B:$H,5,FALSE)</f>
        <v>#N/A</v>
      </c>
      <c r="J1248" s="84" t="e">
        <f>VLOOKUP(Table13[[#This Row],[kbli5]],kata_kunci!$B:$H,6,FALSE)</f>
        <v>#N/A</v>
      </c>
      <c r="K1248" s="84" t="e">
        <f>VLOOKUP(Table13[[#This Row],[kbli5]],kata_kunci!$B:$H,7,FALSE)</f>
        <v>#N/A</v>
      </c>
    </row>
    <row r="1249" spans="1:11" ht="60.75" thickBot="1" x14ac:dyDescent="0.3">
      <c r="A1249" s="53" t="s">
        <v>1464</v>
      </c>
      <c r="B1249" s="40">
        <v>72102</v>
      </c>
      <c r="C1249" s="41" t="s">
        <v>1485</v>
      </c>
      <c r="D1249" s="30" t="e">
        <f>VLOOKUP(Table13[[#This Row],[kbli5]],Table1[[#All],[kbli5]:[digital_hijau]],3,)</f>
        <v>#N/A</v>
      </c>
      <c r="E1249" s="53" t="e">
        <f>VLOOKUP(Table13[[#This Row],[kbli5]],kata_kunci!$B:$H,4,FALSE)</f>
        <v>#N/A</v>
      </c>
      <c r="F1249" s="53" t="e">
        <f>VLOOKUP(Table13[[#This Row],[kbli5]],Table1[[#All],[kbli5]:[digital_hijau]],5,)</f>
        <v>#N/A</v>
      </c>
      <c r="G1249" s="53" t="e">
        <f>VLOOKUP(Table13[[#This Row],[kbli5]],Table1[[#All],[kbli5]:[digital_hijau]],6,)</f>
        <v>#N/A</v>
      </c>
      <c r="H1249" s="54" t="e">
        <f>VLOOKUP(Table13[[#This Row],[kbli5]],kata_kunci!$B:$H,3,FALSE)</f>
        <v>#N/A</v>
      </c>
      <c r="I1249" s="84" t="e">
        <f>VLOOKUP(Table13[[#This Row],[kbli5]],kata_kunci!$B:$H,5,FALSE)</f>
        <v>#N/A</v>
      </c>
      <c r="J1249" s="84" t="e">
        <f>VLOOKUP(Table13[[#This Row],[kbli5]],kata_kunci!$B:$H,6,FALSE)</f>
        <v>#N/A</v>
      </c>
      <c r="K1249" s="84" t="e">
        <f>VLOOKUP(Table13[[#This Row],[kbli5]],kata_kunci!$B:$H,7,FALSE)</f>
        <v>#N/A</v>
      </c>
    </row>
    <row r="1250" spans="1:11" ht="60.75" thickBot="1" x14ac:dyDescent="0.3">
      <c r="A1250" s="53" t="s">
        <v>1464</v>
      </c>
      <c r="B1250" s="40">
        <v>72103</v>
      </c>
      <c r="C1250" s="41" t="s">
        <v>1486</v>
      </c>
      <c r="D1250" s="30" t="e">
        <f>VLOOKUP(Table13[[#This Row],[kbli5]],Table1[[#All],[kbli5]:[digital_hijau]],3,)</f>
        <v>#N/A</v>
      </c>
      <c r="E1250" s="53" t="e">
        <f>VLOOKUP(Table13[[#This Row],[kbli5]],kata_kunci!$B:$H,4,FALSE)</f>
        <v>#N/A</v>
      </c>
      <c r="F1250" s="53" t="e">
        <f>VLOOKUP(Table13[[#This Row],[kbli5]],Table1[[#All],[kbli5]:[digital_hijau]],5,)</f>
        <v>#N/A</v>
      </c>
      <c r="G1250" s="53" t="e">
        <f>VLOOKUP(Table13[[#This Row],[kbli5]],Table1[[#All],[kbli5]:[digital_hijau]],6,)</f>
        <v>#N/A</v>
      </c>
      <c r="H1250" s="54" t="e">
        <f>VLOOKUP(Table13[[#This Row],[kbli5]],kata_kunci!$B:$H,3,FALSE)</f>
        <v>#N/A</v>
      </c>
      <c r="I1250" s="84" t="e">
        <f>VLOOKUP(Table13[[#This Row],[kbli5]],kata_kunci!$B:$H,5,FALSE)</f>
        <v>#N/A</v>
      </c>
      <c r="J1250" s="84" t="e">
        <f>VLOOKUP(Table13[[#This Row],[kbli5]],kata_kunci!$B:$H,6,FALSE)</f>
        <v>#N/A</v>
      </c>
      <c r="K1250" s="84" t="e">
        <f>VLOOKUP(Table13[[#This Row],[kbli5]],kata_kunci!$B:$H,7,FALSE)</f>
        <v>#N/A</v>
      </c>
    </row>
    <row r="1251" spans="1:11" ht="45.75" thickBot="1" x14ac:dyDescent="0.3">
      <c r="A1251" s="53" t="s">
        <v>1464</v>
      </c>
      <c r="B1251" s="40">
        <v>72104</v>
      </c>
      <c r="C1251" s="41" t="s">
        <v>1487</v>
      </c>
      <c r="D1251" s="30" t="e">
        <f>VLOOKUP(Table13[[#This Row],[kbli5]],Table1[[#All],[kbli5]:[digital_hijau]],3,)</f>
        <v>#N/A</v>
      </c>
      <c r="E1251" s="53" t="e">
        <f>VLOOKUP(Table13[[#This Row],[kbli5]],kata_kunci!$B:$H,4,FALSE)</f>
        <v>#N/A</v>
      </c>
      <c r="F1251" s="53" t="e">
        <f>VLOOKUP(Table13[[#This Row],[kbli5]],Table1[[#All],[kbli5]:[digital_hijau]],5,)</f>
        <v>#N/A</v>
      </c>
      <c r="G1251" s="53" t="e">
        <f>VLOOKUP(Table13[[#This Row],[kbli5]],Table1[[#All],[kbli5]:[digital_hijau]],6,)</f>
        <v>#N/A</v>
      </c>
      <c r="H1251" s="54" t="e">
        <f>VLOOKUP(Table13[[#This Row],[kbli5]],kata_kunci!$B:$H,3,FALSE)</f>
        <v>#N/A</v>
      </c>
      <c r="I1251" s="84" t="e">
        <f>VLOOKUP(Table13[[#This Row],[kbli5]],kata_kunci!$B:$H,5,FALSE)</f>
        <v>#N/A</v>
      </c>
      <c r="J1251" s="84" t="e">
        <f>VLOOKUP(Table13[[#This Row],[kbli5]],kata_kunci!$B:$H,6,FALSE)</f>
        <v>#N/A</v>
      </c>
      <c r="K1251" s="84" t="e">
        <f>VLOOKUP(Table13[[#This Row],[kbli5]],kata_kunci!$B:$H,7,FALSE)</f>
        <v>#N/A</v>
      </c>
    </row>
    <row r="1252" spans="1:11" ht="60.75" thickBot="1" x14ac:dyDescent="0.3">
      <c r="A1252" s="53" t="s">
        <v>1464</v>
      </c>
      <c r="B1252" s="40">
        <v>72105</v>
      </c>
      <c r="C1252" s="41" t="s">
        <v>1488</v>
      </c>
      <c r="D1252" s="30" t="e">
        <f>VLOOKUP(Table13[[#This Row],[kbli5]],Table1[[#All],[kbli5]:[digital_hijau]],3,)</f>
        <v>#N/A</v>
      </c>
      <c r="E1252" s="53" t="e">
        <f>VLOOKUP(Table13[[#This Row],[kbli5]],kata_kunci!$B:$H,4,FALSE)</f>
        <v>#N/A</v>
      </c>
      <c r="F1252" s="53" t="e">
        <f>VLOOKUP(Table13[[#This Row],[kbli5]],Table1[[#All],[kbli5]:[digital_hijau]],5,)</f>
        <v>#N/A</v>
      </c>
      <c r="G1252" s="53" t="e">
        <f>VLOOKUP(Table13[[#This Row],[kbli5]],Table1[[#All],[kbli5]:[digital_hijau]],6,)</f>
        <v>#N/A</v>
      </c>
      <c r="H1252" s="54" t="e">
        <f>VLOOKUP(Table13[[#This Row],[kbli5]],kata_kunci!$B:$H,3,FALSE)</f>
        <v>#N/A</v>
      </c>
      <c r="I1252" s="84" t="e">
        <f>VLOOKUP(Table13[[#This Row],[kbli5]],kata_kunci!$B:$H,5,FALSE)</f>
        <v>#N/A</v>
      </c>
      <c r="J1252" s="84" t="e">
        <f>VLOOKUP(Table13[[#This Row],[kbli5]],kata_kunci!$B:$H,6,FALSE)</f>
        <v>#N/A</v>
      </c>
      <c r="K1252" s="84" t="e">
        <f>VLOOKUP(Table13[[#This Row],[kbli5]],kata_kunci!$B:$H,7,FALSE)</f>
        <v>#N/A</v>
      </c>
    </row>
    <row r="1253" spans="1:11" ht="45.75" thickBot="1" x14ac:dyDescent="0.3">
      <c r="A1253" s="53" t="s">
        <v>1464</v>
      </c>
      <c r="B1253" s="40">
        <v>72106</v>
      </c>
      <c r="C1253" s="41" t="s">
        <v>1489</v>
      </c>
      <c r="D1253" s="30" t="e">
        <f>VLOOKUP(Table13[[#This Row],[kbli5]],Table1[[#All],[kbli5]:[digital_hijau]],3,)</f>
        <v>#N/A</v>
      </c>
      <c r="E1253" s="53" t="e">
        <f>VLOOKUP(Table13[[#This Row],[kbli5]],kata_kunci!$B:$H,4,FALSE)</f>
        <v>#N/A</v>
      </c>
      <c r="F1253" s="53" t="e">
        <f>VLOOKUP(Table13[[#This Row],[kbli5]],Table1[[#All],[kbli5]:[digital_hijau]],5,)</f>
        <v>#N/A</v>
      </c>
      <c r="G1253" s="53" t="e">
        <f>VLOOKUP(Table13[[#This Row],[kbli5]],Table1[[#All],[kbli5]:[digital_hijau]],6,)</f>
        <v>#N/A</v>
      </c>
      <c r="H1253" s="54" t="e">
        <f>VLOOKUP(Table13[[#This Row],[kbli5]],kata_kunci!$B:$H,3,FALSE)</f>
        <v>#N/A</v>
      </c>
      <c r="I1253" s="84" t="e">
        <f>VLOOKUP(Table13[[#This Row],[kbli5]],kata_kunci!$B:$H,5,FALSE)</f>
        <v>#N/A</v>
      </c>
      <c r="J1253" s="84" t="e">
        <f>VLOOKUP(Table13[[#This Row],[kbli5]],kata_kunci!$B:$H,6,FALSE)</f>
        <v>#N/A</v>
      </c>
      <c r="K1253" s="84" t="e">
        <f>VLOOKUP(Table13[[#This Row],[kbli5]],kata_kunci!$B:$H,7,FALSE)</f>
        <v>#N/A</v>
      </c>
    </row>
    <row r="1254" spans="1:11" ht="60.75" thickBot="1" x14ac:dyDescent="0.3">
      <c r="A1254" s="53" t="s">
        <v>1464</v>
      </c>
      <c r="B1254" s="40">
        <v>72109</v>
      </c>
      <c r="C1254" s="41" t="s">
        <v>1490</v>
      </c>
      <c r="D1254" s="30" t="e">
        <f>VLOOKUP(Table13[[#This Row],[kbli5]],Table1[[#All],[kbli5]:[digital_hijau]],3,)</f>
        <v>#N/A</v>
      </c>
      <c r="E1254" s="53" t="e">
        <f>VLOOKUP(Table13[[#This Row],[kbli5]],kata_kunci!$B:$H,4,FALSE)</f>
        <v>#N/A</v>
      </c>
      <c r="F1254" s="53" t="e">
        <f>VLOOKUP(Table13[[#This Row],[kbli5]],Table1[[#All],[kbli5]:[digital_hijau]],5,)</f>
        <v>#N/A</v>
      </c>
      <c r="G1254" s="53" t="e">
        <f>VLOOKUP(Table13[[#This Row],[kbli5]],Table1[[#All],[kbli5]:[digital_hijau]],6,)</f>
        <v>#N/A</v>
      </c>
      <c r="H1254" s="54" t="e">
        <f>VLOOKUP(Table13[[#This Row],[kbli5]],kata_kunci!$B:$H,3,FALSE)</f>
        <v>#N/A</v>
      </c>
      <c r="I1254" s="84" t="e">
        <f>VLOOKUP(Table13[[#This Row],[kbli5]],kata_kunci!$B:$H,5,FALSE)</f>
        <v>#N/A</v>
      </c>
      <c r="J1254" s="84" t="e">
        <f>VLOOKUP(Table13[[#This Row],[kbli5]],kata_kunci!$B:$H,6,FALSE)</f>
        <v>#N/A</v>
      </c>
      <c r="K1254" s="84" t="e">
        <f>VLOOKUP(Table13[[#This Row],[kbli5]],kata_kunci!$B:$H,7,FALSE)</f>
        <v>#N/A</v>
      </c>
    </row>
    <row r="1255" spans="1:11" ht="45.75" thickBot="1" x14ac:dyDescent="0.3">
      <c r="A1255" s="53" t="s">
        <v>1464</v>
      </c>
      <c r="B1255" s="40">
        <v>72201</v>
      </c>
      <c r="C1255" s="41" t="s">
        <v>1491</v>
      </c>
      <c r="D1255" s="30" t="e">
        <f>VLOOKUP(Table13[[#This Row],[kbli5]],Table1[[#All],[kbli5]:[digital_hijau]],3,)</f>
        <v>#N/A</v>
      </c>
      <c r="E1255" s="53" t="e">
        <f>VLOOKUP(Table13[[#This Row],[kbli5]],kata_kunci!$B:$H,4,FALSE)</f>
        <v>#N/A</v>
      </c>
      <c r="F1255" s="53" t="e">
        <f>VLOOKUP(Table13[[#This Row],[kbli5]],Table1[[#All],[kbli5]:[digital_hijau]],5,)</f>
        <v>#N/A</v>
      </c>
      <c r="G1255" s="53" t="e">
        <f>VLOOKUP(Table13[[#This Row],[kbli5]],Table1[[#All],[kbli5]:[digital_hijau]],6,)</f>
        <v>#N/A</v>
      </c>
      <c r="H1255" s="54" t="e">
        <f>VLOOKUP(Table13[[#This Row],[kbli5]],kata_kunci!$B:$H,3,FALSE)</f>
        <v>#N/A</v>
      </c>
      <c r="I1255" s="84" t="e">
        <f>VLOOKUP(Table13[[#This Row],[kbli5]],kata_kunci!$B:$H,5,FALSE)</f>
        <v>#N/A</v>
      </c>
      <c r="J1255" s="84" t="e">
        <f>VLOOKUP(Table13[[#This Row],[kbli5]],kata_kunci!$B:$H,6,FALSE)</f>
        <v>#N/A</v>
      </c>
      <c r="K1255" s="84" t="e">
        <f>VLOOKUP(Table13[[#This Row],[kbli5]],kata_kunci!$B:$H,7,FALSE)</f>
        <v>#N/A</v>
      </c>
    </row>
    <row r="1256" spans="1:11" ht="45.75" thickBot="1" x14ac:dyDescent="0.3">
      <c r="A1256" s="53" t="s">
        <v>1464</v>
      </c>
      <c r="B1256" s="40">
        <v>72202</v>
      </c>
      <c r="C1256" s="41" t="s">
        <v>1492</v>
      </c>
      <c r="D1256" s="30" t="e">
        <f>VLOOKUP(Table13[[#This Row],[kbli5]],Table1[[#All],[kbli5]:[digital_hijau]],3,)</f>
        <v>#N/A</v>
      </c>
      <c r="E1256" s="53" t="e">
        <f>VLOOKUP(Table13[[#This Row],[kbli5]],kata_kunci!$B:$H,4,FALSE)</f>
        <v>#N/A</v>
      </c>
      <c r="F1256" s="53" t="e">
        <f>VLOOKUP(Table13[[#This Row],[kbli5]],Table1[[#All],[kbli5]:[digital_hijau]],5,)</f>
        <v>#N/A</v>
      </c>
      <c r="G1256" s="53" t="e">
        <f>VLOOKUP(Table13[[#This Row],[kbli5]],Table1[[#All],[kbli5]:[digital_hijau]],6,)</f>
        <v>#N/A</v>
      </c>
      <c r="H1256" s="54" t="e">
        <f>VLOOKUP(Table13[[#This Row],[kbli5]],kata_kunci!$B:$H,3,FALSE)</f>
        <v>#N/A</v>
      </c>
      <c r="I1256" s="84" t="e">
        <f>VLOOKUP(Table13[[#This Row],[kbli5]],kata_kunci!$B:$H,5,FALSE)</f>
        <v>#N/A</v>
      </c>
      <c r="J1256" s="84" t="e">
        <f>VLOOKUP(Table13[[#This Row],[kbli5]],kata_kunci!$B:$H,6,FALSE)</f>
        <v>#N/A</v>
      </c>
      <c r="K1256" s="84" t="e">
        <f>VLOOKUP(Table13[[#This Row],[kbli5]],kata_kunci!$B:$H,7,FALSE)</f>
        <v>#N/A</v>
      </c>
    </row>
    <row r="1257" spans="1:11" ht="15.75" thickBot="1" x14ac:dyDescent="0.3">
      <c r="A1257" s="53" t="s">
        <v>1464</v>
      </c>
      <c r="B1257" s="40">
        <v>73100</v>
      </c>
      <c r="C1257" s="41" t="s">
        <v>1493</v>
      </c>
      <c r="D1257" s="30" t="e">
        <f>VLOOKUP(Table13[[#This Row],[kbli5]],Table1[[#All],[kbli5]:[digital_hijau]],3,)</f>
        <v>#N/A</v>
      </c>
      <c r="E1257" s="53" t="e">
        <f>VLOOKUP(Table13[[#This Row],[kbli5]],kata_kunci!$B:$H,4,FALSE)</f>
        <v>#N/A</v>
      </c>
      <c r="F1257" s="53" t="e">
        <f>VLOOKUP(Table13[[#This Row],[kbli5]],Table1[[#All],[kbli5]:[digital_hijau]],5,)</f>
        <v>#N/A</v>
      </c>
      <c r="G1257" s="35" t="s">
        <v>2090</v>
      </c>
      <c r="H1257" s="89" t="e">
        <f>VLOOKUP(Table13[[#This Row],[kbli5]],kata_kunci!$B:$H,3,FALSE)</f>
        <v>#N/A</v>
      </c>
      <c r="I1257" s="84" t="e">
        <f>VLOOKUP(Table13[[#This Row],[kbli5]],kata_kunci!$B:$H,5,FALSE)</f>
        <v>#N/A</v>
      </c>
      <c r="J1257" s="84" t="e">
        <f>VLOOKUP(Table13[[#This Row],[kbli5]],kata_kunci!$B:$H,6,FALSE)</f>
        <v>#N/A</v>
      </c>
      <c r="K1257" s="84" t="e">
        <f>VLOOKUP(Table13[[#This Row],[kbli5]],kata_kunci!$B:$H,7,FALSE)</f>
        <v>#N/A</v>
      </c>
    </row>
    <row r="1258" spans="1:11" ht="15.75" thickBot="1" x14ac:dyDescent="0.3">
      <c r="A1258" s="53" t="s">
        <v>1464</v>
      </c>
      <c r="B1258" s="40">
        <v>73201</v>
      </c>
      <c r="C1258" s="41" t="s">
        <v>1494</v>
      </c>
      <c r="D1258" s="30" t="e">
        <f>VLOOKUP(Table13[[#This Row],[kbli5]],Table1[[#All],[kbli5]:[digital_hijau]],3,)</f>
        <v>#N/A</v>
      </c>
      <c r="E1258" s="53" t="e">
        <f>VLOOKUP(Table13[[#This Row],[kbli5]],kata_kunci!$B:$H,4,FALSE)</f>
        <v>#N/A</v>
      </c>
      <c r="F1258" s="53" t="e">
        <f>VLOOKUP(Table13[[#This Row],[kbli5]],Table1[[#All],[kbli5]:[digital_hijau]],5,)</f>
        <v>#N/A</v>
      </c>
      <c r="G1258" s="53" t="e">
        <f>VLOOKUP(Table13[[#This Row],[kbli5]],Table1[[#All],[kbli5]:[digital_hijau]],6,)</f>
        <v>#N/A</v>
      </c>
      <c r="H1258" s="54" t="e">
        <f>VLOOKUP(Table13[[#This Row],[kbli5]],kata_kunci!$B:$H,3,FALSE)</f>
        <v>#N/A</v>
      </c>
      <c r="I1258" s="84" t="e">
        <f>VLOOKUP(Table13[[#This Row],[kbli5]],kata_kunci!$B:$H,5,FALSE)</f>
        <v>#N/A</v>
      </c>
      <c r="J1258" s="84" t="e">
        <f>VLOOKUP(Table13[[#This Row],[kbli5]],kata_kunci!$B:$H,6,FALSE)</f>
        <v>#N/A</v>
      </c>
      <c r="K1258" s="84" t="e">
        <f>VLOOKUP(Table13[[#This Row],[kbli5]],kata_kunci!$B:$H,7,FALSE)</f>
        <v>#N/A</v>
      </c>
    </row>
    <row r="1259" spans="1:11" ht="30.75" thickBot="1" x14ac:dyDescent="0.3">
      <c r="A1259" s="53" t="s">
        <v>1464</v>
      </c>
      <c r="B1259" s="40">
        <v>73202</v>
      </c>
      <c r="C1259" s="41" t="s">
        <v>1495</v>
      </c>
      <c r="D1259" s="30" t="e">
        <f>VLOOKUP(Table13[[#This Row],[kbli5]],Table1[[#All],[kbli5]:[digital_hijau]],3,)</f>
        <v>#N/A</v>
      </c>
      <c r="E1259" s="53" t="e">
        <f>VLOOKUP(Table13[[#This Row],[kbli5]],kata_kunci!$B:$H,4,FALSE)</f>
        <v>#N/A</v>
      </c>
      <c r="F1259" s="53" t="e">
        <f>VLOOKUP(Table13[[#This Row],[kbli5]],Table1[[#All],[kbli5]:[digital_hijau]],5,)</f>
        <v>#N/A</v>
      </c>
      <c r="G1259" s="53" t="e">
        <f>VLOOKUP(Table13[[#This Row],[kbli5]],Table1[[#All],[kbli5]:[digital_hijau]],6,)</f>
        <v>#N/A</v>
      </c>
      <c r="H1259" s="54" t="e">
        <f>VLOOKUP(Table13[[#This Row],[kbli5]],kata_kunci!$B:$H,3,FALSE)</f>
        <v>#N/A</v>
      </c>
      <c r="I1259" s="84" t="e">
        <f>VLOOKUP(Table13[[#This Row],[kbli5]],kata_kunci!$B:$H,5,FALSE)</f>
        <v>#N/A</v>
      </c>
      <c r="J1259" s="84" t="e">
        <f>VLOOKUP(Table13[[#This Row],[kbli5]],kata_kunci!$B:$H,6,FALSE)</f>
        <v>#N/A</v>
      </c>
      <c r="K1259" s="84" t="e">
        <f>VLOOKUP(Table13[[#This Row],[kbli5]],kata_kunci!$B:$H,7,FALSE)</f>
        <v>#N/A</v>
      </c>
    </row>
    <row r="1260" spans="1:11" ht="15.75" thickBot="1" x14ac:dyDescent="0.3">
      <c r="A1260" s="53" t="s">
        <v>1464</v>
      </c>
      <c r="B1260" s="40">
        <v>73300</v>
      </c>
      <c r="C1260" s="41" t="s">
        <v>1496</v>
      </c>
      <c r="D1260" s="30" t="e">
        <f>VLOOKUP(Table13[[#This Row],[kbli5]],Table1[[#All],[kbli5]:[digital_hijau]],3,)</f>
        <v>#N/A</v>
      </c>
      <c r="E1260" s="53" t="e">
        <f>VLOOKUP(Table13[[#This Row],[kbli5]],kata_kunci!$B:$H,4,FALSE)</f>
        <v>#N/A</v>
      </c>
      <c r="F1260" s="53" t="e">
        <f>VLOOKUP(Table13[[#This Row],[kbli5]],Table1[[#All],[kbli5]:[digital_hijau]],5,)</f>
        <v>#N/A</v>
      </c>
      <c r="G1260" s="53" t="e">
        <f>VLOOKUP(Table13[[#This Row],[kbli5]],Table1[[#All],[kbli5]:[digital_hijau]],6,)</f>
        <v>#N/A</v>
      </c>
      <c r="H1260" s="54" t="e">
        <f>VLOOKUP(Table13[[#This Row],[kbli5]],kata_kunci!$B:$H,3,FALSE)</f>
        <v>#N/A</v>
      </c>
      <c r="I1260" s="84" t="e">
        <f>VLOOKUP(Table13[[#This Row],[kbli5]],kata_kunci!$B:$H,5,FALSE)</f>
        <v>#N/A</v>
      </c>
      <c r="J1260" s="84" t="e">
        <f>VLOOKUP(Table13[[#This Row],[kbli5]],kata_kunci!$B:$H,6,FALSE)</f>
        <v>#N/A</v>
      </c>
      <c r="K1260" s="84" t="e">
        <f>VLOOKUP(Table13[[#This Row],[kbli5]],kata_kunci!$B:$H,7,FALSE)</f>
        <v>#N/A</v>
      </c>
    </row>
    <row r="1261" spans="1:11" ht="45.75" thickBot="1" x14ac:dyDescent="0.3">
      <c r="A1261" s="53" t="s">
        <v>1464</v>
      </c>
      <c r="B1261" s="40">
        <v>74111</v>
      </c>
      <c r="C1261" s="41" t="s">
        <v>1497</v>
      </c>
      <c r="D1261" s="30" t="e">
        <f>VLOOKUP(Table13[[#This Row],[kbli5]],Table1[[#All],[kbli5]:[digital_hijau]],3,)</f>
        <v>#N/A</v>
      </c>
      <c r="E1261" s="53" t="e">
        <f>VLOOKUP(Table13[[#This Row],[kbli5]],kata_kunci!$B:$H,4,FALSE)</f>
        <v>#N/A</v>
      </c>
      <c r="F1261" s="53" t="e">
        <f>VLOOKUP(Table13[[#This Row],[kbli5]],Table1[[#All],[kbli5]:[digital_hijau]],5,)</f>
        <v>#N/A</v>
      </c>
      <c r="G1261" s="53" t="e">
        <f>VLOOKUP(Table13[[#This Row],[kbli5]],Table1[[#All],[kbli5]:[digital_hijau]],6,)</f>
        <v>#N/A</v>
      </c>
      <c r="H1261" s="54" t="e">
        <f>VLOOKUP(Table13[[#This Row],[kbli5]],kata_kunci!$B:$H,3,FALSE)</f>
        <v>#N/A</v>
      </c>
      <c r="I1261" s="84" t="e">
        <f>VLOOKUP(Table13[[#This Row],[kbli5]],kata_kunci!$B:$H,5,FALSE)</f>
        <v>#N/A</v>
      </c>
      <c r="J1261" s="84" t="e">
        <f>VLOOKUP(Table13[[#This Row],[kbli5]],kata_kunci!$B:$H,6,FALSE)</f>
        <v>#N/A</v>
      </c>
      <c r="K1261" s="84" t="e">
        <f>VLOOKUP(Table13[[#This Row],[kbli5]],kata_kunci!$B:$H,7,FALSE)</f>
        <v>#N/A</v>
      </c>
    </row>
    <row r="1262" spans="1:11" ht="45.75" thickBot="1" x14ac:dyDescent="0.3">
      <c r="A1262" s="53" t="s">
        <v>1464</v>
      </c>
      <c r="B1262" s="40">
        <v>74112</v>
      </c>
      <c r="C1262" s="41" t="s">
        <v>1498</v>
      </c>
      <c r="D1262" s="30" t="e">
        <f>VLOOKUP(Table13[[#This Row],[kbli5]],Table1[[#All],[kbli5]:[digital_hijau]],3,)</f>
        <v>#N/A</v>
      </c>
      <c r="E1262" s="53" t="e">
        <f>VLOOKUP(Table13[[#This Row],[kbli5]],kata_kunci!$B:$H,4,FALSE)</f>
        <v>#N/A</v>
      </c>
      <c r="F1262" s="53" t="e">
        <f>VLOOKUP(Table13[[#This Row],[kbli5]],Table1[[#All],[kbli5]:[digital_hijau]],5,)</f>
        <v>#N/A</v>
      </c>
      <c r="G1262" s="53" t="e">
        <f>VLOOKUP(Table13[[#This Row],[kbli5]],Table1[[#All],[kbli5]:[digital_hijau]],6,)</f>
        <v>#N/A</v>
      </c>
      <c r="H1262" s="54" t="e">
        <f>VLOOKUP(Table13[[#This Row],[kbli5]],kata_kunci!$B:$H,3,FALSE)</f>
        <v>#N/A</v>
      </c>
      <c r="I1262" s="84" t="e">
        <f>VLOOKUP(Table13[[#This Row],[kbli5]],kata_kunci!$B:$H,5,FALSE)</f>
        <v>#N/A</v>
      </c>
      <c r="J1262" s="84" t="e">
        <f>VLOOKUP(Table13[[#This Row],[kbli5]],kata_kunci!$B:$H,6,FALSE)</f>
        <v>#N/A</v>
      </c>
      <c r="K1262" s="84" t="e">
        <f>VLOOKUP(Table13[[#This Row],[kbli5]],kata_kunci!$B:$H,7,FALSE)</f>
        <v>#N/A</v>
      </c>
    </row>
    <row r="1263" spans="1:11" ht="45.75" thickBot="1" x14ac:dyDescent="0.3">
      <c r="A1263" s="53" t="s">
        <v>1464</v>
      </c>
      <c r="B1263" s="40">
        <v>74113</v>
      </c>
      <c r="C1263" s="41" t="s">
        <v>1499</v>
      </c>
      <c r="D1263" s="30" t="e">
        <f>VLOOKUP(Table13[[#This Row],[kbli5]],Table1[[#All],[kbli5]:[digital_hijau]],3,)</f>
        <v>#N/A</v>
      </c>
      <c r="E1263" s="53" t="e">
        <f>VLOOKUP(Table13[[#This Row],[kbli5]],kata_kunci!$B:$H,4,FALSE)</f>
        <v>#N/A</v>
      </c>
      <c r="F1263" s="53" t="e">
        <f>VLOOKUP(Table13[[#This Row],[kbli5]],Table1[[#All],[kbli5]:[digital_hijau]],5,)</f>
        <v>#N/A</v>
      </c>
      <c r="G1263" s="53" t="e">
        <f>VLOOKUP(Table13[[#This Row],[kbli5]],Table1[[#All],[kbli5]:[digital_hijau]],6,)</f>
        <v>#N/A</v>
      </c>
      <c r="H1263" s="54" t="e">
        <f>VLOOKUP(Table13[[#This Row],[kbli5]],kata_kunci!$B:$H,3,FALSE)</f>
        <v>#N/A</v>
      </c>
      <c r="I1263" s="84" t="e">
        <f>VLOOKUP(Table13[[#This Row],[kbli5]],kata_kunci!$B:$H,5,FALSE)</f>
        <v>#N/A</v>
      </c>
      <c r="J1263" s="84" t="e">
        <f>VLOOKUP(Table13[[#This Row],[kbli5]],kata_kunci!$B:$H,6,FALSE)</f>
        <v>#N/A</v>
      </c>
      <c r="K1263" s="84" t="e">
        <f>VLOOKUP(Table13[[#This Row],[kbli5]],kata_kunci!$B:$H,7,FALSE)</f>
        <v>#N/A</v>
      </c>
    </row>
    <row r="1264" spans="1:11" ht="45.75" thickBot="1" x14ac:dyDescent="0.3">
      <c r="A1264" s="53" t="s">
        <v>1464</v>
      </c>
      <c r="B1264" s="40">
        <v>74114</v>
      </c>
      <c r="C1264" s="41" t="s">
        <v>1500</v>
      </c>
      <c r="D1264" s="30" t="e">
        <f>VLOOKUP(Table13[[#This Row],[kbli5]],Table1[[#All],[kbli5]:[digital_hijau]],3,)</f>
        <v>#N/A</v>
      </c>
      <c r="E1264" s="53" t="e">
        <f>VLOOKUP(Table13[[#This Row],[kbli5]],kata_kunci!$B:$H,4,FALSE)</f>
        <v>#N/A</v>
      </c>
      <c r="F1264" s="53" t="e">
        <f>VLOOKUP(Table13[[#This Row],[kbli5]],Table1[[#All],[kbli5]:[digital_hijau]],5,)</f>
        <v>#N/A</v>
      </c>
      <c r="G1264" s="53" t="e">
        <f>VLOOKUP(Table13[[#This Row],[kbli5]],Table1[[#All],[kbli5]:[digital_hijau]],6,)</f>
        <v>#N/A</v>
      </c>
      <c r="H1264" s="54" t="e">
        <f>VLOOKUP(Table13[[#This Row],[kbli5]],kata_kunci!$B:$H,3,FALSE)</f>
        <v>#N/A</v>
      </c>
      <c r="I1264" s="84" t="e">
        <f>VLOOKUP(Table13[[#This Row],[kbli5]],kata_kunci!$B:$H,5,FALSE)</f>
        <v>#N/A</v>
      </c>
      <c r="J1264" s="84" t="e">
        <f>VLOOKUP(Table13[[#This Row],[kbli5]],kata_kunci!$B:$H,6,FALSE)</f>
        <v>#N/A</v>
      </c>
      <c r="K1264" s="84" t="e">
        <f>VLOOKUP(Table13[[#This Row],[kbli5]],kata_kunci!$B:$H,7,FALSE)</f>
        <v>#N/A</v>
      </c>
    </row>
    <row r="1265" spans="1:11" ht="45.75" thickBot="1" x14ac:dyDescent="0.3">
      <c r="A1265" s="53" t="s">
        <v>1464</v>
      </c>
      <c r="B1265" s="40">
        <v>74115</v>
      </c>
      <c r="C1265" s="41" t="s">
        <v>1501</v>
      </c>
      <c r="D1265" s="30" t="e">
        <f>VLOOKUP(Table13[[#This Row],[kbli5]],Table1[[#All],[kbli5]:[digital_hijau]],3,)</f>
        <v>#N/A</v>
      </c>
      <c r="E1265" s="53" t="e">
        <f>VLOOKUP(Table13[[#This Row],[kbli5]],kata_kunci!$B:$H,4,FALSE)</f>
        <v>#N/A</v>
      </c>
      <c r="F1265" s="53" t="e">
        <f>VLOOKUP(Table13[[#This Row],[kbli5]],Table1[[#All],[kbli5]:[digital_hijau]],5,)</f>
        <v>#N/A</v>
      </c>
      <c r="G1265" s="53" t="e">
        <f>VLOOKUP(Table13[[#This Row],[kbli5]],Table1[[#All],[kbli5]:[digital_hijau]],6,)</f>
        <v>#N/A</v>
      </c>
      <c r="H1265" s="54" t="e">
        <f>VLOOKUP(Table13[[#This Row],[kbli5]],kata_kunci!$B:$H,3,FALSE)</f>
        <v>#N/A</v>
      </c>
      <c r="I1265" s="84" t="e">
        <f>VLOOKUP(Table13[[#This Row],[kbli5]],kata_kunci!$B:$H,5,FALSE)</f>
        <v>#N/A</v>
      </c>
      <c r="J1265" s="84" t="e">
        <f>VLOOKUP(Table13[[#This Row],[kbli5]],kata_kunci!$B:$H,6,FALSE)</f>
        <v>#N/A</v>
      </c>
      <c r="K1265" s="84" t="e">
        <f>VLOOKUP(Table13[[#This Row],[kbli5]],kata_kunci!$B:$H,7,FALSE)</f>
        <v>#N/A</v>
      </c>
    </row>
    <row r="1266" spans="1:11" ht="45.75" thickBot="1" x14ac:dyDescent="0.3">
      <c r="A1266" s="53" t="s">
        <v>1464</v>
      </c>
      <c r="B1266" s="40">
        <v>74116</v>
      </c>
      <c r="C1266" s="41" t="s">
        <v>1502</v>
      </c>
      <c r="D1266" s="30" t="e">
        <f>VLOOKUP(Table13[[#This Row],[kbli5]],Table1[[#All],[kbli5]:[digital_hijau]],3,)</f>
        <v>#N/A</v>
      </c>
      <c r="E1266" s="53" t="e">
        <f>VLOOKUP(Table13[[#This Row],[kbli5]],kata_kunci!$B:$H,4,FALSE)</f>
        <v>#N/A</v>
      </c>
      <c r="F1266" s="53" t="e">
        <f>VLOOKUP(Table13[[#This Row],[kbli5]],Table1[[#All],[kbli5]:[digital_hijau]],5,)</f>
        <v>#N/A</v>
      </c>
      <c r="G1266" s="53" t="e">
        <f>VLOOKUP(Table13[[#This Row],[kbli5]],Table1[[#All],[kbli5]:[digital_hijau]],6,)</f>
        <v>#N/A</v>
      </c>
      <c r="H1266" s="54" t="e">
        <f>VLOOKUP(Table13[[#This Row],[kbli5]],kata_kunci!$B:$H,3,FALSE)</f>
        <v>#N/A</v>
      </c>
      <c r="I1266" s="84" t="e">
        <f>VLOOKUP(Table13[[#This Row],[kbli5]],kata_kunci!$B:$H,5,FALSE)</f>
        <v>#N/A</v>
      </c>
      <c r="J1266" s="84" t="e">
        <f>VLOOKUP(Table13[[#This Row],[kbli5]],kata_kunci!$B:$H,6,FALSE)</f>
        <v>#N/A</v>
      </c>
      <c r="K1266" s="84" t="e">
        <f>VLOOKUP(Table13[[#This Row],[kbli5]],kata_kunci!$B:$H,7,FALSE)</f>
        <v>#N/A</v>
      </c>
    </row>
    <row r="1267" spans="1:11" ht="45.75" thickBot="1" x14ac:dyDescent="0.3">
      <c r="A1267" s="53" t="s">
        <v>1464</v>
      </c>
      <c r="B1267" s="40">
        <v>74117</v>
      </c>
      <c r="C1267" s="41" t="s">
        <v>1503</v>
      </c>
      <c r="D1267" s="30" t="e">
        <f>VLOOKUP(Table13[[#This Row],[kbli5]],Table1[[#All],[kbli5]:[digital_hijau]],3,)</f>
        <v>#N/A</v>
      </c>
      <c r="E1267" s="53" t="e">
        <f>VLOOKUP(Table13[[#This Row],[kbli5]],kata_kunci!$B:$H,4,FALSE)</f>
        <v>#N/A</v>
      </c>
      <c r="F1267" s="53" t="e">
        <f>VLOOKUP(Table13[[#This Row],[kbli5]],Table1[[#All],[kbli5]:[digital_hijau]],5,)</f>
        <v>#N/A</v>
      </c>
      <c r="G1267" s="53" t="e">
        <f>VLOOKUP(Table13[[#This Row],[kbli5]],Table1[[#All],[kbli5]:[digital_hijau]],6,)</f>
        <v>#N/A</v>
      </c>
      <c r="H1267" s="54" t="e">
        <f>VLOOKUP(Table13[[#This Row],[kbli5]],kata_kunci!$B:$H,3,FALSE)</f>
        <v>#N/A</v>
      </c>
      <c r="I1267" s="84" t="e">
        <f>VLOOKUP(Table13[[#This Row],[kbli5]],kata_kunci!$B:$H,5,FALSE)</f>
        <v>#N/A</v>
      </c>
      <c r="J1267" s="84" t="e">
        <f>VLOOKUP(Table13[[#This Row],[kbli5]],kata_kunci!$B:$H,6,FALSE)</f>
        <v>#N/A</v>
      </c>
      <c r="K1267" s="84" t="e">
        <f>VLOOKUP(Table13[[#This Row],[kbli5]],kata_kunci!$B:$H,7,FALSE)</f>
        <v>#N/A</v>
      </c>
    </row>
    <row r="1268" spans="1:11" ht="30.75" thickBot="1" x14ac:dyDescent="0.3">
      <c r="A1268" s="53" t="s">
        <v>1464</v>
      </c>
      <c r="B1268" s="40">
        <v>74118</v>
      </c>
      <c r="C1268" s="41" t="s">
        <v>1504</v>
      </c>
      <c r="D1268" s="30" t="e">
        <f>VLOOKUP(Table13[[#This Row],[kbli5]],Table1[[#All],[kbli5]:[digital_hijau]],3,)</f>
        <v>#N/A</v>
      </c>
      <c r="E1268" s="53" t="e">
        <f>VLOOKUP(Table13[[#This Row],[kbli5]],kata_kunci!$B:$H,4,FALSE)</f>
        <v>#N/A</v>
      </c>
      <c r="F1268" s="53" t="e">
        <f>VLOOKUP(Table13[[#This Row],[kbli5]],Table1[[#All],[kbli5]:[digital_hijau]],5,)</f>
        <v>#N/A</v>
      </c>
      <c r="G1268" s="53" t="e">
        <f>VLOOKUP(Table13[[#This Row],[kbli5]],Table1[[#All],[kbli5]:[digital_hijau]],6,)</f>
        <v>#N/A</v>
      </c>
      <c r="H1268" s="54" t="e">
        <f>VLOOKUP(Table13[[#This Row],[kbli5]],kata_kunci!$B:$H,3,FALSE)</f>
        <v>#N/A</v>
      </c>
      <c r="I1268" s="84" t="e">
        <f>VLOOKUP(Table13[[#This Row],[kbli5]],kata_kunci!$B:$H,5,FALSE)</f>
        <v>#N/A</v>
      </c>
      <c r="J1268" s="84" t="e">
        <f>VLOOKUP(Table13[[#This Row],[kbli5]],kata_kunci!$B:$H,6,FALSE)</f>
        <v>#N/A</v>
      </c>
      <c r="K1268" s="84" t="e">
        <f>VLOOKUP(Table13[[#This Row],[kbli5]],kata_kunci!$B:$H,7,FALSE)</f>
        <v>#N/A</v>
      </c>
    </row>
    <row r="1269" spans="1:11" ht="30.75" thickBot="1" x14ac:dyDescent="0.3">
      <c r="A1269" s="53" t="s">
        <v>1464</v>
      </c>
      <c r="B1269" s="40">
        <v>74119</v>
      </c>
      <c r="C1269" s="41" t="s">
        <v>1505</v>
      </c>
      <c r="D1269" s="30" t="e">
        <f>VLOOKUP(Table13[[#This Row],[kbli5]],Table1[[#All],[kbli5]:[digital_hijau]],3,)</f>
        <v>#N/A</v>
      </c>
      <c r="E1269" s="53" t="e">
        <f>VLOOKUP(Table13[[#This Row],[kbli5]],kata_kunci!$B:$H,4,FALSE)</f>
        <v>#N/A</v>
      </c>
      <c r="F1269" s="53" t="e">
        <f>VLOOKUP(Table13[[#This Row],[kbli5]],Table1[[#All],[kbli5]:[digital_hijau]],5,)</f>
        <v>#N/A</v>
      </c>
      <c r="G1269" s="53" t="e">
        <f>VLOOKUP(Table13[[#This Row],[kbli5]],Table1[[#All],[kbli5]:[digital_hijau]],6,)</f>
        <v>#N/A</v>
      </c>
      <c r="H1269" s="54" t="e">
        <f>VLOOKUP(Table13[[#This Row],[kbli5]],kata_kunci!$B:$H,3,FALSE)</f>
        <v>#N/A</v>
      </c>
      <c r="I1269" s="84" t="e">
        <f>VLOOKUP(Table13[[#This Row],[kbli5]],kata_kunci!$B:$H,5,FALSE)</f>
        <v>#N/A</v>
      </c>
      <c r="J1269" s="84" t="e">
        <f>VLOOKUP(Table13[[#This Row],[kbli5]],kata_kunci!$B:$H,6,FALSE)</f>
        <v>#N/A</v>
      </c>
      <c r="K1269" s="84" t="e">
        <f>VLOOKUP(Table13[[#This Row],[kbli5]],kata_kunci!$B:$H,7,FALSE)</f>
        <v>#N/A</v>
      </c>
    </row>
    <row r="1270" spans="1:11" ht="15.75" thickBot="1" x14ac:dyDescent="0.3">
      <c r="A1270" s="53" t="s">
        <v>1464</v>
      </c>
      <c r="B1270" s="40">
        <v>74191</v>
      </c>
      <c r="C1270" s="41" t="s">
        <v>1506</v>
      </c>
      <c r="D1270" s="30" t="e">
        <f>VLOOKUP(Table13[[#This Row],[kbli5]],Table1[[#All],[kbli5]:[digital_hijau]],3,)</f>
        <v>#N/A</v>
      </c>
      <c r="E1270" s="53" t="e">
        <f>VLOOKUP(Table13[[#This Row],[kbli5]],kata_kunci!$B:$H,4,FALSE)</f>
        <v>#N/A</v>
      </c>
      <c r="F1270" s="53" t="e">
        <f>VLOOKUP(Table13[[#This Row],[kbli5]],Table1[[#All],[kbli5]:[digital_hijau]],5,)</f>
        <v>#N/A</v>
      </c>
      <c r="G1270" s="53" t="e">
        <f>VLOOKUP(Table13[[#This Row],[kbli5]],Table1[[#All],[kbli5]:[digital_hijau]],6,)</f>
        <v>#N/A</v>
      </c>
      <c r="H1270" s="54" t="e">
        <f>VLOOKUP(Table13[[#This Row],[kbli5]],kata_kunci!$B:$H,3,FALSE)</f>
        <v>#N/A</v>
      </c>
      <c r="I1270" s="84" t="e">
        <f>VLOOKUP(Table13[[#This Row],[kbli5]],kata_kunci!$B:$H,5,FALSE)</f>
        <v>#N/A</v>
      </c>
      <c r="J1270" s="84" t="e">
        <f>VLOOKUP(Table13[[#This Row],[kbli5]],kata_kunci!$B:$H,6,FALSE)</f>
        <v>#N/A</v>
      </c>
      <c r="K1270" s="84" t="e">
        <f>VLOOKUP(Table13[[#This Row],[kbli5]],kata_kunci!$B:$H,7,FALSE)</f>
        <v>#N/A</v>
      </c>
    </row>
    <row r="1271" spans="1:11" ht="45.75" thickBot="1" x14ac:dyDescent="0.3">
      <c r="A1271" s="53" t="s">
        <v>1464</v>
      </c>
      <c r="B1271" s="40">
        <v>74192</v>
      </c>
      <c r="C1271" s="41" t="s">
        <v>1507</v>
      </c>
      <c r="D1271" s="30" t="e">
        <f>VLOOKUP(Table13[[#This Row],[kbli5]],Table1[[#All],[kbli5]:[digital_hijau]],3,)</f>
        <v>#N/A</v>
      </c>
      <c r="E1271" s="53" t="e">
        <f>VLOOKUP(Table13[[#This Row],[kbli5]],kata_kunci!$B:$H,4,FALSE)</f>
        <v>#N/A</v>
      </c>
      <c r="F1271" s="53" t="e">
        <f>VLOOKUP(Table13[[#This Row],[kbli5]],Table1[[#All],[kbli5]:[digital_hijau]],5,)</f>
        <v>#N/A</v>
      </c>
      <c r="G1271" s="35" t="s">
        <v>2090</v>
      </c>
      <c r="H1271" s="89" t="e">
        <f>VLOOKUP(Table13[[#This Row],[kbli5]],kata_kunci!$B:$H,3,FALSE)</f>
        <v>#N/A</v>
      </c>
      <c r="I1271" s="84" t="e">
        <f>VLOOKUP(Table13[[#This Row],[kbli5]],kata_kunci!$B:$H,5,FALSE)</f>
        <v>#N/A</v>
      </c>
      <c r="J1271" s="84" t="e">
        <f>VLOOKUP(Table13[[#This Row],[kbli5]],kata_kunci!$B:$H,6,FALSE)</f>
        <v>#N/A</v>
      </c>
      <c r="K1271" s="84" t="e">
        <f>VLOOKUP(Table13[[#This Row],[kbli5]],kata_kunci!$B:$H,7,FALSE)</f>
        <v>#N/A</v>
      </c>
    </row>
    <row r="1272" spans="1:11" ht="45.75" thickBot="1" x14ac:dyDescent="0.3">
      <c r="A1272" s="53" t="s">
        <v>1464</v>
      </c>
      <c r="B1272" s="40">
        <v>74193</v>
      </c>
      <c r="C1272" s="41" t="s">
        <v>1508</v>
      </c>
      <c r="D1272" s="30" t="e">
        <f>VLOOKUP(Table13[[#This Row],[kbli5]],Table1[[#All],[kbli5]:[digital_hijau]],3,)</f>
        <v>#N/A</v>
      </c>
      <c r="E1272" s="53" t="e">
        <f>VLOOKUP(Table13[[#This Row],[kbli5]],kata_kunci!$B:$H,4,FALSE)</f>
        <v>#N/A</v>
      </c>
      <c r="F1272" s="53" t="e">
        <f>VLOOKUP(Table13[[#This Row],[kbli5]],Table1[[#All],[kbli5]:[digital_hijau]],5,)</f>
        <v>#N/A</v>
      </c>
      <c r="G1272" s="53" t="e">
        <f>VLOOKUP(Table13[[#This Row],[kbli5]],Table1[[#All],[kbli5]:[digital_hijau]],6,)</f>
        <v>#N/A</v>
      </c>
      <c r="H1272" s="54" t="e">
        <f>VLOOKUP(Table13[[#This Row],[kbli5]],kata_kunci!$B:$H,3,FALSE)</f>
        <v>#N/A</v>
      </c>
      <c r="I1272" s="84" t="e">
        <f>VLOOKUP(Table13[[#This Row],[kbli5]],kata_kunci!$B:$H,5,FALSE)</f>
        <v>#N/A</v>
      </c>
      <c r="J1272" s="84" t="e">
        <f>VLOOKUP(Table13[[#This Row],[kbli5]],kata_kunci!$B:$H,6,FALSE)</f>
        <v>#N/A</v>
      </c>
      <c r="K1272" s="84" t="e">
        <f>VLOOKUP(Table13[[#This Row],[kbli5]],kata_kunci!$B:$H,7,FALSE)</f>
        <v>#N/A</v>
      </c>
    </row>
    <row r="1273" spans="1:11" ht="30.75" thickBot="1" x14ac:dyDescent="0.3">
      <c r="A1273" s="53" t="s">
        <v>1464</v>
      </c>
      <c r="B1273" s="40">
        <v>74194</v>
      </c>
      <c r="C1273" s="41" t="s">
        <v>1509</v>
      </c>
      <c r="D1273" s="30" t="e">
        <f>VLOOKUP(Table13[[#This Row],[kbli5]],Table1[[#All],[kbli5]:[digital_hijau]],3,)</f>
        <v>#N/A</v>
      </c>
      <c r="E1273" s="53" t="e">
        <f>VLOOKUP(Table13[[#This Row],[kbli5]],kata_kunci!$B:$H,4,FALSE)</f>
        <v>#N/A</v>
      </c>
      <c r="F1273" s="53" t="e">
        <f>VLOOKUP(Table13[[#This Row],[kbli5]],Table1[[#All],[kbli5]:[digital_hijau]],5,)</f>
        <v>#N/A</v>
      </c>
      <c r="G1273" s="53" t="e">
        <f>VLOOKUP(Table13[[#This Row],[kbli5]],Table1[[#All],[kbli5]:[digital_hijau]],6,)</f>
        <v>#N/A</v>
      </c>
      <c r="H1273" s="54" t="e">
        <f>VLOOKUP(Table13[[#This Row],[kbli5]],kata_kunci!$B:$H,3,FALSE)</f>
        <v>#N/A</v>
      </c>
      <c r="I1273" s="84" t="e">
        <f>VLOOKUP(Table13[[#This Row],[kbli5]],kata_kunci!$B:$H,5,FALSE)</f>
        <v>#N/A</v>
      </c>
      <c r="J1273" s="84" t="e">
        <f>VLOOKUP(Table13[[#This Row],[kbli5]],kata_kunci!$B:$H,6,FALSE)</f>
        <v>#N/A</v>
      </c>
      <c r="K1273" s="84" t="e">
        <f>VLOOKUP(Table13[[#This Row],[kbli5]],kata_kunci!$B:$H,7,FALSE)</f>
        <v>#N/A</v>
      </c>
    </row>
    <row r="1274" spans="1:11" ht="30.75" thickBot="1" x14ac:dyDescent="0.3">
      <c r="A1274" s="53" t="s">
        <v>1464</v>
      </c>
      <c r="B1274" s="40">
        <v>74199</v>
      </c>
      <c r="C1274" s="41" t="s">
        <v>1510</v>
      </c>
      <c r="D1274" s="30" t="e">
        <f>VLOOKUP(Table13[[#This Row],[kbli5]],Table1[[#All],[kbli5]:[digital_hijau]],3,)</f>
        <v>#N/A</v>
      </c>
      <c r="E1274" s="53" t="e">
        <f>VLOOKUP(Table13[[#This Row],[kbli5]],kata_kunci!$B:$H,4,FALSE)</f>
        <v>#N/A</v>
      </c>
      <c r="F1274" s="53" t="e">
        <f>VLOOKUP(Table13[[#This Row],[kbli5]],Table1[[#All],[kbli5]:[digital_hijau]],5,)</f>
        <v>#N/A</v>
      </c>
      <c r="G1274" s="53" t="e">
        <f>VLOOKUP(Table13[[#This Row],[kbli5]],Table1[[#All],[kbli5]:[digital_hijau]],6,)</f>
        <v>#N/A</v>
      </c>
      <c r="H1274" s="54" t="e">
        <f>VLOOKUP(Table13[[#This Row],[kbli5]],kata_kunci!$B:$H,3,FALSE)</f>
        <v>#N/A</v>
      </c>
      <c r="I1274" s="84" t="e">
        <f>VLOOKUP(Table13[[#This Row],[kbli5]],kata_kunci!$B:$H,5,FALSE)</f>
        <v>#N/A</v>
      </c>
      <c r="J1274" s="84" t="e">
        <f>VLOOKUP(Table13[[#This Row],[kbli5]],kata_kunci!$B:$H,6,FALSE)</f>
        <v>#N/A</v>
      </c>
      <c r="K1274" s="84" t="e">
        <f>VLOOKUP(Table13[[#This Row],[kbli5]],kata_kunci!$B:$H,7,FALSE)</f>
        <v>#N/A</v>
      </c>
    </row>
    <row r="1275" spans="1:11" ht="30.75" thickBot="1" x14ac:dyDescent="0.3">
      <c r="A1275" s="53" t="s">
        <v>1464</v>
      </c>
      <c r="B1275" s="40">
        <v>74201</v>
      </c>
      <c r="C1275" s="41" t="s">
        <v>1511</v>
      </c>
      <c r="D1275" s="30" t="e">
        <f>VLOOKUP(Table13[[#This Row],[kbli5]],Table1[[#All],[kbli5]:[digital_hijau]],3,)</f>
        <v>#N/A</v>
      </c>
      <c r="E1275" s="53" t="e">
        <f>VLOOKUP(Table13[[#This Row],[kbli5]],kata_kunci!$B:$H,4,FALSE)</f>
        <v>#N/A</v>
      </c>
      <c r="F1275" s="53" t="e">
        <f>VLOOKUP(Table13[[#This Row],[kbli5]],Table1[[#All],[kbli5]:[digital_hijau]],5,)</f>
        <v>#N/A</v>
      </c>
      <c r="G1275" s="53" t="e">
        <f>VLOOKUP(Table13[[#This Row],[kbli5]],Table1[[#All],[kbli5]:[digital_hijau]],6,)</f>
        <v>#N/A</v>
      </c>
      <c r="H1275" s="54" t="e">
        <f>VLOOKUP(Table13[[#This Row],[kbli5]],kata_kunci!$B:$H,3,FALSE)</f>
        <v>#N/A</v>
      </c>
      <c r="I1275" s="84" t="e">
        <f>VLOOKUP(Table13[[#This Row],[kbli5]],kata_kunci!$B:$H,5,FALSE)</f>
        <v>#N/A</v>
      </c>
      <c r="J1275" s="84" t="e">
        <f>VLOOKUP(Table13[[#This Row],[kbli5]],kata_kunci!$B:$H,6,FALSE)</f>
        <v>#N/A</v>
      </c>
      <c r="K1275" s="84" t="e">
        <f>VLOOKUP(Table13[[#This Row],[kbli5]],kata_kunci!$B:$H,7,FALSE)</f>
        <v>#N/A</v>
      </c>
    </row>
    <row r="1276" spans="1:11" ht="30.75" thickBot="1" x14ac:dyDescent="0.3">
      <c r="A1276" s="53" t="s">
        <v>1464</v>
      </c>
      <c r="B1276" s="40">
        <v>74209</v>
      </c>
      <c r="C1276" s="41" t="s">
        <v>1512</v>
      </c>
      <c r="D1276" s="30" t="e">
        <f>VLOOKUP(Table13[[#This Row],[kbli5]],Table1[[#All],[kbli5]:[digital_hijau]],3,)</f>
        <v>#N/A</v>
      </c>
      <c r="E1276" s="53" t="e">
        <f>VLOOKUP(Table13[[#This Row],[kbli5]],kata_kunci!$B:$H,4,FALSE)</f>
        <v>#N/A</v>
      </c>
      <c r="F1276" s="53" t="e">
        <f>VLOOKUP(Table13[[#This Row],[kbli5]],Table1[[#All],[kbli5]:[digital_hijau]],5,)</f>
        <v>#N/A</v>
      </c>
      <c r="G1276" s="35" t="s">
        <v>2090</v>
      </c>
      <c r="H1276" s="89" t="e">
        <f>VLOOKUP(Table13[[#This Row],[kbli5]],kata_kunci!$B:$H,3,FALSE)</f>
        <v>#N/A</v>
      </c>
      <c r="I1276" s="84" t="e">
        <f>VLOOKUP(Table13[[#This Row],[kbli5]],kata_kunci!$B:$H,5,FALSE)</f>
        <v>#N/A</v>
      </c>
      <c r="J1276" s="84" t="e">
        <f>VLOOKUP(Table13[[#This Row],[kbli5]],kata_kunci!$B:$H,6,FALSE)</f>
        <v>#N/A</v>
      </c>
      <c r="K1276" s="84" t="e">
        <f>VLOOKUP(Table13[[#This Row],[kbli5]],kata_kunci!$B:$H,7,FALSE)</f>
        <v>#N/A</v>
      </c>
    </row>
    <row r="1277" spans="1:11" ht="30.75" thickBot="1" x14ac:dyDescent="0.3">
      <c r="A1277" s="53" t="s">
        <v>1464</v>
      </c>
      <c r="B1277" s="40">
        <v>74300</v>
      </c>
      <c r="C1277" s="41" t="s">
        <v>1513</v>
      </c>
      <c r="D1277" s="30" t="e">
        <f>VLOOKUP(Table13[[#This Row],[kbli5]],Table1[[#All],[kbli5]:[digital_hijau]],3,)</f>
        <v>#N/A</v>
      </c>
      <c r="E1277" s="53" t="e">
        <f>VLOOKUP(Table13[[#This Row],[kbli5]],kata_kunci!$B:$H,4,FALSE)</f>
        <v>#N/A</v>
      </c>
      <c r="F1277" s="53" t="e">
        <f>VLOOKUP(Table13[[#This Row],[kbli5]],Table1[[#All],[kbli5]:[digital_hijau]],5,)</f>
        <v>#N/A</v>
      </c>
      <c r="G1277" s="53" t="e">
        <f>VLOOKUP(Table13[[#This Row],[kbli5]],Table1[[#All],[kbli5]:[digital_hijau]],6,)</f>
        <v>#N/A</v>
      </c>
      <c r="H1277" s="54" t="e">
        <f>VLOOKUP(Table13[[#This Row],[kbli5]],kata_kunci!$B:$H,3,FALSE)</f>
        <v>#N/A</v>
      </c>
      <c r="I1277" s="84" t="e">
        <f>VLOOKUP(Table13[[#This Row],[kbli5]],kata_kunci!$B:$H,5,FALSE)</f>
        <v>#N/A</v>
      </c>
      <c r="J1277" s="84" t="e">
        <f>VLOOKUP(Table13[[#This Row],[kbli5]],kata_kunci!$B:$H,6,FALSE)</f>
        <v>#N/A</v>
      </c>
      <c r="K1277" s="84" t="e">
        <f>VLOOKUP(Table13[[#This Row],[kbli5]],kata_kunci!$B:$H,7,FALSE)</f>
        <v>#N/A</v>
      </c>
    </row>
    <row r="1278" spans="1:11" ht="45.75" thickBot="1" x14ac:dyDescent="0.3">
      <c r="A1278" s="53" t="s">
        <v>1464</v>
      </c>
      <c r="B1278" s="40">
        <v>74910</v>
      </c>
      <c r="C1278" s="41" t="s">
        <v>1514</v>
      </c>
      <c r="D1278" s="30" t="e">
        <f>VLOOKUP(Table13[[#This Row],[kbli5]],Table1[[#All],[kbli5]:[digital_hijau]],3,)</f>
        <v>#N/A</v>
      </c>
      <c r="E1278" s="53" t="e">
        <f>VLOOKUP(Table13[[#This Row],[kbli5]],kata_kunci!$B:$H,4,FALSE)</f>
        <v>#N/A</v>
      </c>
      <c r="F1278" s="53" t="e">
        <f>VLOOKUP(Table13[[#This Row],[kbli5]],Table1[[#All],[kbli5]:[digital_hijau]],5,)</f>
        <v>#N/A</v>
      </c>
      <c r="G1278" s="53" t="e">
        <f>VLOOKUP(Table13[[#This Row],[kbli5]],Table1[[#All],[kbli5]:[digital_hijau]],6,)</f>
        <v>#N/A</v>
      </c>
      <c r="H1278" s="54" t="e">
        <f>VLOOKUP(Table13[[#This Row],[kbli5]],kata_kunci!$B:$H,3,FALSE)</f>
        <v>#N/A</v>
      </c>
      <c r="I1278" s="84" t="e">
        <f>VLOOKUP(Table13[[#This Row],[kbli5]],kata_kunci!$B:$H,5,FALSE)</f>
        <v>#N/A</v>
      </c>
      <c r="J1278" s="84" t="e">
        <f>VLOOKUP(Table13[[#This Row],[kbli5]],kata_kunci!$B:$H,6,FALSE)</f>
        <v>#N/A</v>
      </c>
      <c r="K1278" s="84" t="e">
        <f>VLOOKUP(Table13[[#This Row],[kbli5]],kata_kunci!$B:$H,7,FALSE)</f>
        <v>#N/A</v>
      </c>
    </row>
    <row r="1279" spans="1:11" ht="30.75" thickBot="1" x14ac:dyDescent="0.3">
      <c r="A1279" s="53" t="s">
        <v>1464</v>
      </c>
      <c r="B1279" s="40">
        <v>74991</v>
      </c>
      <c r="C1279" s="41" t="s">
        <v>1515</v>
      </c>
      <c r="D1279" s="30" t="e">
        <f>VLOOKUP(Table13[[#This Row],[kbli5]],Table1[[#All],[kbli5]:[digital_hijau]],3,)</f>
        <v>#N/A</v>
      </c>
      <c r="E1279" s="53" t="e">
        <f>VLOOKUP(Table13[[#This Row],[kbli5]],kata_kunci!$B:$H,4,FALSE)</f>
        <v>#N/A</v>
      </c>
      <c r="F1279" s="53" t="e">
        <f>VLOOKUP(Table13[[#This Row],[kbli5]],Table1[[#All],[kbli5]:[digital_hijau]],5,)</f>
        <v>#N/A</v>
      </c>
      <c r="G1279" s="53" t="e">
        <f>VLOOKUP(Table13[[#This Row],[kbli5]],Table1[[#All],[kbli5]:[digital_hijau]],6,)</f>
        <v>#N/A</v>
      </c>
      <c r="H1279" s="54" t="e">
        <f>VLOOKUP(Table13[[#This Row],[kbli5]],kata_kunci!$B:$H,3,FALSE)</f>
        <v>#N/A</v>
      </c>
      <c r="I1279" s="84" t="e">
        <f>VLOOKUP(Table13[[#This Row],[kbli5]],kata_kunci!$B:$H,5,FALSE)</f>
        <v>#N/A</v>
      </c>
      <c r="J1279" s="84" t="e">
        <f>VLOOKUP(Table13[[#This Row],[kbli5]],kata_kunci!$B:$H,6,FALSE)</f>
        <v>#N/A</v>
      </c>
      <c r="K1279" s="84" t="e">
        <f>VLOOKUP(Table13[[#This Row],[kbli5]],kata_kunci!$B:$H,7,FALSE)</f>
        <v>#N/A</v>
      </c>
    </row>
    <row r="1280" spans="1:11" ht="45.75" thickBot="1" x14ac:dyDescent="0.3">
      <c r="A1280" s="53" t="s">
        <v>1464</v>
      </c>
      <c r="B1280" s="40">
        <v>74999</v>
      </c>
      <c r="C1280" s="41" t="s">
        <v>1516</v>
      </c>
      <c r="D1280" s="30" t="e">
        <f>VLOOKUP(Table13[[#This Row],[kbli5]],Table1[[#All],[kbli5]:[digital_hijau]],3,)</f>
        <v>#N/A</v>
      </c>
      <c r="E1280" s="53" t="e">
        <f>VLOOKUP(Table13[[#This Row],[kbli5]],kata_kunci!$B:$H,4,FALSE)</f>
        <v>#N/A</v>
      </c>
      <c r="F1280" s="53" t="e">
        <f>VLOOKUP(Table13[[#This Row],[kbli5]],Table1[[#All],[kbli5]:[digital_hijau]],5,)</f>
        <v>#N/A</v>
      </c>
      <c r="G1280" s="53" t="e">
        <f>VLOOKUP(Table13[[#This Row],[kbli5]],Table1[[#All],[kbli5]:[digital_hijau]],6,)</f>
        <v>#N/A</v>
      </c>
      <c r="H1280" s="54" t="e">
        <f>VLOOKUP(Table13[[#This Row],[kbli5]],kata_kunci!$B:$H,3,FALSE)</f>
        <v>#N/A</v>
      </c>
      <c r="I1280" s="84" t="e">
        <f>VLOOKUP(Table13[[#This Row],[kbli5]],kata_kunci!$B:$H,5,FALSE)</f>
        <v>#N/A</v>
      </c>
      <c r="J1280" s="84" t="e">
        <f>VLOOKUP(Table13[[#This Row],[kbli5]],kata_kunci!$B:$H,6,FALSE)</f>
        <v>#N/A</v>
      </c>
      <c r="K1280" s="84" t="e">
        <f>VLOOKUP(Table13[[#This Row],[kbli5]],kata_kunci!$B:$H,7,FALSE)</f>
        <v>#N/A</v>
      </c>
    </row>
    <row r="1281" spans="1:11" ht="45.75" thickBot="1" x14ac:dyDescent="0.3">
      <c r="A1281" s="53" t="s">
        <v>1464</v>
      </c>
      <c r="B1281" s="40">
        <v>75001</v>
      </c>
      <c r="C1281" s="41" t="s">
        <v>1517</v>
      </c>
      <c r="D1281" s="30" t="e">
        <f>VLOOKUP(Table13[[#This Row],[kbli5]],Table1[[#All],[kbli5]:[digital_hijau]],3,)</f>
        <v>#N/A</v>
      </c>
      <c r="E1281" s="53" t="e">
        <f>VLOOKUP(Table13[[#This Row],[kbli5]],kata_kunci!$B:$H,4,FALSE)</f>
        <v>#N/A</v>
      </c>
      <c r="F1281" s="53" t="e">
        <f>VLOOKUP(Table13[[#This Row],[kbli5]],Table1[[#All],[kbli5]:[digital_hijau]],5,)</f>
        <v>#N/A</v>
      </c>
      <c r="G1281" s="53" t="e">
        <f>VLOOKUP(Table13[[#This Row],[kbli5]],Table1[[#All],[kbli5]:[digital_hijau]],6,)</f>
        <v>#N/A</v>
      </c>
      <c r="H1281" s="54" t="e">
        <f>VLOOKUP(Table13[[#This Row],[kbli5]],kata_kunci!$B:$H,3,FALSE)</f>
        <v>#N/A</v>
      </c>
      <c r="I1281" s="84" t="e">
        <f>VLOOKUP(Table13[[#This Row],[kbli5]],kata_kunci!$B:$H,5,FALSE)</f>
        <v>#N/A</v>
      </c>
      <c r="J1281" s="84" t="e">
        <f>VLOOKUP(Table13[[#This Row],[kbli5]],kata_kunci!$B:$H,6,FALSE)</f>
        <v>#N/A</v>
      </c>
      <c r="K1281" s="84" t="e">
        <f>VLOOKUP(Table13[[#This Row],[kbli5]],kata_kunci!$B:$H,7,FALSE)</f>
        <v>#N/A</v>
      </c>
    </row>
    <row r="1282" spans="1:11" ht="45.75" thickBot="1" x14ac:dyDescent="0.3">
      <c r="A1282" s="53" t="s">
        <v>1464</v>
      </c>
      <c r="B1282" s="40">
        <v>75002</v>
      </c>
      <c r="C1282" s="41" t="s">
        <v>1518</v>
      </c>
      <c r="D1282" s="30" t="e">
        <f>VLOOKUP(Table13[[#This Row],[kbli5]],Table1[[#All],[kbli5]:[digital_hijau]],3,)</f>
        <v>#N/A</v>
      </c>
      <c r="E1282" s="53" t="e">
        <f>VLOOKUP(Table13[[#This Row],[kbli5]],kata_kunci!$B:$H,4,FALSE)</f>
        <v>#N/A</v>
      </c>
      <c r="F1282" s="53" t="e">
        <f>VLOOKUP(Table13[[#This Row],[kbli5]],Table1[[#All],[kbli5]:[digital_hijau]],5,)</f>
        <v>#N/A</v>
      </c>
      <c r="G1282" s="53" t="e">
        <f>VLOOKUP(Table13[[#This Row],[kbli5]],Table1[[#All],[kbli5]:[digital_hijau]],6,)</f>
        <v>#N/A</v>
      </c>
      <c r="H1282" s="54" t="e">
        <f>VLOOKUP(Table13[[#This Row],[kbli5]],kata_kunci!$B:$H,3,FALSE)</f>
        <v>#N/A</v>
      </c>
      <c r="I1282" s="84" t="e">
        <f>VLOOKUP(Table13[[#This Row],[kbli5]],kata_kunci!$B:$H,5,FALSE)</f>
        <v>#N/A</v>
      </c>
      <c r="J1282" s="84" t="e">
        <f>VLOOKUP(Table13[[#This Row],[kbli5]],kata_kunci!$B:$H,6,FALSE)</f>
        <v>#N/A</v>
      </c>
      <c r="K1282" s="84" t="e">
        <f>VLOOKUP(Table13[[#This Row],[kbli5]],kata_kunci!$B:$H,7,FALSE)</f>
        <v>#N/A</v>
      </c>
    </row>
    <row r="1283" spans="1:11" ht="45.75" thickBot="1" x14ac:dyDescent="0.3">
      <c r="A1283" s="53" t="s">
        <v>1464</v>
      </c>
      <c r="B1283" s="40">
        <v>75009</v>
      </c>
      <c r="C1283" s="41" t="s">
        <v>1519</v>
      </c>
      <c r="D1283" s="30" t="e">
        <f>VLOOKUP(Table13[[#This Row],[kbli5]],Table1[[#All],[kbli5]:[digital_hijau]],3,)</f>
        <v>#N/A</v>
      </c>
      <c r="E1283" s="53" t="e">
        <f>VLOOKUP(Table13[[#This Row],[kbli5]],kata_kunci!$B:$H,4,FALSE)</f>
        <v>#N/A</v>
      </c>
      <c r="F1283" s="53" t="e">
        <f>VLOOKUP(Table13[[#This Row],[kbli5]],Table1[[#All],[kbli5]:[digital_hijau]],5,)</f>
        <v>#N/A</v>
      </c>
      <c r="G1283" s="53" t="e">
        <f>VLOOKUP(Table13[[#This Row],[kbli5]],Table1[[#All],[kbli5]:[digital_hijau]],6,)</f>
        <v>#N/A</v>
      </c>
      <c r="H1283" s="54" t="e">
        <f>VLOOKUP(Table13[[#This Row],[kbli5]],kata_kunci!$B:$H,3,FALSE)</f>
        <v>#N/A</v>
      </c>
      <c r="I1283" s="84" t="e">
        <f>VLOOKUP(Table13[[#This Row],[kbli5]],kata_kunci!$B:$H,5,FALSE)</f>
        <v>#N/A</v>
      </c>
      <c r="J1283" s="84" t="e">
        <f>VLOOKUP(Table13[[#This Row],[kbli5]],kata_kunci!$B:$H,6,FALSE)</f>
        <v>#N/A</v>
      </c>
      <c r="K1283" s="84" t="e">
        <f>VLOOKUP(Table13[[#This Row],[kbli5]],kata_kunci!$B:$H,7,FALSE)</f>
        <v>#N/A</v>
      </c>
    </row>
    <row r="1284" spans="1:11" ht="45.75" thickBot="1" x14ac:dyDescent="0.3">
      <c r="A1284" s="53" t="s">
        <v>1520</v>
      </c>
      <c r="B1284" s="40">
        <v>77100</v>
      </c>
      <c r="C1284" s="41" t="s">
        <v>1521</v>
      </c>
      <c r="D1284" s="30" t="e">
        <f>VLOOKUP(Table13[[#This Row],[kbli5]],Table1[[#All],[kbli5]:[digital_hijau]],3,)</f>
        <v>#N/A</v>
      </c>
      <c r="E1284" s="53" t="e">
        <f>VLOOKUP(Table13[[#This Row],[kbli5]],kata_kunci!$B:$H,4,FALSE)</f>
        <v>#N/A</v>
      </c>
      <c r="F1284" s="53" t="e">
        <f>VLOOKUP(Table13[[#This Row],[kbli5]],Table1[[#All],[kbli5]:[digital_hijau]],5,)</f>
        <v>#N/A</v>
      </c>
      <c r="G1284" s="53" t="e">
        <f>VLOOKUP(Table13[[#This Row],[kbli5]],Table1[[#All],[kbli5]:[digital_hijau]],6,)</f>
        <v>#N/A</v>
      </c>
      <c r="H1284" s="54" t="e">
        <f>VLOOKUP(Table13[[#This Row],[kbli5]],kata_kunci!$B:$H,3,FALSE)</f>
        <v>#N/A</v>
      </c>
      <c r="I1284" s="84" t="e">
        <f>VLOOKUP(Table13[[#This Row],[kbli5]],kata_kunci!$B:$H,5,FALSE)</f>
        <v>#N/A</v>
      </c>
      <c r="J1284" s="84" t="e">
        <f>VLOOKUP(Table13[[#This Row],[kbli5]],kata_kunci!$B:$H,6,FALSE)</f>
        <v>#N/A</v>
      </c>
      <c r="K1284" s="84" t="e">
        <f>VLOOKUP(Table13[[#This Row],[kbli5]],kata_kunci!$B:$H,7,FALSE)</f>
        <v>#N/A</v>
      </c>
    </row>
    <row r="1285" spans="1:11" ht="45.75" thickBot="1" x14ac:dyDescent="0.3">
      <c r="A1285" s="53" t="s">
        <v>1520</v>
      </c>
      <c r="B1285" s="40">
        <v>77210</v>
      </c>
      <c r="C1285" s="41" t="s">
        <v>1522</v>
      </c>
      <c r="D1285" s="30" t="e">
        <f>VLOOKUP(Table13[[#This Row],[kbli5]],Table1[[#All],[kbli5]:[digital_hijau]],3,)</f>
        <v>#N/A</v>
      </c>
      <c r="E1285" s="53" t="e">
        <f>VLOOKUP(Table13[[#This Row],[kbli5]],kata_kunci!$B:$H,4,FALSE)</f>
        <v>#N/A</v>
      </c>
      <c r="F1285" s="53" t="e">
        <f>VLOOKUP(Table13[[#This Row],[kbli5]],Table1[[#All],[kbli5]:[digital_hijau]],5,)</f>
        <v>#N/A</v>
      </c>
      <c r="G1285" s="53" t="e">
        <f>VLOOKUP(Table13[[#This Row],[kbli5]],Table1[[#All],[kbli5]:[digital_hijau]],6,)</f>
        <v>#N/A</v>
      </c>
      <c r="H1285" s="54" t="e">
        <f>VLOOKUP(Table13[[#This Row],[kbli5]],kata_kunci!$B:$H,3,FALSE)</f>
        <v>#N/A</v>
      </c>
      <c r="I1285" s="84" t="e">
        <f>VLOOKUP(Table13[[#This Row],[kbli5]],kata_kunci!$B:$H,5,FALSE)</f>
        <v>#N/A</v>
      </c>
      <c r="J1285" s="84" t="e">
        <f>VLOOKUP(Table13[[#This Row],[kbli5]],kata_kunci!$B:$H,6,FALSE)</f>
        <v>#N/A</v>
      </c>
      <c r="K1285" s="84" t="e">
        <f>VLOOKUP(Table13[[#This Row],[kbli5]],kata_kunci!$B:$H,7,FALSE)</f>
        <v>#N/A</v>
      </c>
    </row>
    <row r="1286" spans="1:11" ht="45.75" thickBot="1" x14ac:dyDescent="0.3">
      <c r="A1286" s="53" t="s">
        <v>1520</v>
      </c>
      <c r="B1286" s="40">
        <v>77291</v>
      </c>
      <c r="C1286" s="41" t="s">
        <v>1523</v>
      </c>
      <c r="D1286" s="30" t="e">
        <f>VLOOKUP(Table13[[#This Row],[kbli5]],Table1[[#All],[kbli5]:[digital_hijau]],3,)</f>
        <v>#N/A</v>
      </c>
      <c r="E1286" s="53" t="e">
        <f>VLOOKUP(Table13[[#This Row],[kbli5]],kata_kunci!$B:$H,4,FALSE)</f>
        <v>#N/A</v>
      </c>
      <c r="F1286" s="53" t="e">
        <f>VLOOKUP(Table13[[#This Row],[kbli5]],Table1[[#All],[kbli5]:[digital_hijau]],5,)</f>
        <v>#N/A</v>
      </c>
      <c r="G1286" s="53" t="e">
        <f>VLOOKUP(Table13[[#This Row],[kbli5]],Table1[[#All],[kbli5]:[digital_hijau]],6,)</f>
        <v>#N/A</v>
      </c>
      <c r="H1286" s="54" t="e">
        <f>VLOOKUP(Table13[[#This Row],[kbli5]],kata_kunci!$B:$H,3,FALSE)</f>
        <v>#N/A</v>
      </c>
      <c r="I1286" s="84" t="e">
        <f>VLOOKUP(Table13[[#This Row],[kbli5]],kata_kunci!$B:$H,5,FALSE)</f>
        <v>#N/A</v>
      </c>
      <c r="J1286" s="84" t="e">
        <f>VLOOKUP(Table13[[#This Row],[kbli5]],kata_kunci!$B:$H,6,FALSE)</f>
        <v>#N/A</v>
      </c>
      <c r="K1286" s="84" t="e">
        <f>VLOOKUP(Table13[[#This Row],[kbli5]],kata_kunci!$B:$H,7,FALSE)</f>
        <v>#N/A</v>
      </c>
    </row>
    <row r="1287" spans="1:11" ht="15.75" thickBot="1" x14ac:dyDescent="0.3">
      <c r="A1287" s="53" t="s">
        <v>1520</v>
      </c>
      <c r="B1287" s="40">
        <v>77292</v>
      </c>
      <c r="C1287" s="41" t="s">
        <v>1524</v>
      </c>
      <c r="D1287" s="30" t="e">
        <f>VLOOKUP(Table13[[#This Row],[kbli5]],Table1[[#All],[kbli5]:[digital_hijau]],3,)</f>
        <v>#N/A</v>
      </c>
      <c r="E1287" s="53" t="e">
        <f>VLOOKUP(Table13[[#This Row],[kbli5]],kata_kunci!$B:$H,4,FALSE)</f>
        <v>#N/A</v>
      </c>
      <c r="F1287" s="53" t="e">
        <f>VLOOKUP(Table13[[#This Row],[kbli5]],Table1[[#All],[kbli5]:[digital_hijau]],5,)</f>
        <v>#N/A</v>
      </c>
      <c r="G1287" s="53" t="e">
        <f>VLOOKUP(Table13[[#This Row],[kbli5]],Table1[[#All],[kbli5]:[digital_hijau]],6,)</f>
        <v>#N/A</v>
      </c>
      <c r="H1287" s="54" t="e">
        <f>VLOOKUP(Table13[[#This Row],[kbli5]],kata_kunci!$B:$H,3,FALSE)</f>
        <v>#N/A</v>
      </c>
      <c r="I1287" s="84" t="e">
        <f>VLOOKUP(Table13[[#This Row],[kbli5]],kata_kunci!$B:$H,5,FALSE)</f>
        <v>#N/A</v>
      </c>
      <c r="J1287" s="84" t="e">
        <f>VLOOKUP(Table13[[#This Row],[kbli5]],kata_kunci!$B:$H,6,FALSE)</f>
        <v>#N/A</v>
      </c>
      <c r="K1287" s="84" t="e">
        <f>VLOOKUP(Table13[[#This Row],[kbli5]],kata_kunci!$B:$H,7,FALSE)</f>
        <v>#N/A</v>
      </c>
    </row>
    <row r="1288" spans="1:11" ht="45.75" thickBot="1" x14ac:dyDescent="0.3">
      <c r="A1288" s="53" t="s">
        <v>1520</v>
      </c>
      <c r="B1288" s="40">
        <v>77293</v>
      </c>
      <c r="C1288" s="41" t="s">
        <v>1525</v>
      </c>
      <c r="D1288" s="30" t="e">
        <f>VLOOKUP(Table13[[#This Row],[kbli5]],Table1[[#All],[kbli5]:[digital_hijau]],3,)</f>
        <v>#N/A</v>
      </c>
      <c r="E1288" s="53" t="e">
        <f>VLOOKUP(Table13[[#This Row],[kbli5]],kata_kunci!$B:$H,4,FALSE)</f>
        <v>#N/A</v>
      </c>
      <c r="F1288" s="53" t="e">
        <f>VLOOKUP(Table13[[#This Row],[kbli5]],Table1[[#All],[kbli5]:[digital_hijau]],5,)</f>
        <v>#N/A</v>
      </c>
      <c r="G1288" s="53" t="e">
        <f>VLOOKUP(Table13[[#This Row],[kbli5]],Table1[[#All],[kbli5]:[digital_hijau]],6,)</f>
        <v>#N/A</v>
      </c>
      <c r="H1288" s="54" t="e">
        <f>VLOOKUP(Table13[[#This Row],[kbli5]],kata_kunci!$B:$H,3,FALSE)</f>
        <v>#N/A</v>
      </c>
      <c r="I1288" s="84" t="e">
        <f>VLOOKUP(Table13[[#This Row],[kbli5]],kata_kunci!$B:$H,5,FALSE)</f>
        <v>#N/A</v>
      </c>
      <c r="J1288" s="84" t="e">
        <f>VLOOKUP(Table13[[#This Row],[kbli5]],kata_kunci!$B:$H,6,FALSE)</f>
        <v>#N/A</v>
      </c>
      <c r="K1288" s="84" t="e">
        <f>VLOOKUP(Table13[[#This Row],[kbli5]],kata_kunci!$B:$H,7,FALSE)</f>
        <v>#N/A</v>
      </c>
    </row>
    <row r="1289" spans="1:11" ht="30.75" thickBot="1" x14ac:dyDescent="0.3">
      <c r="A1289" s="53" t="s">
        <v>1520</v>
      </c>
      <c r="B1289" s="40">
        <v>77294</v>
      </c>
      <c r="C1289" s="41" t="s">
        <v>1526</v>
      </c>
      <c r="D1289" s="30" t="e">
        <f>VLOOKUP(Table13[[#This Row],[kbli5]],Table1[[#All],[kbli5]:[digital_hijau]],3,)</f>
        <v>#N/A</v>
      </c>
      <c r="E1289" s="53" t="e">
        <f>VLOOKUP(Table13[[#This Row],[kbli5]],kata_kunci!$B:$H,4,FALSE)</f>
        <v>#N/A</v>
      </c>
      <c r="F1289" s="53" t="e">
        <f>VLOOKUP(Table13[[#This Row],[kbli5]],Table1[[#All],[kbli5]:[digital_hijau]],5,)</f>
        <v>#N/A</v>
      </c>
      <c r="G1289" s="53" t="e">
        <f>VLOOKUP(Table13[[#This Row],[kbli5]],Table1[[#All],[kbli5]:[digital_hijau]],6,)</f>
        <v>#N/A</v>
      </c>
      <c r="H1289" s="54" t="e">
        <f>VLOOKUP(Table13[[#This Row],[kbli5]],kata_kunci!$B:$H,3,FALSE)</f>
        <v>#N/A</v>
      </c>
      <c r="I1289" s="84" t="e">
        <f>VLOOKUP(Table13[[#This Row],[kbli5]],kata_kunci!$B:$H,5,FALSE)</f>
        <v>#N/A</v>
      </c>
      <c r="J1289" s="84" t="e">
        <f>VLOOKUP(Table13[[#This Row],[kbli5]],kata_kunci!$B:$H,6,FALSE)</f>
        <v>#N/A</v>
      </c>
      <c r="K1289" s="84" t="e">
        <f>VLOOKUP(Table13[[#This Row],[kbli5]],kata_kunci!$B:$H,7,FALSE)</f>
        <v>#N/A</v>
      </c>
    </row>
    <row r="1290" spans="1:11" ht="45.75" thickBot="1" x14ac:dyDescent="0.3">
      <c r="A1290" s="53" t="s">
        <v>1520</v>
      </c>
      <c r="B1290" s="40">
        <v>77299</v>
      </c>
      <c r="C1290" s="41" t="s">
        <v>1527</v>
      </c>
      <c r="D1290" s="30" t="e">
        <f>VLOOKUP(Table13[[#This Row],[kbli5]],Table1[[#All],[kbli5]:[digital_hijau]],3,)</f>
        <v>#N/A</v>
      </c>
      <c r="E1290" s="53" t="e">
        <f>VLOOKUP(Table13[[#This Row],[kbli5]],kata_kunci!$B:$H,4,FALSE)</f>
        <v>#N/A</v>
      </c>
      <c r="F1290" s="53" t="e">
        <f>VLOOKUP(Table13[[#This Row],[kbli5]],Table1[[#All],[kbli5]:[digital_hijau]],5,)</f>
        <v>#N/A</v>
      </c>
      <c r="G1290" s="53" t="e">
        <f>VLOOKUP(Table13[[#This Row],[kbli5]],Table1[[#All],[kbli5]:[digital_hijau]],6,)</f>
        <v>#N/A</v>
      </c>
      <c r="H1290" s="54" t="e">
        <f>VLOOKUP(Table13[[#This Row],[kbli5]],kata_kunci!$B:$H,3,FALSE)</f>
        <v>#N/A</v>
      </c>
      <c r="I1290" s="84" t="e">
        <f>VLOOKUP(Table13[[#This Row],[kbli5]],kata_kunci!$B:$H,5,FALSE)</f>
        <v>#N/A</v>
      </c>
      <c r="J1290" s="84" t="e">
        <f>VLOOKUP(Table13[[#This Row],[kbli5]],kata_kunci!$B:$H,6,FALSE)</f>
        <v>#N/A</v>
      </c>
      <c r="K1290" s="84" t="e">
        <f>VLOOKUP(Table13[[#This Row],[kbli5]],kata_kunci!$B:$H,7,FALSE)</f>
        <v>#N/A</v>
      </c>
    </row>
    <row r="1291" spans="1:11" ht="45.75" thickBot="1" x14ac:dyDescent="0.3">
      <c r="A1291" s="53" t="s">
        <v>1520</v>
      </c>
      <c r="B1291" s="40">
        <v>77311</v>
      </c>
      <c r="C1291" s="41" t="s">
        <v>1528</v>
      </c>
      <c r="D1291" s="30" t="e">
        <f>VLOOKUP(Table13[[#This Row],[kbli5]],Table1[[#All],[kbli5]:[digital_hijau]],3,)</f>
        <v>#N/A</v>
      </c>
      <c r="E1291" s="53" t="e">
        <f>VLOOKUP(Table13[[#This Row],[kbli5]],kata_kunci!$B:$H,4,FALSE)</f>
        <v>#N/A</v>
      </c>
      <c r="F1291" s="53" t="e">
        <f>VLOOKUP(Table13[[#This Row],[kbli5]],Table1[[#All],[kbli5]:[digital_hijau]],5,)</f>
        <v>#N/A</v>
      </c>
      <c r="G1291" s="53" t="e">
        <f>VLOOKUP(Table13[[#This Row],[kbli5]],Table1[[#All],[kbli5]:[digital_hijau]],6,)</f>
        <v>#N/A</v>
      </c>
      <c r="H1291" s="54" t="e">
        <f>VLOOKUP(Table13[[#This Row],[kbli5]],kata_kunci!$B:$H,3,FALSE)</f>
        <v>#N/A</v>
      </c>
      <c r="I1291" s="84" t="e">
        <f>VLOOKUP(Table13[[#This Row],[kbli5]],kata_kunci!$B:$H,5,FALSE)</f>
        <v>#N/A</v>
      </c>
      <c r="J1291" s="84" t="e">
        <f>VLOOKUP(Table13[[#This Row],[kbli5]],kata_kunci!$B:$H,6,FALSE)</f>
        <v>#N/A</v>
      </c>
      <c r="K1291" s="84" t="e">
        <f>VLOOKUP(Table13[[#This Row],[kbli5]],kata_kunci!$B:$H,7,FALSE)</f>
        <v>#N/A</v>
      </c>
    </row>
    <row r="1292" spans="1:11" ht="45.75" thickBot="1" x14ac:dyDescent="0.3">
      <c r="A1292" s="53" t="s">
        <v>1520</v>
      </c>
      <c r="B1292" s="40">
        <v>77312</v>
      </c>
      <c r="C1292" s="41" t="s">
        <v>1529</v>
      </c>
      <c r="D1292" s="30" t="e">
        <f>VLOOKUP(Table13[[#This Row],[kbli5]],Table1[[#All],[kbli5]:[digital_hijau]],3,)</f>
        <v>#N/A</v>
      </c>
      <c r="E1292" s="53" t="e">
        <f>VLOOKUP(Table13[[#This Row],[kbli5]],kata_kunci!$B:$H,4,FALSE)</f>
        <v>#N/A</v>
      </c>
      <c r="F1292" s="53" t="e">
        <f>VLOOKUP(Table13[[#This Row],[kbli5]],Table1[[#All],[kbli5]:[digital_hijau]],5,)</f>
        <v>#N/A</v>
      </c>
      <c r="G1292" s="53" t="e">
        <f>VLOOKUP(Table13[[#This Row],[kbli5]],Table1[[#All],[kbli5]:[digital_hijau]],6,)</f>
        <v>#N/A</v>
      </c>
      <c r="H1292" s="54" t="e">
        <f>VLOOKUP(Table13[[#This Row],[kbli5]],kata_kunci!$B:$H,3,FALSE)</f>
        <v>#N/A</v>
      </c>
      <c r="I1292" s="84" t="e">
        <f>VLOOKUP(Table13[[#This Row],[kbli5]],kata_kunci!$B:$H,5,FALSE)</f>
        <v>#N/A</v>
      </c>
      <c r="J1292" s="84" t="e">
        <f>VLOOKUP(Table13[[#This Row],[kbli5]],kata_kunci!$B:$H,6,FALSE)</f>
        <v>#N/A</v>
      </c>
      <c r="K1292" s="84" t="e">
        <f>VLOOKUP(Table13[[#This Row],[kbli5]],kata_kunci!$B:$H,7,FALSE)</f>
        <v>#N/A</v>
      </c>
    </row>
    <row r="1293" spans="1:11" ht="45.75" thickBot="1" x14ac:dyDescent="0.3">
      <c r="A1293" s="53" t="s">
        <v>1520</v>
      </c>
      <c r="B1293" s="40">
        <v>77313</v>
      </c>
      <c r="C1293" s="41" t="s">
        <v>1530</v>
      </c>
      <c r="D1293" s="30" t="e">
        <f>VLOOKUP(Table13[[#This Row],[kbli5]],Table1[[#All],[kbli5]:[digital_hijau]],3,)</f>
        <v>#N/A</v>
      </c>
      <c r="E1293" s="53" t="e">
        <f>VLOOKUP(Table13[[#This Row],[kbli5]],kata_kunci!$B:$H,4,FALSE)</f>
        <v>#N/A</v>
      </c>
      <c r="F1293" s="53" t="e">
        <f>VLOOKUP(Table13[[#This Row],[kbli5]],Table1[[#All],[kbli5]:[digital_hijau]],5,)</f>
        <v>#N/A</v>
      </c>
      <c r="G1293" s="53" t="e">
        <f>VLOOKUP(Table13[[#This Row],[kbli5]],Table1[[#All],[kbli5]:[digital_hijau]],6,)</f>
        <v>#N/A</v>
      </c>
      <c r="H1293" s="54" t="e">
        <f>VLOOKUP(Table13[[#This Row],[kbli5]],kata_kunci!$B:$H,3,FALSE)</f>
        <v>#N/A</v>
      </c>
      <c r="I1293" s="84" t="e">
        <f>VLOOKUP(Table13[[#This Row],[kbli5]],kata_kunci!$B:$H,5,FALSE)</f>
        <v>#N/A</v>
      </c>
      <c r="J1293" s="84" t="e">
        <f>VLOOKUP(Table13[[#This Row],[kbli5]],kata_kunci!$B:$H,6,FALSE)</f>
        <v>#N/A</v>
      </c>
      <c r="K1293" s="84" t="e">
        <f>VLOOKUP(Table13[[#This Row],[kbli5]],kata_kunci!$B:$H,7,FALSE)</f>
        <v>#N/A</v>
      </c>
    </row>
    <row r="1294" spans="1:11" ht="45.75" thickBot="1" x14ac:dyDescent="0.3">
      <c r="A1294" s="53" t="s">
        <v>1520</v>
      </c>
      <c r="B1294" s="40">
        <v>77391</v>
      </c>
      <c r="C1294" s="41" t="s">
        <v>1531</v>
      </c>
      <c r="D1294" s="30" t="e">
        <f>VLOOKUP(Table13[[#This Row],[kbli5]],Table1[[#All],[kbli5]:[digital_hijau]],3,)</f>
        <v>#N/A</v>
      </c>
      <c r="E1294" s="53" t="e">
        <f>VLOOKUP(Table13[[#This Row],[kbli5]],kata_kunci!$B:$H,4,FALSE)</f>
        <v>#N/A</v>
      </c>
      <c r="F1294" s="53" t="e">
        <f>VLOOKUP(Table13[[#This Row],[kbli5]],Table1[[#All],[kbli5]:[digital_hijau]],5,)</f>
        <v>#N/A</v>
      </c>
      <c r="G1294" s="53" t="e">
        <f>VLOOKUP(Table13[[#This Row],[kbli5]],Table1[[#All],[kbli5]:[digital_hijau]],6,)</f>
        <v>#N/A</v>
      </c>
      <c r="H1294" s="54" t="e">
        <f>VLOOKUP(Table13[[#This Row],[kbli5]],kata_kunci!$B:$H,3,FALSE)</f>
        <v>#N/A</v>
      </c>
      <c r="I1294" s="84" t="e">
        <f>VLOOKUP(Table13[[#This Row],[kbli5]],kata_kunci!$B:$H,5,FALSE)</f>
        <v>#N/A</v>
      </c>
      <c r="J1294" s="84" t="e">
        <f>VLOOKUP(Table13[[#This Row],[kbli5]],kata_kunci!$B:$H,6,FALSE)</f>
        <v>#N/A</v>
      </c>
      <c r="K1294" s="84" t="e">
        <f>VLOOKUP(Table13[[#This Row],[kbli5]],kata_kunci!$B:$H,7,FALSE)</f>
        <v>#N/A</v>
      </c>
    </row>
    <row r="1295" spans="1:11" ht="45.75" thickBot="1" x14ac:dyDescent="0.3">
      <c r="A1295" s="53" t="s">
        <v>1520</v>
      </c>
      <c r="B1295" s="40">
        <v>77392</v>
      </c>
      <c r="C1295" s="41" t="s">
        <v>1532</v>
      </c>
      <c r="D1295" s="30" t="e">
        <f>VLOOKUP(Table13[[#This Row],[kbli5]],Table1[[#All],[kbli5]:[digital_hijau]],3,)</f>
        <v>#N/A</v>
      </c>
      <c r="E1295" s="53" t="e">
        <f>VLOOKUP(Table13[[#This Row],[kbli5]],kata_kunci!$B:$H,4,FALSE)</f>
        <v>#N/A</v>
      </c>
      <c r="F1295" s="53" t="e">
        <f>VLOOKUP(Table13[[#This Row],[kbli5]],Table1[[#All],[kbli5]:[digital_hijau]],5,)</f>
        <v>#N/A</v>
      </c>
      <c r="G1295" s="53" t="e">
        <f>VLOOKUP(Table13[[#This Row],[kbli5]],Table1[[#All],[kbli5]:[digital_hijau]],6,)</f>
        <v>#N/A</v>
      </c>
      <c r="H1295" s="54" t="e">
        <f>VLOOKUP(Table13[[#This Row],[kbli5]],kata_kunci!$B:$H,3,FALSE)</f>
        <v>#N/A</v>
      </c>
      <c r="I1295" s="84" t="e">
        <f>VLOOKUP(Table13[[#This Row],[kbli5]],kata_kunci!$B:$H,5,FALSE)</f>
        <v>#N/A</v>
      </c>
      <c r="J1295" s="84" t="e">
        <f>VLOOKUP(Table13[[#This Row],[kbli5]],kata_kunci!$B:$H,6,FALSE)</f>
        <v>#N/A</v>
      </c>
      <c r="K1295" s="84" t="e">
        <f>VLOOKUP(Table13[[#This Row],[kbli5]],kata_kunci!$B:$H,7,FALSE)</f>
        <v>#N/A</v>
      </c>
    </row>
    <row r="1296" spans="1:11" ht="45.75" thickBot="1" x14ac:dyDescent="0.3">
      <c r="A1296" s="53" t="s">
        <v>1520</v>
      </c>
      <c r="B1296" s="40">
        <v>77393</v>
      </c>
      <c r="C1296" s="41" t="s">
        <v>1533</v>
      </c>
      <c r="D1296" s="30" t="e">
        <f>VLOOKUP(Table13[[#This Row],[kbli5]],Table1[[#All],[kbli5]:[digital_hijau]],3,)</f>
        <v>#N/A</v>
      </c>
      <c r="E1296" s="53" t="e">
        <f>VLOOKUP(Table13[[#This Row],[kbli5]],kata_kunci!$B:$H,4,FALSE)</f>
        <v>#N/A</v>
      </c>
      <c r="F1296" s="53" t="e">
        <f>VLOOKUP(Table13[[#This Row],[kbli5]],Table1[[#All],[kbli5]:[digital_hijau]],5,)</f>
        <v>#N/A</v>
      </c>
      <c r="G1296" s="53" t="e">
        <f>VLOOKUP(Table13[[#This Row],[kbli5]],Table1[[#All],[kbli5]:[digital_hijau]],6,)</f>
        <v>#N/A</v>
      </c>
      <c r="H1296" s="54" t="e">
        <f>VLOOKUP(Table13[[#This Row],[kbli5]],kata_kunci!$B:$H,3,FALSE)</f>
        <v>#N/A</v>
      </c>
      <c r="I1296" s="84" t="e">
        <f>VLOOKUP(Table13[[#This Row],[kbli5]],kata_kunci!$B:$H,5,FALSE)</f>
        <v>#N/A</v>
      </c>
      <c r="J1296" s="84" t="e">
        <f>VLOOKUP(Table13[[#This Row],[kbli5]],kata_kunci!$B:$H,6,FALSE)</f>
        <v>#N/A</v>
      </c>
      <c r="K1296" s="84" t="e">
        <f>VLOOKUP(Table13[[#This Row],[kbli5]],kata_kunci!$B:$H,7,FALSE)</f>
        <v>#N/A</v>
      </c>
    </row>
    <row r="1297" spans="1:11" ht="45.75" thickBot="1" x14ac:dyDescent="0.3">
      <c r="A1297" s="53" t="s">
        <v>1520</v>
      </c>
      <c r="B1297" s="40">
        <v>77394</v>
      </c>
      <c r="C1297" s="41" t="s">
        <v>1534</v>
      </c>
      <c r="D1297" s="30" t="e">
        <f>VLOOKUP(Table13[[#This Row],[kbli5]],Table1[[#All],[kbli5]:[digital_hijau]],3,)</f>
        <v>#N/A</v>
      </c>
      <c r="E1297" s="53" t="e">
        <f>VLOOKUP(Table13[[#This Row],[kbli5]],kata_kunci!$B:$H,4,FALSE)</f>
        <v>#N/A</v>
      </c>
      <c r="F1297" s="53" t="e">
        <f>VLOOKUP(Table13[[#This Row],[kbli5]],Table1[[#All],[kbli5]:[digital_hijau]],5,)</f>
        <v>#N/A</v>
      </c>
      <c r="G1297" s="53" t="e">
        <f>VLOOKUP(Table13[[#This Row],[kbli5]],Table1[[#All],[kbli5]:[digital_hijau]],6,)</f>
        <v>#N/A</v>
      </c>
      <c r="H1297" s="54" t="e">
        <f>VLOOKUP(Table13[[#This Row],[kbli5]],kata_kunci!$B:$H,3,FALSE)</f>
        <v>#N/A</v>
      </c>
      <c r="I1297" s="84" t="e">
        <f>VLOOKUP(Table13[[#This Row],[kbli5]],kata_kunci!$B:$H,5,FALSE)</f>
        <v>#N/A</v>
      </c>
      <c r="J1297" s="84" t="e">
        <f>VLOOKUP(Table13[[#This Row],[kbli5]],kata_kunci!$B:$H,6,FALSE)</f>
        <v>#N/A</v>
      </c>
      <c r="K1297" s="84" t="e">
        <f>VLOOKUP(Table13[[#This Row],[kbli5]],kata_kunci!$B:$H,7,FALSE)</f>
        <v>#N/A</v>
      </c>
    </row>
    <row r="1298" spans="1:11" ht="60.75" thickBot="1" x14ac:dyDescent="0.3">
      <c r="A1298" s="53" t="s">
        <v>1520</v>
      </c>
      <c r="B1298" s="40">
        <v>77395</v>
      </c>
      <c r="C1298" s="41" t="s">
        <v>1535</v>
      </c>
      <c r="D1298" s="30" t="e">
        <f>VLOOKUP(Table13[[#This Row],[kbli5]],Table1[[#All],[kbli5]:[digital_hijau]],3,)</f>
        <v>#N/A</v>
      </c>
      <c r="E1298" s="53" t="e">
        <f>VLOOKUP(Table13[[#This Row],[kbli5]],kata_kunci!$B:$H,4,FALSE)</f>
        <v>#N/A</v>
      </c>
      <c r="F1298" s="53" t="e">
        <f>VLOOKUP(Table13[[#This Row],[kbli5]],Table1[[#All],[kbli5]:[digital_hijau]],5,)</f>
        <v>#N/A</v>
      </c>
      <c r="G1298" s="53" t="e">
        <f>VLOOKUP(Table13[[#This Row],[kbli5]],Table1[[#All],[kbli5]:[digital_hijau]],6,)</f>
        <v>#N/A</v>
      </c>
      <c r="H1298" s="54" t="e">
        <f>VLOOKUP(Table13[[#This Row],[kbli5]],kata_kunci!$B:$H,3,FALSE)</f>
        <v>#N/A</v>
      </c>
      <c r="I1298" s="84" t="e">
        <f>VLOOKUP(Table13[[#This Row],[kbli5]],kata_kunci!$B:$H,5,FALSE)</f>
        <v>#N/A</v>
      </c>
      <c r="J1298" s="84" t="e">
        <f>VLOOKUP(Table13[[#This Row],[kbli5]],kata_kunci!$B:$H,6,FALSE)</f>
        <v>#N/A</v>
      </c>
      <c r="K1298" s="84" t="e">
        <f>VLOOKUP(Table13[[#This Row],[kbli5]],kata_kunci!$B:$H,7,FALSE)</f>
        <v>#N/A</v>
      </c>
    </row>
    <row r="1299" spans="1:11" ht="45.75" thickBot="1" x14ac:dyDescent="0.3">
      <c r="A1299" s="53" t="s">
        <v>1520</v>
      </c>
      <c r="B1299" s="40">
        <v>77396</v>
      </c>
      <c r="C1299" s="41" t="s">
        <v>1533</v>
      </c>
      <c r="D1299" s="30" t="e">
        <f>VLOOKUP(Table13[[#This Row],[kbli5]],Table1[[#All],[kbli5]:[digital_hijau]],3,)</f>
        <v>#N/A</v>
      </c>
      <c r="E1299" s="53" t="e">
        <f>VLOOKUP(Table13[[#This Row],[kbli5]],kata_kunci!$B:$H,4,FALSE)</f>
        <v>#N/A</v>
      </c>
      <c r="F1299" s="53" t="e">
        <f>VLOOKUP(Table13[[#This Row],[kbli5]],Table1[[#All],[kbli5]:[digital_hijau]],5,)</f>
        <v>#N/A</v>
      </c>
      <c r="G1299" s="35" t="s">
        <v>2090</v>
      </c>
      <c r="H1299" s="89" t="e">
        <f>VLOOKUP(Table13[[#This Row],[kbli5]],kata_kunci!$B:$H,3,FALSE)</f>
        <v>#N/A</v>
      </c>
      <c r="I1299" s="84" t="e">
        <f>VLOOKUP(Table13[[#This Row],[kbli5]],kata_kunci!$B:$H,5,FALSE)</f>
        <v>#N/A</v>
      </c>
      <c r="J1299" s="84" t="e">
        <f>VLOOKUP(Table13[[#This Row],[kbli5]],kata_kunci!$B:$H,6,FALSE)</f>
        <v>#N/A</v>
      </c>
      <c r="K1299" s="84" t="e">
        <f>VLOOKUP(Table13[[#This Row],[kbli5]],kata_kunci!$B:$H,7,FALSE)</f>
        <v>#N/A</v>
      </c>
    </row>
    <row r="1300" spans="1:11" ht="45.75" thickBot="1" x14ac:dyDescent="0.3">
      <c r="A1300" s="53" t="s">
        <v>1520</v>
      </c>
      <c r="B1300" s="40">
        <v>77397</v>
      </c>
      <c r="C1300" s="41" t="s">
        <v>1536</v>
      </c>
      <c r="D1300" s="30" t="e">
        <f>VLOOKUP(Table13[[#This Row],[kbli5]],Table1[[#All],[kbli5]:[digital_hijau]],3,)</f>
        <v>#N/A</v>
      </c>
      <c r="E1300" s="53" t="e">
        <f>VLOOKUP(Table13[[#This Row],[kbli5]],kata_kunci!$B:$H,4,FALSE)</f>
        <v>#N/A</v>
      </c>
      <c r="F1300" s="53" t="e">
        <f>VLOOKUP(Table13[[#This Row],[kbli5]],Table1[[#All],[kbli5]:[digital_hijau]],5,)</f>
        <v>#N/A</v>
      </c>
      <c r="G1300" s="53" t="e">
        <f>VLOOKUP(Table13[[#This Row],[kbli5]],Table1[[#All],[kbli5]:[digital_hijau]],6,)</f>
        <v>#N/A</v>
      </c>
      <c r="H1300" s="54" t="e">
        <f>VLOOKUP(Table13[[#This Row],[kbli5]],kata_kunci!$B:$H,3,FALSE)</f>
        <v>#N/A</v>
      </c>
      <c r="I1300" s="84" t="e">
        <f>VLOOKUP(Table13[[#This Row],[kbli5]],kata_kunci!$B:$H,5,FALSE)</f>
        <v>#N/A</v>
      </c>
      <c r="J1300" s="84" t="e">
        <f>VLOOKUP(Table13[[#This Row],[kbli5]],kata_kunci!$B:$H,6,FALSE)</f>
        <v>#N/A</v>
      </c>
      <c r="K1300" s="84" t="e">
        <f>VLOOKUP(Table13[[#This Row],[kbli5]],kata_kunci!$B:$H,7,FALSE)</f>
        <v>#N/A</v>
      </c>
    </row>
    <row r="1301" spans="1:11" ht="45.75" thickBot="1" x14ac:dyDescent="0.3">
      <c r="A1301" s="53" t="s">
        <v>1520</v>
      </c>
      <c r="B1301" s="40">
        <v>77399</v>
      </c>
      <c r="C1301" s="41" t="s">
        <v>1537</v>
      </c>
      <c r="D1301" s="30" t="e">
        <f>VLOOKUP(Table13[[#This Row],[kbli5]],Table1[[#All],[kbli5]:[digital_hijau]],3,)</f>
        <v>#N/A</v>
      </c>
      <c r="E1301" s="53" t="e">
        <f>VLOOKUP(Table13[[#This Row],[kbli5]],kata_kunci!$B:$H,4,FALSE)</f>
        <v>#N/A</v>
      </c>
      <c r="F1301" s="53" t="e">
        <f>VLOOKUP(Table13[[#This Row],[kbli5]],Table1[[#All],[kbli5]:[digital_hijau]],5,)</f>
        <v>#N/A</v>
      </c>
      <c r="G1301" s="53" t="e">
        <f>VLOOKUP(Table13[[#This Row],[kbli5]],Table1[[#All],[kbli5]:[digital_hijau]],6,)</f>
        <v>#N/A</v>
      </c>
      <c r="H1301" s="54" t="e">
        <f>VLOOKUP(Table13[[#This Row],[kbli5]],kata_kunci!$B:$H,3,FALSE)</f>
        <v>#N/A</v>
      </c>
      <c r="I1301" s="84" t="e">
        <f>VLOOKUP(Table13[[#This Row],[kbli5]],kata_kunci!$B:$H,5,FALSE)</f>
        <v>#N/A</v>
      </c>
      <c r="J1301" s="84" t="e">
        <f>VLOOKUP(Table13[[#This Row],[kbli5]],kata_kunci!$B:$H,6,FALSE)</f>
        <v>#N/A</v>
      </c>
      <c r="K1301" s="84" t="e">
        <f>VLOOKUP(Table13[[#This Row],[kbli5]],kata_kunci!$B:$H,7,FALSE)</f>
        <v>#N/A</v>
      </c>
    </row>
    <row r="1302" spans="1:11" ht="45.75" thickBot="1" x14ac:dyDescent="0.3">
      <c r="A1302" s="53" t="s">
        <v>1520</v>
      </c>
      <c r="B1302" s="40">
        <v>77400</v>
      </c>
      <c r="C1302" s="41" t="s">
        <v>1538</v>
      </c>
      <c r="D1302" s="30" t="e">
        <f>VLOOKUP(Table13[[#This Row],[kbli5]],Table1[[#All],[kbli5]:[digital_hijau]],3,)</f>
        <v>#N/A</v>
      </c>
      <c r="E1302" s="53" t="e">
        <f>VLOOKUP(Table13[[#This Row],[kbli5]],kata_kunci!$B:$H,4,FALSE)</f>
        <v>#N/A</v>
      </c>
      <c r="F1302" s="53" t="e">
        <f>VLOOKUP(Table13[[#This Row],[kbli5]],Table1[[#All],[kbli5]:[digital_hijau]],5,)</f>
        <v>#N/A</v>
      </c>
      <c r="G1302" s="53" t="e">
        <f>VLOOKUP(Table13[[#This Row],[kbli5]],Table1[[#All],[kbli5]:[digital_hijau]],6,)</f>
        <v>#N/A</v>
      </c>
      <c r="H1302" s="54" t="e">
        <f>VLOOKUP(Table13[[#This Row],[kbli5]],kata_kunci!$B:$H,3,FALSE)</f>
        <v>#N/A</v>
      </c>
      <c r="I1302" s="84" t="e">
        <f>VLOOKUP(Table13[[#This Row],[kbli5]],kata_kunci!$B:$H,5,FALSE)</f>
        <v>#N/A</v>
      </c>
      <c r="J1302" s="84" t="e">
        <f>VLOOKUP(Table13[[#This Row],[kbli5]],kata_kunci!$B:$H,6,FALSE)</f>
        <v>#N/A</v>
      </c>
      <c r="K1302" s="84" t="e">
        <f>VLOOKUP(Table13[[#This Row],[kbli5]],kata_kunci!$B:$H,7,FALSE)</f>
        <v>#N/A</v>
      </c>
    </row>
    <row r="1303" spans="1:11" ht="60.75" thickBot="1" x14ac:dyDescent="0.3">
      <c r="A1303" s="53" t="s">
        <v>1520</v>
      </c>
      <c r="B1303" s="40">
        <v>77510</v>
      </c>
      <c r="C1303" s="41" t="s">
        <v>1539</v>
      </c>
      <c r="D1303" s="30" t="e">
        <f>VLOOKUP(Table13[[#This Row],[kbli5]],Table1[[#All],[kbli5]:[digital_hijau]],3,)</f>
        <v>#N/A</v>
      </c>
      <c r="E1303" s="53" t="e">
        <f>VLOOKUP(Table13[[#This Row],[kbli5]],kata_kunci!$B:$H,4,FALSE)</f>
        <v>#N/A</v>
      </c>
      <c r="F1303" s="53" t="e">
        <f>VLOOKUP(Table13[[#This Row],[kbli5]],Table1[[#All],[kbli5]:[digital_hijau]],5,)</f>
        <v>#N/A</v>
      </c>
      <c r="G1303" s="35" t="s">
        <v>2090</v>
      </c>
      <c r="H1303" s="89" t="e">
        <f>VLOOKUP(Table13[[#This Row],[kbli5]],kata_kunci!$B:$H,3,FALSE)</f>
        <v>#N/A</v>
      </c>
      <c r="I1303" s="84" t="e">
        <f>VLOOKUP(Table13[[#This Row],[kbli5]],kata_kunci!$B:$H,5,FALSE)</f>
        <v>#N/A</v>
      </c>
      <c r="J1303" s="84" t="e">
        <f>VLOOKUP(Table13[[#This Row],[kbli5]],kata_kunci!$B:$H,6,FALSE)</f>
        <v>#N/A</v>
      </c>
      <c r="K1303" s="84" t="e">
        <f>VLOOKUP(Table13[[#This Row],[kbli5]],kata_kunci!$B:$H,7,FALSE)</f>
        <v>#N/A</v>
      </c>
    </row>
    <row r="1304" spans="1:11" ht="60.75" thickBot="1" x14ac:dyDescent="0.3">
      <c r="A1304" s="53" t="s">
        <v>1520</v>
      </c>
      <c r="B1304" s="40">
        <v>77520</v>
      </c>
      <c r="C1304" s="41" t="s">
        <v>1539</v>
      </c>
      <c r="D1304" s="30" t="e">
        <f>VLOOKUP(Table13[[#This Row],[kbli5]],Table1[[#All],[kbli5]:[digital_hijau]],3,)</f>
        <v>#N/A</v>
      </c>
      <c r="E1304" s="53" t="e">
        <f>VLOOKUP(Table13[[#This Row],[kbli5]],kata_kunci!$B:$H,4,FALSE)</f>
        <v>#N/A</v>
      </c>
      <c r="F1304" s="53" t="e">
        <f>VLOOKUP(Table13[[#This Row],[kbli5]],Table1[[#All],[kbli5]:[digital_hijau]],5,)</f>
        <v>#N/A</v>
      </c>
      <c r="G1304" s="35" t="s">
        <v>2090</v>
      </c>
      <c r="H1304" s="89" t="e">
        <f>VLOOKUP(Table13[[#This Row],[kbli5]],kata_kunci!$B:$H,3,FALSE)</f>
        <v>#N/A</v>
      </c>
      <c r="I1304" s="84" t="e">
        <f>VLOOKUP(Table13[[#This Row],[kbli5]],kata_kunci!$B:$H,5,FALSE)</f>
        <v>#N/A</v>
      </c>
      <c r="J1304" s="84" t="e">
        <f>VLOOKUP(Table13[[#This Row],[kbli5]],kata_kunci!$B:$H,6,FALSE)</f>
        <v>#N/A</v>
      </c>
      <c r="K1304" s="84" t="e">
        <f>VLOOKUP(Table13[[#This Row],[kbli5]],kata_kunci!$B:$H,7,FALSE)</f>
        <v>#N/A</v>
      </c>
    </row>
    <row r="1305" spans="1:11" ht="45.75" thickBot="1" x14ac:dyDescent="0.3">
      <c r="A1305" s="53" t="s">
        <v>1520</v>
      </c>
      <c r="B1305" s="40">
        <v>78101</v>
      </c>
      <c r="C1305" s="41" t="s">
        <v>1540</v>
      </c>
      <c r="D1305" s="30" t="e">
        <f>VLOOKUP(Table13[[#This Row],[kbli5]],Table1[[#All],[kbli5]:[digital_hijau]],3,)</f>
        <v>#N/A</v>
      </c>
      <c r="E1305" s="53" t="e">
        <f>VLOOKUP(Table13[[#This Row],[kbli5]],kata_kunci!$B:$H,4,FALSE)</f>
        <v>#N/A</v>
      </c>
      <c r="F1305" s="53" t="e">
        <f>VLOOKUP(Table13[[#This Row],[kbli5]],Table1[[#All],[kbli5]:[digital_hijau]],5,)</f>
        <v>#N/A</v>
      </c>
      <c r="G1305" s="53" t="e">
        <f>VLOOKUP(Table13[[#This Row],[kbli5]],Table1[[#All],[kbli5]:[digital_hijau]],6,)</f>
        <v>#N/A</v>
      </c>
      <c r="H1305" s="54" t="e">
        <f>VLOOKUP(Table13[[#This Row],[kbli5]],kata_kunci!$B:$H,3,FALSE)</f>
        <v>#N/A</v>
      </c>
      <c r="I1305" s="84" t="e">
        <f>VLOOKUP(Table13[[#This Row],[kbli5]],kata_kunci!$B:$H,5,FALSE)</f>
        <v>#N/A</v>
      </c>
      <c r="J1305" s="84" t="e">
        <f>VLOOKUP(Table13[[#This Row],[kbli5]],kata_kunci!$B:$H,6,FALSE)</f>
        <v>#N/A</v>
      </c>
      <c r="K1305" s="84" t="e">
        <f>VLOOKUP(Table13[[#This Row],[kbli5]],kata_kunci!$B:$H,7,FALSE)</f>
        <v>#N/A</v>
      </c>
    </row>
    <row r="1306" spans="1:11" ht="30.75" thickBot="1" x14ac:dyDescent="0.3">
      <c r="A1306" s="53" t="s">
        <v>1520</v>
      </c>
      <c r="B1306" s="40">
        <v>78102</v>
      </c>
      <c r="C1306" s="41" t="s">
        <v>1541</v>
      </c>
      <c r="D1306" s="30" t="e">
        <f>VLOOKUP(Table13[[#This Row],[kbli5]],Table1[[#All],[kbli5]:[digital_hijau]],3,)</f>
        <v>#N/A</v>
      </c>
      <c r="E1306" s="53" t="e">
        <f>VLOOKUP(Table13[[#This Row],[kbli5]],kata_kunci!$B:$H,4,FALSE)</f>
        <v>#N/A</v>
      </c>
      <c r="F1306" s="53" t="e">
        <f>VLOOKUP(Table13[[#This Row],[kbli5]],Table1[[#All],[kbli5]:[digital_hijau]],5,)</f>
        <v>#N/A</v>
      </c>
      <c r="G1306" s="53" t="e">
        <f>VLOOKUP(Table13[[#This Row],[kbli5]],Table1[[#All],[kbli5]:[digital_hijau]],6,)</f>
        <v>#N/A</v>
      </c>
      <c r="H1306" s="54" t="e">
        <f>VLOOKUP(Table13[[#This Row],[kbli5]],kata_kunci!$B:$H,3,FALSE)</f>
        <v>#N/A</v>
      </c>
      <c r="I1306" s="84" t="e">
        <f>VLOOKUP(Table13[[#This Row],[kbli5]],kata_kunci!$B:$H,5,FALSE)</f>
        <v>#N/A</v>
      </c>
      <c r="J1306" s="84" t="e">
        <f>VLOOKUP(Table13[[#This Row],[kbli5]],kata_kunci!$B:$H,6,FALSE)</f>
        <v>#N/A</v>
      </c>
      <c r="K1306" s="84" t="e">
        <f>VLOOKUP(Table13[[#This Row],[kbli5]],kata_kunci!$B:$H,7,FALSE)</f>
        <v>#N/A</v>
      </c>
    </row>
    <row r="1307" spans="1:11" ht="45.75" thickBot="1" x14ac:dyDescent="0.3">
      <c r="A1307" s="53" t="s">
        <v>1520</v>
      </c>
      <c r="B1307" s="40">
        <v>78103</v>
      </c>
      <c r="C1307" s="41" t="s">
        <v>1542</v>
      </c>
      <c r="D1307" s="30" t="e">
        <f>VLOOKUP(Table13[[#This Row],[kbli5]],Table1[[#All],[kbli5]:[digital_hijau]],3,)</f>
        <v>#N/A</v>
      </c>
      <c r="E1307" s="53" t="e">
        <f>VLOOKUP(Table13[[#This Row],[kbli5]],kata_kunci!$B:$H,4,FALSE)</f>
        <v>#N/A</v>
      </c>
      <c r="F1307" s="53" t="e">
        <f>VLOOKUP(Table13[[#This Row],[kbli5]],Table1[[#All],[kbli5]:[digital_hijau]],5,)</f>
        <v>#N/A</v>
      </c>
      <c r="G1307" s="53" t="e">
        <f>VLOOKUP(Table13[[#This Row],[kbli5]],Table1[[#All],[kbli5]:[digital_hijau]],6,)</f>
        <v>#N/A</v>
      </c>
      <c r="H1307" s="54" t="e">
        <f>VLOOKUP(Table13[[#This Row],[kbli5]],kata_kunci!$B:$H,3,FALSE)</f>
        <v>#N/A</v>
      </c>
      <c r="I1307" s="84" t="e">
        <f>VLOOKUP(Table13[[#This Row],[kbli5]],kata_kunci!$B:$H,5,FALSE)</f>
        <v>#N/A</v>
      </c>
      <c r="J1307" s="84" t="e">
        <f>VLOOKUP(Table13[[#This Row],[kbli5]],kata_kunci!$B:$H,6,FALSE)</f>
        <v>#N/A</v>
      </c>
      <c r="K1307" s="84" t="e">
        <f>VLOOKUP(Table13[[#This Row],[kbli5]],kata_kunci!$B:$H,7,FALSE)</f>
        <v>#N/A</v>
      </c>
    </row>
    <row r="1308" spans="1:11" ht="30.75" thickBot="1" x14ac:dyDescent="0.3">
      <c r="A1308" s="53" t="s">
        <v>1520</v>
      </c>
      <c r="B1308" s="40">
        <v>78104</v>
      </c>
      <c r="C1308" s="41" t="s">
        <v>1543</v>
      </c>
      <c r="D1308" s="30" t="e">
        <f>VLOOKUP(Table13[[#This Row],[kbli5]],Table1[[#All],[kbli5]:[digital_hijau]],3,)</f>
        <v>#N/A</v>
      </c>
      <c r="E1308" s="53" t="e">
        <f>VLOOKUP(Table13[[#This Row],[kbli5]],kata_kunci!$B:$H,4,FALSE)</f>
        <v>#N/A</v>
      </c>
      <c r="F1308" s="53" t="e">
        <f>VLOOKUP(Table13[[#This Row],[kbli5]],Table1[[#All],[kbli5]:[digital_hijau]],5,)</f>
        <v>#N/A</v>
      </c>
      <c r="G1308" s="53" t="e">
        <f>VLOOKUP(Table13[[#This Row],[kbli5]],Table1[[#All],[kbli5]:[digital_hijau]],6,)</f>
        <v>#N/A</v>
      </c>
      <c r="H1308" s="54" t="e">
        <f>VLOOKUP(Table13[[#This Row],[kbli5]],kata_kunci!$B:$H,3,FALSE)</f>
        <v>#N/A</v>
      </c>
      <c r="I1308" s="84" t="e">
        <f>VLOOKUP(Table13[[#This Row],[kbli5]],kata_kunci!$B:$H,5,FALSE)</f>
        <v>#N/A</v>
      </c>
      <c r="J1308" s="84" t="e">
        <f>VLOOKUP(Table13[[#This Row],[kbli5]],kata_kunci!$B:$H,6,FALSE)</f>
        <v>#N/A</v>
      </c>
      <c r="K1308" s="84" t="e">
        <f>VLOOKUP(Table13[[#This Row],[kbli5]],kata_kunci!$B:$H,7,FALSE)</f>
        <v>#N/A</v>
      </c>
    </row>
    <row r="1309" spans="1:11" ht="45.75" thickBot="1" x14ac:dyDescent="0.3">
      <c r="A1309" s="53" t="s">
        <v>1520</v>
      </c>
      <c r="B1309" s="40">
        <v>78105</v>
      </c>
      <c r="C1309" s="41" t="s">
        <v>1544</v>
      </c>
      <c r="D1309" s="30" t="e">
        <f>VLOOKUP(Table13[[#This Row],[kbli5]],Table1[[#All],[kbli5]:[digital_hijau]],3,)</f>
        <v>#N/A</v>
      </c>
      <c r="E1309" s="53" t="e">
        <f>VLOOKUP(Table13[[#This Row],[kbli5]],kata_kunci!$B:$H,4,FALSE)</f>
        <v>#N/A</v>
      </c>
      <c r="F1309" s="53" t="e">
        <f>VLOOKUP(Table13[[#This Row],[kbli5]],Table1[[#All],[kbli5]:[digital_hijau]],5,)</f>
        <v>#N/A</v>
      </c>
      <c r="G1309" s="53" t="e">
        <f>VLOOKUP(Table13[[#This Row],[kbli5]],Table1[[#All],[kbli5]:[digital_hijau]],6,)</f>
        <v>#N/A</v>
      </c>
      <c r="H1309" s="54" t="e">
        <f>VLOOKUP(Table13[[#This Row],[kbli5]],kata_kunci!$B:$H,3,FALSE)</f>
        <v>#N/A</v>
      </c>
      <c r="I1309" s="84" t="e">
        <f>VLOOKUP(Table13[[#This Row],[kbli5]],kata_kunci!$B:$H,5,FALSE)</f>
        <v>#N/A</v>
      </c>
      <c r="J1309" s="84" t="e">
        <f>VLOOKUP(Table13[[#This Row],[kbli5]],kata_kunci!$B:$H,6,FALSE)</f>
        <v>#N/A</v>
      </c>
      <c r="K1309" s="84" t="e">
        <f>VLOOKUP(Table13[[#This Row],[kbli5]],kata_kunci!$B:$H,7,FALSE)</f>
        <v>#N/A</v>
      </c>
    </row>
    <row r="1310" spans="1:11" ht="30.75" thickBot="1" x14ac:dyDescent="0.3">
      <c r="A1310" s="53" t="s">
        <v>1520</v>
      </c>
      <c r="B1310" s="40">
        <v>78109</v>
      </c>
      <c r="C1310" s="41" t="s">
        <v>1545</v>
      </c>
      <c r="D1310" s="30" t="e">
        <f>VLOOKUP(Table13[[#This Row],[kbli5]],Table1[[#All],[kbli5]:[digital_hijau]],3,)</f>
        <v>#N/A</v>
      </c>
      <c r="E1310" s="53" t="e">
        <f>VLOOKUP(Table13[[#This Row],[kbli5]],kata_kunci!$B:$H,4,FALSE)</f>
        <v>#N/A</v>
      </c>
      <c r="F1310" s="53" t="e">
        <f>VLOOKUP(Table13[[#This Row],[kbli5]],Table1[[#All],[kbli5]:[digital_hijau]],5,)</f>
        <v>#N/A</v>
      </c>
      <c r="G1310" s="53" t="e">
        <f>VLOOKUP(Table13[[#This Row],[kbli5]],Table1[[#All],[kbli5]:[digital_hijau]],6,)</f>
        <v>#N/A</v>
      </c>
      <c r="H1310" s="54" t="e">
        <f>VLOOKUP(Table13[[#This Row],[kbli5]],kata_kunci!$B:$H,3,FALSE)</f>
        <v>#N/A</v>
      </c>
      <c r="I1310" s="84" t="e">
        <f>VLOOKUP(Table13[[#This Row],[kbli5]],kata_kunci!$B:$H,5,FALSE)</f>
        <v>#N/A</v>
      </c>
      <c r="J1310" s="84" t="e">
        <f>VLOOKUP(Table13[[#This Row],[kbli5]],kata_kunci!$B:$H,6,FALSE)</f>
        <v>#N/A</v>
      </c>
      <c r="K1310" s="84" t="e">
        <f>VLOOKUP(Table13[[#This Row],[kbli5]],kata_kunci!$B:$H,7,FALSE)</f>
        <v>#N/A</v>
      </c>
    </row>
    <row r="1311" spans="1:11" ht="45.75" thickBot="1" x14ac:dyDescent="0.3">
      <c r="A1311" s="53" t="s">
        <v>1520</v>
      </c>
      <c r="B1311" s="40">
        <v>78200</v>
      </c>
      <c r="C1311" s="41" t="s">
        <v>1546</v>
      </c>
      <c r="D1311" s="30" t="e">
        <f>VLOOKUP(Table13[[#This Row],[kbli5]],Table1[[#All],[kbli5]:[digital_hijau]],3,)</f>
        <v>#N/A</v>
      </c>
      <c r="E1311" s="53" t="e">
        <f>VLOOKUP(Table13[[#This Row],[kbli5]],kata_kunci!$B:$H,4,FALSE)</f>
        <v>#N/A</v>
      </c>
      <c r="F1311" s="53" t="e">
        <f>VLOOKUP(Table13[[#This Row],[kbli5]],Table1[[#All],[kbli5]:[digital_hijau]],5,)</f>
        <v>#N/A</v>
      </c>
      <c r="G1311" s="53" t="e">
        <f>VLOOKUP(Table13[[#This Row],[kbli5]],Table1[[#All],[kbli5]:[digital_hijau]],6,)</f>
        <v>#N/A</v>
      </c>
      <c r="H1311" s="54" t="e">
        <f>VLOOKUP(Table13[[#This Row],[kbli5]],kata_kunci!$B:$H,3,FALSE)</f>
        <v>#N/A</v>
      </c>
      <c r="I1311" s="84" t="e">
        <f>VLOOKUP(Table13[[#This Row],[kbli5]],kata_kunci!$B:$H,5,FALSE)</f>
        <v>#N/A</v>
      </c>
      <c r="J1311" s="84" t="e">
        <f>VLOOKUP(Table13[[#This Row],[kbli5]],kata_kunci!$B:$H,6,FALSE)</f>
        <v>#N/A</v>
      </c>
      <c r="K1311" s="84" t="e">
        <f>VLOOKUP(Table13[[#This Row],[kbli5]],kata_kunci!$B:$H,7,FALSE)</f>
        <v>#N/A</v>
      </c>
    </row>
    <row r="1312" spans="1:11" ht="30.75" thickBot="1" x14ac:dyDescent="0.3">
      <c r="A1312" s="53" t="s">
        <v>1520</v>
      </c>
      <c r="B1312" s="40">
        <v>79110</v>
      </c>
      <c r="C1312" s="41" t="s">
        <v>1547</v>
      </c>
      <c r="D1312" s="30" t="e">
        <f>VLOOKUP(Table13[[#This Row],[kbli5]],Table1[[#All],[kbli5]:[digital_hijau]],3,)</f>
        <v>#N/A</v>
      </c>
      <c r="E1312" s="53" t="e">
        <f>VLOOKUP(Table13[[#This Row],[kbli5]],kata_kunci!$B:$H,4,FALSE)</f>
        <v>#N/A</v>
      </c>
      <c r="F1312" s="53" t="e">
        <f>VLOOKUP(Table13[[#This Row],[kbli5]],Table1[[#All],[kbli5]:[digital_hijau]],5,)</f>
        <v>#N/A</v>
      </c>
      <c r="G1312" s="53" t="e">
        <f>VLOOKUP(Table13[[#This Row],[kbli5]],Table1[[#All],[kbli5]:[digital_hijau]],6,)</f>
        <v>#N/A</v>
      </c>
      <c r="H1312" s="54" t="e">
        <f>VLOOKUP(Table13[[#This Row],[kbli5]],kata_kunci!$B:$H,3,FALSE)</f>
        <v>#N/A</v>
      </c>
      <c r="I1312" s="84" t="e">
        <f>VLOOKUP(Table13[[#This Row],[kbli5]],kata_kunci!$B:$H,5,FALSE)</f>
        <v>#N/A</v>
      </c>
      <c r="J1312" s="84" t="e">
        <f>VLOOKUP(Table13[[#This Row],[kbli5]],kata_kunci!$B:$H,6,FALSE)</f>
        <v>#N/A</v>
      </c>
      <c r="K1312" s="84" t="e">
        <f>VLOOKUP(Table13[[#This Row],[kbli5]],kata_kunci!$B:$H,7,FALSE)</f>
        <v>#N/A</v>
      </c>
    </row>
    <row r="1313" spans="1:11" ht="30.75" thickBot="1" x14ac:dyDescent="0.3">
      <c r="A1313" s="53" t="s">
        <v>1520</v>
      </c>
      <c r="B1313" s="40">
        <v>79121</v>
      </c>
      <c r="C1313" s="41" t="s">
        <v>1548</v>
      </c>
      <c r="D1313" s="30" t="e">
        <f>VLOOKUP(Table13[[#This Row],[kbli5]],Table1[[#All],[kbli5]:[digital_hijau]],3,)</f>
        <v>#N/A</v>
      </c>
      <c r="E1313" s="53" t="e">
        <f>VLOOKUP(Table13[[#This Row],[kbli5]],kata_kunci!$B:$H,4,FALSE)</f>
        <v>#N/A</v>
      </c>
      <c r="F1313" s="53" t="e">
        <f>VLOOKUP(Table13[[#This Row],[kbli5]],Table1[[#All],[kbli5]:[digital_hijau]],5,)</f>
        <v>#N/A</v>
      </c>
      <c r="G1313" s="53" t="e">
        <f>VLOOKUP(Table13[[#This Row],[kbli5]],Table1[[#All],[kbli5]:[digital_hijau]],6,)</f>
        <v>#N/A</v>
      </c>
      <c r="H1313" s="54" t="e">
        <f>VLOOKUP(Table13[[#This Row],[kbli5]],kata_kunci!$B:$H,3,FALSE)</f>
        <v>#N/A</v>
      </c>
      <c r="I1313" s="84" t="e">
        <f>VLOOKUP(Table13[[#This Row],[kbli5]],kata_kunci!$B:$H,5,FALSE)</f>
        <v>#N/A</v>
      </c>
      <c r="J1313" s="84" t="e">
        <f>VLOOKUP(Table13[[#This Row],[kbli5]],kata_kunci!$B:$H,6,FALSE)</f>
        <v>#N/A</v>
      </c>
      <c r="K1313" s="84" t="e">
        <f>VLOOKUP(Table13[[#This Row],[kbli5]],kata_kunci!$B:$H,7,FALSE)</f>
        <v>#N/A</v>
      </c>
    </row>
    <row r="1314" spans="1:11" ht="45.75" thickBot="1" x14ac:dyDescent="0.3">
      <c r="A1314" s="53" t="s">
        <v>1520</v>
      </c>
      <c r="B1314" s="40">
        <v>79122</v>
      </c>
      <c r="C1314" s="41" t="s">
        <v>1549</v>
      </c>
      <c r="D1314" s="30" t="e">
        <f>VLOOKUP(Table13[[#This Row],[kbli5]],Table1[[#All],[kbli5]:[digital_hijau]],3,)</f>
        <v>#N/A</v>
      </c>
      <c r="E1314" s="53" t="e">
        <f>VLOOKUP(Table13[[#This Row],[kbli5]],kata_kunci!$B:$H,4,FALSE)</f>
        <v>#N/A</v>
      </c>
      <c r="F1314" s="53" t="e">
        <f>VLOOKUP(Table13[[#This Row],[kbli5]],Table1[[#All],[kbli5]:[digital_hijau]],5,)</f>
        <v>#N/A</v>
      </c>
      <c r="G1314" s="53" t="e">
        <f>VLOOKUP(Table13[[#This Row],[kbli5]],Table1[[#All],[kbli5]:[digital_hijau]],6,)</f>
        <v>#N/A</v>
      </c>
      <c r="H1314" s="54" t="e">
        <f>VLOOKUP(Table13[[#This Row],[kbli5]],kata_kunci!$B:$H,3,FALSE)</f>
        <v>#N/A</v>
      </c>
      <c r="I1314" s="84" t="e">
        <f>VLOOKUP(Table13[[#This Row],[kbli5]],kata_kunci!$B:$H,5,FALSE)</f>
        <v>#N/A</v>
      </c>
      <c r="J1314" s="84" t="e">
        <f>VLOOKUP(Table13[[#This Row],[kbli5]],kata_kunci!$B:$H,6,FALSE)</f>
        <v>#N/A</v>
      </c>
      <c r="K1314" s="84" t="e">
        <f>VLOOKUP(Table13[[#This Row],[kbli5]],kata_kunci!$B:$H,7,FALSE)</f>
        <v>#N/A</v>
      </c>
    </row>
    <row r="1315" spans="1:11" ht="30.75" thickBot="1" x14ac:dyDescent="0.3">
      <c r="A1315" s="53" t="s">
        <v>1520</v>
      </c>
      <c r="B1315" s="40">
        <v>79129</v>
      </c>
      <c r="C1315" s="41" t="s">
        <v>1550</v>
      </c>
      <c r="D1315" s="30" t="e">
        <f>VLOOKUP(Table13[[#This Row],[kbli5]],Table1[[#All],[kbli5]:[digital_hijau]],3,)</f>
        <v>#N/A</v>
      </c>
      <c r="E1315" s="53" t="e">
        <f>VLOOKUP(Table13[[#This Row],[kbli5]],kata_kunci!$B:$H,4,FALSE)</f>
        <v>#N/A</v>
      </c>
      <c r="F1315" s="53" t="e">
        <f>VLOOKUP(Table13[[#This Row],[kbli5]],Table1[[#All],[kbli5]:[digital_hijau]],5,)</f>
        <v>#N/A</v>
      </c>
      <c r="G1315" s="53" t="e">
        <f>VLOOKUP(Table13[[#This Row],[kbli5]],Table1[[#All],[kbli5]:[digital_hijau]],6,)</f>
        <v>#N/A</v>
      </c>
      <c r="H1315" s="54" t="e">
        <f>VLOOKUP(Table13[[#This Row],[kbli5]],kata_kunci!$B:$H,3,FALSE)</f>
        <v>#N/A</v>
      </c>
      <c r="I1315" s="84" t="e">
        <f>VLOOKUP(Table13[[#This Row],[kbli5]],kata_kunci!$B:$H,5,FALSE)</f>
        <v>#N/A</v>
      </c>
      <c r="J1315" s="84" t="e">
        <f>VLOOKUP(Table13[[#This Row],[kbli5]],kata_kunci!$B:$H,6,FALSE)</f>
        <v>#N/A</v>
      </c>
      <c r="K1315" s="84" t="e">
        <f>VLOOKUP(Table13[[#This Row],[kbli5]],kata_kunci!$B:$H,7,FALSE)</f>
        <v>#N/A</v>
      </c>
    </row>
    <row r="1316" spans="1:11" ht="30.75" thickBot="1" x14ac:dyDescent="0.3">
      <c r="A1316" s="53" t="s">
        <v>1520</v>
      </c>
      <c r="B1316" s="40">
        <v>79901</v>
      </c>
      <c r="C1316" s="41" t="s">
        <v>1551</v>
      </c>
      <c r="D1316" s="30" t="e">
        <f>VLOOKUP(Table13[[#This Row],[kbli5]],Table1[[#All],[kbli5]:[digital_hijau]],3,)</f>
        <v>#N/A</v>
      </c>
      <c r="E1316" s="53" t="e">
        <f>VLOOKUP(Table13[[#This Row],[kbli5]],kata_kunci!$B:$H,4,FALSE)</f>
        <v>#N/A</v>
      </c>
      <c r="F1316" s="53" t="e">
        <f>VLOOKUP(Table13[[#This Row],[kbli5]],Table1[[#All],[kbli5]:[digital_hijau]],5,)</f>
        <v>#N/A</v>
      </c>
      <c r="G1316" s="53" t="e">
        <f>VLOOKUP(Table13[[#This Row],[kbli5]],Table1[[#All],[kbli5]:[digital_hijau]],6,)</f>
        <v>#N/A</v>
      </c>
      <c r="H1316" s="54" t="e">
        <f>VLOOKUP(Table13[[#This Row],[kbli5]],kata_kunci!$B:$H,3,FALSE)</f>
        <v>#N/A</v>
      </c>
      <c r="I1316" s="84" t="e">
        <f>VLOOKUP(Table13[[#This Row],[kbli5]],kata_kunci!$B:$H,5,FALSE)</f>
        <v>#N/A</v>
      </c>
      <c r="J1316" s="84" t="e">
        <f>VLOOKUP(Table13[[#This Row],[kbli5]],kata_kunci!$B:$H,6,FALSE)</f>
        <v>#N/A</v>
      </c>
      <c r="K1316" s="84" t="e">
        <f>VLOOKUP(Table13[[#This Row],[kbli5]],kata_kunci!$B:$H,7,FALSE)</f>
        <v>#N/A</v>
      </c>
    </row>
    <row r="1317" spans="1:11" ht="30.75" thickBot="1" x14ac:dyDescent="0.3">
      <c r="A1317" s="53" t="s">
        <v>1520</v>
      </c>
      <c r="B1317" s="40">
        <v>79902</v>
      </c>
      <c r="C1317" s="41" t="s">
        <v>1552</v>
      </c>
      <c r="D1317" s="30" t="e">
        <f>VLOOKUP(Table13[[#This Row],[kbli5]],Table1[[#All],[kbli5]:[digital_hijau]],3,)</f>
        <v>#N/A</v>
      </c>
      <c r="E1317" s="53" t="e">
        <f>VLOOKUP(Table13[[#This Row],[kbli5]],kata_kunci!$B:$H,4,FALSE)</f>
        <v>#N/A</v>
      </c>
      <c r="F1317" s="53" t="e">
        <f>VLOOKUP(Table13[[#This Row],[kbli5]],Table1[[#All],[kbli5]:[digital_hijau]],5,)</f>
        <v>#N/A</v>
      </c>
      <c r="G1317" s="53" t="e">
        <f>VLOOKUP(Table13[[#This Row],[kbli5]],Table1[[#All],[kbli5]:[digital_hijau]],6,)</f>
        <v>#N/A</v>
      </c>
      <c r="H1317" s="54" t="e">
        <f>VLOOKUP(Table13[[#This Row],[kbli5]],kata_kunci!$B:$H,3,FALSE)</f>
        <v>#N/A</v>
      </c>
      <c r="I1317" s="84" t="e">
        <f>VLOOKUP(Table13[[#This Row],[kbli5]],kata_kunci!$B:$H,5,FALSE)</f>
        <v>#N/A</v>
      </c>
      <c r="J1317" s="84" t="e">
        <f>VLOOKUP(Table13[[#This Row],[kbli5]],kata_kunci!$B:$H,6,FALSE)</f>
        <v>#N/A</v>
      </c>
      <c r="K1317" s="84" t="e">
        <f>VLOOKUP(Table13[[#This Row],[kbli5]],kata_kunci!$B:$H,7,FALSE)</f>
        <v>#N/A</v>
      </c>
    </row>
    <row r="1318" spans="1:11" ht="15.75" thickBot="1" x14ac:dyDescent="0.3">
      <c r="A1318" s="53" t="s">
        <v>1520</v>
      </c>
      <c r="B1318" s="40">
        <v>79903</v>
      </c>
      <c r="C1318" s="41" t="s">
        <v>1553</v>
      </c>
      <c r="D1318" s="30" t="e">
        <f>VLOOKUP(Table13[[#This Row],[kbli5]],Table1[[#All],[kbli5]:[digital_hijau]],3,)</f>
        <v>#N/A</v>
      </c>
      <c r="E1318" s="53" t="e">
        <f>VLOOKUP(Table13[[#This Row],[kbli5]],kata_kunci!$B:$H,4,FALSE)</f>
        <v>#N/A</v>
      </c>
      <c r="F1318" s="53" t="e">
        <f>VLOOKUP(Table13[[#This Row],[kbli5]],Table1[[#All],[kbli5]:[digital_hijau]],5,)</f>
        <v>#N/A</v>
      </c>
      <c r="G1318" s="53" t="e">
        <f>VLOOKUP(Table13[[#This Row],[kbli5]],Table1[[#All],[kbli5]:[digital_hijau]],6,)</f>
        <v>#N/A</v>
      </c>
      <c r="H1318" s="54" t="e">
        <f>VLOOKUP(Table13[[#This Row],[kbli5]],kata_kunci!$B:$H,3,FALSE)</f>
        <v>#N/A</v>
      </c>
      <c r="I1318" s="84" t="e">
        <f>VLOOKUP(Table13[[#This Row],[kbli5]],kata_kunci!$B:$H,5,FALSE)</f>
        <v>#N/A</v>
      </c>
      <c r="J1318" s="84" t="e">
        <f>VLOOKUP(Table13[[#This Row],[kbli5]],kata_kunci!$B:$H,6,FALSE)</f>
        <v>#N/A</v>
      </c>
      <c r="K1318" s="84" t="e">
        <f>VLOOKUP(Table13[[#This Row],[kbli5]],kata_kunci!$B:$H,7,FALSE)</f>
        <v>#N/A</v>
      </c>
    </row>
    <row r="1319" spans="1:11" ht="30.75" thickBot="1" x14ac:dyDescent="0.3">
      <c r="A1319" s="53" t="s">
        <v>1520</v>
      </c>
      <c r="B1319" s="40">
        <v>79909</v>
      </c>
      <c r="C1319" s="41" t="s">
        <v>1554</v>
      </c>
      <c r="D1319" s="30" t="e">
        <f>VLOOKUP(Table13[[#This Row],[kbli5]],Table1[[#All],[kbli5]:[digital_hijau]],3,)</f>
        <v>#N/A</v>
      </c>
      <c r="E1319" s="53" t="e">
        <f>VLOOKUP(Table13[[#This Row],[kbli5]],kata_kunci!$B:$H,4,FALSE)</f>
        <v>#N/A</v>
      </c>
      <c r="F1319" s="53" t="e">
        <f>VLOOKUP(Table13[[#This Row],[kbli5]],Table1[[#All],[kbli5]:[digital_hijau]],5,)</f>
        <v>#N/A</v>
      </c>
      <c r="G1319" s="53" t="e">
        <f>VLOOKUP(Table13[[#This Row],[kbli5]],Table1[[#All],[kbli5]:[digital_hijau]],6,)</f>
        <v>#N/A</v>
      </c>
      <c r="H1319" s="54" t="e">
        <f>VLOOKUP(Table13[[#This Row],[kbli5]],kata_kunci!$B:$H,3,FALSE)</f>
        <v>#N/A</v>
      </c>
      <c r="I1319" s="84" t="e">
        <f>VLOOKUP(Table13[[#This Row],[kbli5]],kata_kunci!$B:$H,5,FALSE)</f>
        <v>#N/A</v>
      </c>
      <c r="J1319" s="84" t="e">
        <f>VLOOKUP(Table13[[#This Row],[kbli5]],kata_kunci!$B:$H,6,FALSE)</f>
        <v>#N/A</v>
      </c>
      <c r="K1319" s="84" t="e">
        <f>VLOOKUP(Table13[[#This Row],[kbli5]],kata_kunci!$B:$H,7,FALSE)</f>
        <v>#N/A</v>
      </c>
    </row>
    <row r="1320" spans="1:11" ht="30.75" thickBot="1" x14ac:dyDescent="0.3">
      <c r="A1320" s="53" t="s">
        <v>1520</v>
      </c>
      <c r="B1320" s="40">
        <v>80110</v>
      </c>
      <c r="C1320" s="41" t="s">
        <v>1555</v>
      </c>
      <c r="D1320" s="30" t="e">
        <f>VLOOKUP(Table13[[#This Row],[kbli5]],Table1[[#All],[kbli5]:[digital_hijau]],3,)</f>
        <v>#N/A</v>
      </c>
      <c r="E1320" s="53" t="e">
        <f>VLOOKUP(Table13[[#This Row],[kbli5]],kata_kunci!$B:$H,4,FALSE)</f>
        <v>#N/A</v>
      </c>
      <c r="F1320" s="53" t="e">
        <f>VLOOKUP(Table13[[#This Row],[kbli5]],Table1[[#All],[kbli5]:[digital_hijau]],5,)</f>
        <v>#N/A</v>
      </c>
      <c r="G1320" s="53" t="e">
        <f>VLOOKUP(Table13[[#This Row],[kbli5]],Table1[[#All],[kbli5]:[digital_hijau]],6,)</f>
        <v>#N/A</v>
      </c>
      <c r="H1320" s="54" t="e">
        <f>VLOOKUP(Table13[[#This Row],[kbli5]],kata_kunci!$B:$H,3,FALSE)</f>
        <v>#N/A</v>
      </c>
      <c r="I1320" s="84" t="e">
        <f>VLOOKUP(Table13[[#This Row],[kbli5]],kata_kunci!$B:$H,5,FALSE)</f>
        <v>#N/A</v>
      </c>
      <c r="J1320" s="84" t="e">
        <f>VLOOKUP(Table13[[#This Row],[kbli5]],kata_kunci!$B:$H,6,FALSE)</f>
        <v>#N/A</v>
      </c>
      <c r="K1320" s="84" t="e">
        <f>VLOOKUP(Table13[[#This Row],[kbli5]],kata_kunci!$B:$H,7,FALSE)</f>
        <v>#N/A</v>
      </c>
    </row>
    <row r="1321" spans="1:11" ht="15.75" thickBot="1" x14ac:dyDescent="0.3">
      <c r="A1321" s="53" t="s">
        <v>1520</v>
      </c>
      <c r="B1321" s="40">
        <v>80190</v>
      </c>
      <c r="C1321" s="41" t="s">
        <v>1556</v>
      </c>
      <c r="D1321" s="30" t="e">
        <f>VLOOKUP(Table13[[#This Row],[kbli5]],Table1[[#All],[kbli5]:[digital_hijau]],3,)</f>
        <v>#N/A</v>
      </c>
      <c r="E1321" s="53" t="e">
        <f>VLOOKUP(Table13[[#This Row],[kbli5]],kata_kunci!$B:$H,4,FALSE)</f>
        <v>#N/A</v>
      </c>
      <c r="F1321" s="53" t="e">
        <f>VLOOKUP(Table13[[#This Row],[kbli5]],Table1[[#All],[kbli5]:[digital_hijau]],5,)</f>
        <v>#N/A</v>
      </c>
      <c r="G1321" s="53" t="e">
        <f>VLOOKUP(Table13[[#This Row],[kbli5]],Table1[[#All],[kbli5]:[digital_hijau]],6,)</f>
        <v>#N/A</v>
      </c>
      <c r="H1321" s="54" t="e">
        <f>VLOOKUP(Table13[[#This Row],[kbli5]],kata_kunci!$B:$H,3,FALSE)</f>
        <v>#N/A</v>
      </c>
      <c r="I1321" s="84" t="e">
        <f>VLOOKUP(Table13[[#This Row],[kbli5]],kata_kunci!$B:$H,5,FALSE)</f>
        <v>#N/A</v>
      </c>
      <c r="J1321" s="84" t="e">
        <f>VLOOKUP(Table13[[#This Row],[kbli5]],kata_kunci!$B:$H,6,FALSE)</f>
        <v>#N/A</v>
      </c>
      <c r="K1321" s="84" t="e">
        <f>VLOOKUP(Table13[[#This Row],[kbli5]],kata_kunci!$B:$H,7,FALSE)</f>
        <v>#N/A</v>
      </c>
    </row>
    <row r="1322" spans="1:11" ht="45.75" thickBot="1" x14ac:dyDescent="0.3">
      <c r="A1322" s="53" t="s">
        <v>1520</v>
      </c>
      <c r="B1322" s="40">
        <v>81100</v>
      </c>
      <c r="C1322" s="41" t="s">
        <v>1557</v>
      </c>
      <c r="D1322" s="30" t="e">
        <f>VLOOKUP(Table13[[#This Row],[kbli5]],Table1[[#All],[kbli5]:[digital_hijau]],3,)</f>
        <v>#N/A</v>
      </c>
      <c r="E1322" s="53" t="e">
        <f>VLOOKUP(Table13[[#This Row],[kbli5]],kata_kunci!$B:$H,4,FALSE)</f>
        <v>#N/A</v>
      </c>
      <c r="F1322" s="53" t="e">
        <f>VLOOKUP(Table13[[#This Row],[kbli5]],Table1[[#All],[kbli5]:[digital_hijau]],5,)</f>
        <v>#N/A</v>
      </c>
      <c r="G1322" s="53" t="e">
        <f>VLOOKUP(Table13[[#This Row],[kbli5]],Table1[[#All],[kbli5]:[digital_hijau]],6,)</f>
        <v>#N/A</v>
      </c>
      <c r="H1322" s="54" t="e">
        <f>VLOOKUP(Table13[[#This Row],[kbli5]],kata_kunci!$B:$H,3,FALSE)</f>
        <v>#N/A</v>
      </c>
      <c r="I1322" s="84" t="e">
        <f>VLOOKUP(Table13[[#This Row],[kbli5]],kata_kunci!$B:$H,5,FALSE)</f>
        <v>#N/A</v>
      </c>
      <c r="J1322" s="84" t="e">
        <f>VLOOKUP(Table13[[#This Row],[kbli5]],kata_kunci!$B:$H,6,FALSE)</f>
        <v>#N/A</v>
      </c>
      <c r="K1322" s="84" t="e">
        <f>VLOOKUP(Table13[[#This Row],[kbli5]],kata_kunci!$B:$H,7,FALSE)</f>
        <v>#N/A</v>
      </c>
    </row>
    <row r="1323" spans="1:11" ht="30.75" thickBot="1" x14ac:dyDescent="0.3">
      <c r="A1323" s="53" t="s">
        <v>1520</v>
      </c>
      <c r="B1323" s="40">
        <v>81210</v>
      </c>
      <c r="C1323" s="41" t="s">
        <v>1558</v>
      </c>
      <c r="D1323" s="30" t="e">
        <f>VLOOKUP(Table13[[#This Row],[kbli5]],Table1[[#All],[kbli5]:[digital_hijau]],3,)</f>
        <v>#N/A</v>
      </c>
      <c r="E1323" s="53" t="e">
        <f>VLOOKUP(Table13[[#This Row],[kbli5]],kata_kunci!$B:$H,4,FALSE)</f>
        <v>#N/A</v>
      </c>
      <c r="F1323" s="53" t="e">
        <f>VLOOKUP(Table13[[#This Row],[kbli5]],Table1[[#All],[kbli5]:[digital_hijau]],5,)</f>
        <v>#N/A</v>
      </c>
      <c r="G1323" s="53" t="e">
        <f>VLOOKUP(Table13[[#This Row],[kbli5]],Table1[[#All],[kbli5]:[digital_hijau]],6,)</f>
        <v>#N/A</v>
      </c>
      <c r="H1323" s="54" t="e">
        <f>VLOOKUP(Table13[[#This Row],[kbli5]],kata_kunci!$B:$H,3,FALSE)</f>
        <v>#N/A</v>
      </c>
      <c r="I1323" s="84" t="e">
        <f>VLOOKUP(Table13[[#This Row],[kbli5]],kata_kunci!$B:$H,5,FALSE)</f>
        <v>#N/A</v>
      </c>
      <c r="J1323" s="84" t="e">
        <f>VLOOKUP(Table13[[#This Row],[kbli5]],kata_kunci!$B:$H,6,FALSE)</f>
        <v>#N/A</v>
      </c>
      <c r="K1323" s="84" t="e">
        <f>VLOOKUP(Table13[[#This Row],[kbli5]],kata_kunci!$B:$H,7,FALSE)</f>
        <v>#N/A</v>
      </c>
    </row>
    <row r="1324" spans="1:11" ht="30.75" thickBot="1" x14ac:dyDescent="0.3">
      <c r="A1324" s="53" t="s">
        <v>1520</v>
      </c>
      <c r="B1324" s="40">
        <v>81290</v>
      </c>
      <c r="C1324" s="41" t="s">
        <v>1559</v>
      </c>
      <c r="D1324" s="30" t="e">
        <f>VLOOKUP(Table13[[#This Row],[kbli5]],Table1[[#All],[kbli5]:[digital_hijau]],3,)</f>
        <v>#N/A</v>
      </c>
      <c r="E1324" s="53" t="e">
        <f>VLOOKUP(Table13[[#This Row],[kbli5]],kata_kunci!$B:$H,4,FALSE)</f>
        <v>#N/A</v>
      </c>
      <c r="F1324" s="53" t="e">
        <f>VLOOKUP(Table13[[#This Row],[kbli5]],Table1[[#All],[kbli5]:[digital_hijau]],5,)</f>
        <v>#N/A</v>
      </c>
      <c r="G1324" s="53" t="e">
        <f>VLOOKUP(Table13[[#This Row],[kbli5]],Table1[[#All],[kbli5]:[digital_hijau]],6,)</f>
        <v>#N/A</v>
      </c>
      <c r="H1324" s="54" t="e">
        <f>VLOOKUP(Table13[[#This Row],[kbli5]],kata_kunci!$B:$H,3,FALSE)</f>
        <v>#N/A</v>
      </c>
      <c r="I1324" s="84" t="e">
        <f>VLOOKUP(Table13[[#This Row],[kbli5]],kata_kunci!$B:$H,5,FALSE)</f>
        <v>#N/A</v>
      </c>
      <c r="J1324" s="84" t="e">
        <f>VLOOKUP(Table13[[#This Row],[kbli5]],kata_kunci!$B:$H,6,FALSE)</f>
        <v>#N/A</v>
      </c>
      <c r="K1324" s="84" t="e">
        <f>VLOOKUP(Table13[[#This Row],[kbli5]],kata_kunci!$B:$H,7,FALSE)</f>
        <v>#N/A</v>
      </c>
    </row>
    <row r="1325" spans="1:11" ht="15.75" thickBot="1" x14ac:dyDescent="0.3">
      <c r="A1325" s="53" t="s">
        <v>1520</v>
      </c>
      <c r="B1325" s="40">
        <v>81300</v>
      </c>
      <c r="C1325" s="41" t="s">
        <v>1560</v>
      </c>
      <c r="D1325" s="30" t="e">
        <f>VLOOKUP(Table13[[#This Row],[kbli5]],Table1[[#All],[kbli5]:[digital_hijau]],3,)</f>
        <v>#N/A</v>
      </c>
      <c r="E1325" s="53" t="e">
        <f>VLOOKUP(Table13[[#This Row],[kbli5]],kata_kunci!$B:$H,4,FALSE)</f>
        <v>#N/A</v>
      </c>
      <c r="F1325" s="53" t="e">
        <f>VLOOKUP(Table13[[#This Row],[kbli5]],Table1[[#All],[kbli5]:[digital_hijau]],5,)</f>
        <v>#N/A</v>
      </c>
      <c r="G1325" s="53" t="e">
        <f>VLOOKUP(Table13[[#This Row],[kbli5]],Table1[[#All],[kbli5]:[digital_hijau]],6,)</f>
        <v>#N/A</v>
      </c>
      <c r="H1325" s="54" t="e">
        <f>VLOOKUP(Table13[[#This Row],[kbli5]],kata_kunci!$B:$H,3,FALSE)</f>
        <v>#N/A</v>
      </c>
      <c r="I1325" s="84" t="e">
        <f>VLOOKUP(Table13[[#This Row],[kbli5]],kata_kunci!$B:$H,5,FALSE)</f>
        <v>#N/A</v>
      </c>
      <c r="J1325" s="84" t="e">
        <f>VLOOKUP(Table13[[#This Row],[kbli5]],kata_kunci!$B:$H,6,FALSE)</f>
        <v>#N/A</v>
      </c>
      <c r="K1325" s="84" t="e">
        <f>VLOOKUP(Table13[[#This Row],[kbli5]],kata_kunci!$B:$H,7,FALSE)</f>
        <v>#N/A</v>
      </c>
    </row>
    <row r="1326" spans="1:11" ht="45.75" thickBot="1" x14ac:dyDescent="0.3">
      <c r="A1326" s="53" t="s">
        <v>1520</v>
      </c>
      <c r="B1326" s="40">
        <v>82100</v>
      </c>
      <c r="C1326" s="41" t="s">
        <v>1561</v>
      </c>
      <c r="D1326" s="30" t="e">
        <f>VLOOKUP(Table13[[#This Row],[kbli5]],Table1[[#All],[kbli5]:[digital_hijau]],3,)</f>
        <v>#N/A</v>
      </c>
      <c r="E1326" s="53" t="e">
        <f>VLOOKUP(Table13[[#This Row],[kbli5]],kata_kunci!$B:$H,4,FALSE)</f>
        <v>#N/A</v>
      </c>
      <c r="F1326" s="53" t="e">
        <f>VLOOKUP(Table13[[#This Row],[kbli5]],Table1[[#All],[kbli5]:[digital_hijau]],5,)</f>
        <v>#N/A</v>
      </c>
      <c r="G1326" s="53" t="e">
        <f>VLOOKUP(Table13[[#This Row],[kbli5]],Table1[[#All],[kbli5]:[digital_hijau]],6,)</f>
        <v>#N/A</v>
      </c>
      <c r="H1326" s="54" t="e">
        <f>VLOOKUP(Table13[[#This Row],[kbli5]],kata_kunci!$B:$H,3,FALSE)</f>
        <v>#N/A</v>
      </c>
      <c r="I1326" s="84" t="e">
        <f>VLOOKUP(Table13[[#This Row],[kbli5]],kata_kunci!$B:$H,5,FALSE)</f>
        <v>#N/A</v>
      </c>
      <c r="J1326" s="84" t="e">
        <f>VLOOKUP(Table13[[#This Row],[kbli5]],kata_kunci!$B:$H,6,FALSE)</f>
        <v>#N/A</v>
      </c>
      <c r="K1326" s="84" t="e">
        <f>VLOOKUP(Table13[[#This Row],[kbli5]],kata_kunci!$B:$H,7,FALSE)</f>
        <v>#N/A</v>
      </c>
    </row>
    <row r="1327" spans="1:11" ht="30.75" thickBot="1" x14ac:dyDescent="0.3">
      <c r="A1327" s="53" t="s">
        <v>1520</v>
      </c>
      <c r="B1327" s="40">
        <v>82200</v>
      </c>
      <c r="C1327" s="41" t="s">
        <v>1562</v>
      </c>
      <c r="D1327" s="30" t="e">
        <f>VLOOKUP(Table13[[#This Row],[kbli5]],Table1[[#All],[kbli5]:[digital_hijau]],3,)</f>
        <v>#N/A</v>
      </c>
      <c r="E1327" s="53" t="e">
        <f>VLOOKUP(Table13[[#This Row],[kbli5]],kata_kunci!$B:$H,4,FALSE)</f>
        <v>#N/A</v>
      </c>
      <c r="F1327" s="53" t="e">
        <f>VLOOKUP(Table13[[#This Row],[kbli5]],Table1[[#All],[kbli5]:[digital_hijau]],5,)</f>
        <v>#N/A</v>
      </c>
      <c r="G1327" s="53" t="e">
        <f>VLOOKUP(Table13[[#This Row],[kbli5]],Table1[[#All],[kbli5]:[digital_hijau]],6,)</f>
        <v>#N/A</v>
      </c>
      <c r="H1327" s="54" t="e">
        <f>VLOOKUP(Table13[[#This Row],[kbli5]],kata_kunci!$B:$H,3,FALSE)</f>
        <v>#N/A</v>
      </c>
      <c r="I1327" s="84" t="e">
        <f>VLOOKUP(Table13[[#This Row],[kbli5]],kata_kunci!$B:$H,5,FALSE)</f>
        <v>#N/A</v>
      </c>
      <c r="J1327" s="84" t="e">
        <f>VLOOKUP(Table13[[#This Row],[kbli5]],kata_kunci!$B:$H,6,FALSE)</f>
        <v>#N/A</v>
      </c>
      <c r="K1327" s="84" t="e">
        <f>VLOOKUP(Table13[[#This Row],[kbli5]],kata_kunci!$B:$H,7,FALSE)</f>
        <v>#N/A</v>
      </c>
    </row>
    <row r="1328" spans="1:11" ht="45.75" thickBot="1" x14ac:dyDescent="0.3">
      <c r="A1328" s="53" t="s">
        <v>1520</v>
      </c>
      <c r="B1328" s="40">
        <v>82300</v>
      </c>
      <c r="C1328" s="41" t="s">
        <v>1563</v>
      </c>
      <c r="D1328" s="30" t="e">
        <f>VLOOKUP(Table13[[#This Row],[kbli5]],Table1[[#All],[kbli5]:[digital_hijau]],3,)</f>
        <v>#N/A</v>
      </c>
      <c r="E1328" s="53" t="e">
        <f>VLOOKUP(Table13[[#This Row],[kbli5]],kata_kunci!$B:$H,4,FALSE)</f>
        <v>#N/A</v>
      </c>
      <c r="F1328" s="53" t="e">
        <f>VLOOKUP(Table13[[#This Row],[kbli5]],Table1[[#All],[kbli5]:[digital_hijau]],5,)</f>
        <v>#N/A</v>
      </c>
      <c r="G1328" s="53" t="e">
        <f>VLOOKUP(Table13[[#This Row],[kbli5]],Table1[[#All],[kbli5]:[digital_hijau]],6,)</f>
        <v>#N/A</v>
      </c>
      <c r="H1328" s="54" t="e">
        <f>VLOOKUP(Table13[[#This Row],[kbli5]],kata_kunci!$B:$H,3,FALSE)</f>
        <v>#N/A</v>
      </c>
      <c r="I1328" s="84" t="e">
        <f>VLOOKUP(Table13[[#This Row],[kbli5]],kata_kunci!$B:$H,5,FALSE)</f>
        <v>#N/A</v>
      </c>
      <c r="J1328" s="84" t="e">
        <f>VLOOKUP(Table13[[#This Row],[kbli5]],kata_kunci!$B:$H,6,FALSE)</f>
        <v>#N/A</v>
      </c>
      <c r="K1328" s="84" t="e">
        <f>VLOOKUP(Table13[[#This Row],[kbli5]],kata_kunci!$B:$H,7,FALSE)</f>
        <v>#N/A</v>
      </c>
    </row>
    <row r="1329" spans="1:11" ht="45.75" thickBot="1" x14ac:dyDescent="0.3">
      <c r="A1329" s="53" t="s">
        <v>1520</v>
      </c>
      <c r="B1329" s="40">
        <v>82400</v>
      </c>
      <c r="C1329" s="41" t="s">
        <v>1564</v>
      </c>
      <c r="D1329" s="30" t="e">
        <f>VLOOKUP(Table13[[#This Row],[kbli5]],Table1[[#All],[kbli5]:[digital_hijau]],3,)</f>
        <v>#N/A</v>
      </c>
      <c r="E1329" s="53" t="e">
        <f>VLOOKUP(Table13[[#This Row],[kbli5]],kata_kunci!$B:$H,4,FALSE)</f>
        <v>#N/A</v>
      </c>
      <c r="F1329" s="53" t="e">
        <f>VLOOKUP(Table13[[#This Row],[kbli5]],Table1[[#All],[kbli5]:[digital_hijau]],5,)</f>
        <v>#N/A</v>
      </c>
      <c r="G1329" s="35" t="s">
        <v>2090</v>
      </c>
      <c r="H1329" s="89" t="e">
        <f>VLOOKUP(Table13[[#This Row],[kbli5]],kata_kunci!$B:$H,3,FALSE)</f>
        <v>#N/A</v>
      </c>
      <c r="I1329" s="84" t="e">
        <f>VLOOKUP(Table13[[#This Row],[kbli5]],kata_kunci!$B:$H,5,FALSE)</f>
        <v>#N/A</v>
      </c>
      <c r="J1329" s="84" t="e">
        <f>VLOOKUP(Table13[[#This Row],[kbli5]],kata_kunci!$B:$H,6,FALSE)</f>
        <v>#N/A</v>
      </c>
      <c r="K1329" s="84" t="e">
        <f>VLOOKUP(Table13[[#This Row],[kbli5]],kata_kunci!$B:$H,7,FALSE)</f>
        <v>#N/A</v>
      </c>
    </row>
    <row r="1330" spans="1:11" ht="30.75" thickBot="1" x14ac:dyDescent="0.3">
      <c r="A1330" s="53" t="s">
        <v>1520</v>
      </c>
      <c r="B1330" s="40">
        <v>82911</v>
      </c>
      <c r="C1330" s="41" t="s">
        <v>1565</v>
      </c>
      <c r="D1330" s="30" t="e">
        <f>VLOOKUP(Table13[[#This Row],[kbli5]],Table1[[#All],[kbli5]:[digital_hijau]],3,)</f>
        <v>#N/A</v>
      </c>
      <c r="E1330" s="53" t="e">
        <f>VLOOKUP(Table13[[#This Row],[kbli5]],kata_kunci!$B:$H,4,FALSE)</f>
        <v>#N/A</v>
      </c>
      <c r="F1330" s="53" t="e">
        <f>VLOOKUP(Table13[[#This Row],[kbli5]],Table1[[#All],[kbli5]:[digital_hijau]],5,)</f>
        <v>#N/A</v>
      </c>
      <c r="G1330" s="53" t="e">
        <f>VLOOKUP(Table13[[#This Row],[kbli5]],Table1[[#All],[kbli5]:[digital_hijau]],6,)</f>
        <v>#N/A</v>
      </c>
      <c r="H1330" s="54" t="e">
        <f>VLOOKUP(Table13[[#This Row],[kbli5]],kata_kunci!$B:$H,3,FALSE)</f>
        <v>#N/A</v>
      </c>
      <c r="I1330" s="84" t="e">
        <f>VLOOKUP(Table13[[#This Row],[kbli5]],kata_kunci!$B:$H,5,FALSE)</f>
        <v>#N/A</v>
      </c>
      <c r="J1330" s="84" t="e">
        <f>VLOOKUP(Table13[[#This Row],[kbli5]],kata_kunci!$B:$H,6,FALSE)</f>
        <v>#N/A</v>
      </c>
      <c r="K1330" s="84" t="e">
        <f>VLOOKUP(Table13[[#This Row],[kbli5]],kata_kunci!$B:$H,7,FALSE)</f>
        <v>#N/A</v>
      </c>
    </row>
    <row r="1331" spans="1:11" ht="15.75" thickBot="1" x14ac:dyDescent="0.3">
      <c r="A1331" s="53" t="s">
        <v>1520</v>
      </c>
      <c r="B1331" s="40">
        <v>82912</v>
      </c>
      <c r="C1331" s="41" t="s">
        <v>1566</v>
      </c>
      <c r="D1331" s="30" t="e">
        <f>VLOOKUP(Table13[[#This Row],[kbli5]],Table1[[#All],[kbli5]:[digital_hijau]],3,)</f>
        <v>#N/A</v>
      </c>
      <c r="E1331" s="53" t="e">
        <f>VLOOKUP(Table13[[#This Row],[kbli5]],kata_kunci!$B:$H,4,FALSE)</f>
        <v>#N/A</v>
      </c>
      <c r="F1331" s="53" t="e">
        <f>VLOOKUP(Table13[[#This Row],[kbli5]],Table1[[#All],[kbli5]:[digital_hijau]],5,)</f>
        <v>#N/A</v>
      </c>
      <c r="G1331" s="53" t="e">
        <f>VLOOKUP(Table13[[#This Row],[kbli5]],Table1[[#All],[kbli5]:[digital_hijau]],6,)</f>
        <v>#N/A</v>
      </c>
      <c r="H1331" s="54" t="e">
        <f>VLOOKUP(Table13[[#This Row],[kbli5]],kata_kunci!$B:$H,3,FALSE)</f>
        <v>#N/A</v>
      </c>
      <c r="I1331" s="84" t="e">
        <f>VLOOKUP(Table13[[#This Row],[kbli5]],kata_kunci!$B:$H,5,FALSE)</f>
        <v>#N/A</v>
      </c>
      <c r="J1331" s="84" t="e">
        <f>VLOOKUP(Table13[[#This Row],[kbli5]],kata_kunci!$B:$H,6,FALSE)</f>
        <v>#N/A</v>
      </c>
      <c r="K1331" s="84" t="e">
        <f>VLOOKUP(Table13[[#This Row],[kbli5]],kata_kunci!$B:$H,7,FALSE)</f>
        <v>#N/A</v>
      </c>
    </row>
    <row r="1332" spans="1:11" ht="45.75" thickBot="1" x14ac:dyDescent="0.3">
      <c r="A1332" s="53" t="s">
        <v>1520</v>
      </c>
      <c r="B1332" s="40">
        <v>82921</v>
      </c>
      <c r="C1332" s="41" t="s">
        <v>1567</v>
      </c>
      <c r="D1332" s="30" t="e">
        <f>VLOOKUP(Table13[[#This Row],[kbli5]],Table1[[#All],[kbli5]:[digital_hijau]],3,)</f>
        <v>#N/A</v>
      </c>
      <c r="E1332" s="53" t="e">
        <f>VLOOKUP(Table13[[#This Row],[kbli5]],kata_kunci!$B:$H,4,FALSE)</f>
        <v>#N/A</v>
      </c>
      <c r="F1332" s="53" t="e">
        <f>VLOOKUP(Table13[[#This Row],[kbli5]],Table1[[#All],[kbli5]:[digital_hijau]],5,)</f>
        <v>#N/A</v>
      </c>
      <c r="G1332" s="53" t="e">
        <f>VLOOKUP(Table13[[#This Row],[kbli5]],Table1[[#All],[kbli5]:[digital_hijau]],6,)</f>
        <v>#N/A</v>
      </c>
      <c r="H1332" s="54" t="e">
        <f>VLOOKUP(Table13[[#This Row],[kbli5]],kata_kunci!$B:$H,3,FALSE)</f>
        <v>#N/A</v>
      </c>
      <c r="I1332" s="84" t="e">
        <f>VLOOKUP(Table13[[#This Row],[kbli5]],kata_kunci!$B:$H,5,FALSE)</f>
        <v>#N/A</v>
      </c>
      <c r="J1332" s="84" t="e">
        <f>VLOOKUP(Table13[[#This Row],[kbli5]],kata_kunci!$B:$H,6,FALSE)</f>
        <v>#N/A</v>
      </c>
      <c r="K1332" s="84" t="e">
        <f>VLOOKUP(Table13[[#This Row],[kbli5]],kata_kunci!$B:$H,7,FALSE)</f>
        <v>#N/A</v>
      </c>
    </row>
    <row r="1333" spans="1:11" ht="45.75" thickBot="1" x14ac:dyDescent="0.3">
      <c r="A1333" s="53" t="s">
        <v>1520</v>
      </c>
      <c r="B1333" s="40">
        <v>82922</v>
      </c>
      <c r="C1333" s="41" t="s">
        <v>1568</v>
      </c>
      <c r="D1333" s="30" t="e">
        <f>VLOOKUP(Table13[[#This Row],[kbli5]],Table1[[#All],[kbli5]:[digital_hijau]],3,)</f>
        <v>#N/A</v>
      </c>
      <c r="E1333" s="53" t="e">
        <f>VLOOKUP(Table13[[#This Row],[kbli5]],kata_kunci!$B:$H,4,FALSE)</f>
        <v>#N/A</v>
      </c>
      <c r="F1333" s="53" t="e">
        <f>VLOOKUP(Table13[[#This Row],[kbli5]],Table1[[#All],[kbli5]:[digital_hijau]],5,)</f>
        <v>#N/A</v>
      </c>
      <c r="G1333" s="53" t="e">
        <f>VLOOKUP(Table13[[#This Row],[kbli5]],Table1[[#All],[kbli5]:[digital_hijau]],6,)</f>
        <v>#N/A</v>
      </c>
      <c r="H1333" s="54" t="e">
        <f>VLOOKUP(Table13[[#This Row],[kbli5]],kata_kunci!$B:$H,3,FALSE)</f>
        <v>#N/A</v>
      </c>
      <c r="I1333" s="84" t="e">
        <f>VLOOKUP(Table13[[#This Row],[kbli5]],kata_kunci!$B:$H,5,FALSE)</f>
        <v>#N/A</v>
      </c>
      <c r="J1333" s="84" t="e">
        <f>VLOOKUP(Table13[[#This Row],[kbli5]],kata_kunci!$B:$H,6,FALSE)</f>
        <v>#N/A</v>
      </c>
      <c r="K1333" s="84" t="e">
        <f>VLOOKUP(Table13[[#This Row],[kbli5]],kata_kunci!$B:$H,7,FALSE)</f>
        <v>#N/A</v>
      </c>
    </row>
    <row r="1334" spans="1:11" ht="45.75" thickBot="1" x14ac:dyDescent="0.3">
      <c r="A1334" s="53" t="s">
        <v>1520</v>
      </c>
      <c r="B1334" s="40">
        <v>82923</v>
      </c>
      <c r="C1334" s="41" t="s">
        <v>1569</v>
      </c>
      <c r="D1334" s="30" t="e">
        <f>VLOOKUP(Table13[[#This Row],[kbli5]],Table1[[#All],[kbli5]:[digital_hijau]],3,)</f>
        <v>#N/A</v>
      </c>
      <c r="E1334" s="53" t="e">
        <f>VLOOKUP(Table13[[#This Row],[kbli5]],kata_kunci!$B:$H,4,FALSE)</f>
        <v>#N/A</v>
      </c>
      <c r="F1334" s="53" t="e">
        <f>VLOOKUP(Table13[[#This Row],[kbli5]],Table1[[#All],[kbli5]:[digital_hijau]],5,)</f>
        <v>#N/A</v>
      </c>
      <c r="G1334" s="53" t="e">
        <f>VLOOKUP(Table13[[#This Row],[kbli5]],Table1[[#All],[kbli5]:[digital_hijau]],6,)</f>
        <v>#N/A</v>
      </c>
      <c r="H1334" s="54" t="e">
        <f>VLOOKUP(Table13[[#This Row],[kbli5]],kata_kunci!$B:$H,3,FALSE)</f>
        <v>#N/A</v>
      </c>
      <c r="I1334" s="84" t="e">
        <f>VLOOKUP(Table13[[#This Row],[kbli5]],kata_kunci!$B:$H,5,FALSE)</f>
        <v>#N/A</v>
      </c>
      <c r="J1334" s="84" t="e">
        <f>VLOOKUP(Table13[[#This Row],[kbli5]],kata_kunci!$B:$H,6,FALSE)</f>
        <v>#N/A</v>
      </c>
      <c r="K1334" s="84" t="e">
        <f>VLOOKUP(Table13[[#This Row],[kbli5]],kata_kunci!$B:$H,7,FALSE)</f>
        <v>#N/A</v>
      </c>
    </row>
    <row r="1335" spans="1:11" ht="30.75" thickBot="1" x14ac:dyDescent="0.3">
      <c r="A1335" s="53" t="s">
        <v>1520</v>
      </c>
      <c r="B1335" s="40">
        <v>82924</v>
      </c>
      <c r="C1335" s="41" t="s">
        <v>1570</v>
      </c>
      <c r="D1335" s="30" t="e">
        <f>VLOOKUP(Table13[[#This Row],[kbli5]],Table1[[#All],[kbli5]:[digital_hijau]],3,)</f>
        <v>#N/A</v>
      </c>
      <c r="E1335" s="53" t="e">
        <f>VLOOKUP(Table13[[#This Row],[kbli5]],kata_kunci!$B:$H,4,FALSE)</f>
        <v>#N/A</v>
      </c>
      <c r="F1335" s="53" t="e">
        <f>VLOOKUP(Table13[[#This Row],[kbli5]],Table1[[#All],[kbli5]:[digital_hijau]],5,)</f>
        <v>#N/A</v>
      </c>
      <c r="G1335" s="53" t="e">
        <f>VLOOKUP(Table13[[#This Row],[kbli5]],Table1[[#All],[kbli5]:[digital_hijau]],6,)</f>
        <v>#N/A</v>
      </c>
      <c r="H1335" s="54" t="e">
        <f>VLOOKUP(Table13[[#This Row],[kbli5]],kata_kunci!$B:$H,3,FALSE)</f>
        <v>#N/A</v>
      </c>
      <c r="I1335" s="84" t="e">
        <f>VLOOKUP(Table13[[#This Row],[kbli5]],kata_kunci!$B:$H,5,FALSE)</f>
        <v>#N/A</v>
      </c>
      <c r="J1335" s="84" t="e">
        <f>VLOOKUP(Table13[[#This Row],[kbli5]],kata_kunci!$B:$H,6,FALSE)</f>
        <v>#N/A</v>
      </c>
      <c r="K1335" s="84" t="e">
        <f>VLOOKUP(Table13[[#This Row],[kbli5]],kata_kunci!$B:$H,7,FALSE)</f>
        <v>#N/A</v>
      </c>
    </row>
    <row r="1336" spans="1:11" ht="45.75" thickBot="1" x14ac:dyDescent="0.3">
      <c r="A1336" s="53" t="s">
        <v>1520</v>
      </c>
      <c r="B1336" s="40">
        <v>82925</v>
      </c>
      <c r="C1336" s="41" t="s">
        <v>1571</v>
      </c>
      <c r="D1336" s="30" t="e">
        <f>VLOOKUP(Table13[[#This Row],[kbli5]],Table1[[#All],[kbli5]:[digital_hijau]],3,)</f>
        <v>#N/A</v>
      </c>
      <c r="E1336" s="53" t="e">
        <f>VLOOKUP(Table13[[#This Row],[kbli5]],kata_kunci!$B:$H,4,FALSE)</f>
        <v>#N/A</v>
      </c>
      <c r="F1336" s="53" t="e">
        <f>VLOOKUP(Table13[[#This Row],[kbli5]],Table1[[#All],[kbli5]:[digital_hijau]],5,)</f>
        <v>#N/A</v>
      </c>
      <c r="G1336" s="53" t="e">
        <f>VLOOKUP(Table13[[#This Row],[kbli5]],Table1[[#All],[kbli5]:[digital_hijau]],6,)</f>
        <v>#N/A</v>
      </c>
      <c r="H1336" s="54" t="e">
        <f>VLOOKUP(Table13[[#This Row],[kbli5]],kata_kunci!$B:$H,3,FALSE)</f>
        <v>#N/A</v>
      </c>
      <c r="I1336" s="84" t="e">
        <f>VLOOKUP(Table13[[#This Row],[kbli5]],kata_kunci!$B:$H,5,FALSE)</f>
        <v>#N/A</v>
      </c>
      <c r="J1336" s="84" t="e">
        <f>VLOOKUP(Table13[[#This Row],[kbli5]],kata_kunci!$B:$H,6,FALSE)</f>
        <v>#N/A</v>
      </c>
      <c r="K1336" s="84" t="e">
        <f>VLOOKUP(Table13[[#This Row],[kbli5]],kata_kunci!$B:$H,7,FALSE)</f>
        <v>#N/A</v>
      </c>
    </row>
    <row r="1337" spans="1:11" ht="30.75" thickBot="1" x14ac:dyDescent="0.3">
      <c r="A1337" s="53" t="s">
        <v>1520</v>
      </c>
      <c r="B1337" s="40">
        <v>82929</v>
      </c>
      <c r="C1337" s="41" t="s">
        <v>1572</v>
      </c>
      <c r="D1337" s="30" t="e">
        <f>VLOOKUP(Table13[[#This Row],[kbli5]],Table1[[#All],[kbli5]:[digital_hijau]],3,)</f>
        <v>#N/A</v>
      </c>
      <c r="E1337" s="53" t="e">
        <f>VLOOKUP(Table13[[#This Row],[kbli5]],kata_kunci!$B:$H,4,FALSE)</f>
        <v>#N/A</v>
      </c>
      <c r="F1337" s="53" t="e">
        <f>VLOOKUP(Table13[[#This Row],[kbli5]],Table1[[#All],[kbli5]:[digital_hijau]],5,)</f>
        <v>#N/A</v>
      </c>
      <c r="G1337" s="53" t="e">
        <f>VLOOKUP(Table13[[#This Row],[kbli5]],Table1[[#All],[kbli5]:[digital_hijau]],6,)</f>
        <v>#N/A</v>
      </c>
      <c r="H1337" s="54" t="e">
        <f>VLOOKUP(Table13[[#This Row],[kbli5]],kata_kunci!$B:$H,3,FALSE)</f>
        <v>#N/A</v>
      </c>
      <c r="I1337" s="84" t="e">
        <f>VLOOKUP(Table13[[#This Row],[kbli5]],kata_kunci!$B:$H,5,FALSE)</f>
        <v>#N/A</v>
      </c>
      <c r="J1337" s="84" t="e">
        <f>VLOOKUP(Table13[[#This Row],[kbli5]],kata_kunci!$B:$H,6,FALSE)</f>
        <v>#N/A</v>
      </c>
      <c r="K1337" s="84" t="e">
        <f>VLOOKUP(Table13[[#This Row],[kbli5]],kata_kunci!$B:$H,7,FALSE)</f>
        <v>#N/A</v>
      </c>
    </row>
    <row r="1338" spans="1:11" ht="45.75" thickBot="1" x14ac:dyDescent="0.3">
      <c r="A1338" s="53" t="s">
        <v>1520</v>
      </c>
      <c r="B1338" s="40">
        <v>82990</v>
      </c>
      <c r="C1338" s="41" t="s">
        <v>1573</v>
      </c>
      <c r="D1338" s="30" t="e">
        <f>VLOOKUP(Table13[[#This Row],[kbli5]],Table1[[#All],[kbli5]:[digital_hijau]],3,)</f>
        <v>#N/A</v>
      </c>
      <c r="E1338" s="53" t="e">
        <f>VLOOKUP(Table13[[#This Row],[kbli5]],kata_kunci!$B:$H,4,FALSE)</f>
        <v>#N/A</v>
      </c>
      <c r="F1338" s="53" t="e">
        <f>VLOOKUP(Table13[[#This Row],[kbli5]],Table1[[#All],[kbli5]:[digital_hijau]],5,)</f>
        <v>#N/A</v>
      </c>
      <c r="G1338" s="53" t="e">
        <f>VLOOKUP(Table13[[#This Row],[kbli5]],Table1[[#All],[kbli5]:[digital_hijau]],6,)</f>
        <v>#N/A</v>
      </c>
      <c r="H1338" s="54" t="e">
        <f>VLOOKUP(Table13[[#This Row],[kbli5]],kata_kunci!$B:$H,3,FALSE)</f>
        <v>#N/A</v>
      </c>
      <c r="I1338" s="84" t="e">
        <f>VLOOKUP(Table13[[#This Row],[kbli5]],kata_kunci!$B:$H,5,FALSE)</f>
        <v>#N/A</v>
      </c>
      <c r="J1338" s="84" t="e">
        <f>VLOOKUP(Table13[[#This Row],[kbli5]],kata_kunci!$B:$H,6,FALSE)</f>
        <v>#N/A</v>
      </c>
      <c r="K1338" s="84" t="e">
        <f>VLOOKUP(Table13[[#This Row],[kbli5]],kata_kunci!$B:$H,7,FALSE)</f>
        <v>#N/A</v>
      </c>
    </row>
    <row r="1339" spans="1:11" ht="15.75" thickBot="1" x14ac:dyDescent="0.3">
      <c r="A1339" s="53" t="s">
        <v>1574</v>
      </c>
      <c r="B1339" s="40">
        <v>84111</v>
      </c>
      <c r="C1339" s="41" t="s">
        <v>1575</v>
      </c>
      <c r="D1339" s="30" t="e">
        <f>VLOOKUP(Table13[[#This Row],[kbli5]],Table1[[#All],[kbli5]:[digital_hijau]],3,)</f>
        <v>#N/A</v>
      </c>
      <c r="E1339" s="53" t="e">
        <f>VLOOKUP(Table13[[#This Row],[kbli5]],kata_kunci!$B:$H,4,FALSE)</f>
        <v>#N/A</v>
      </c>
      <c r="F1339" s="53" t="e">
        <f>VLOOKUP(Table13[[#This Row],[kbli5]],Table1[[#All],[kbli5]:[digital_hijau]],5,)</f>
        <v>#N/A</v>
      </c>
      <c r="G1339" s="53" t="e">
        <f>VLOOKUP(Table13[[#This Row],[kbli5]],Table1[[#All],[kbli5]:[digital_hijau]],6,)</f>
        <v>#N/A</v>
      </c>
      <c r="H1339" s="54" t="e">
        <f>VLOOKUP(Table13[[#This Row],[kbli5]],kata_kunci!$B:$H,3,FALSE)</f>
        <v>#N/A</v>
      </c>
      <c r="I1339" s="84" t="e">
        <f>VLOOKUP(Table13[[#This Row],[kbli5]],kata_kunci!$B:$H,5,FALSE)</f>
        <v>#N/A</v>
      </c>
      <c r="J1339" s="84" t="e">
        <f>VLOOKUP(Table13[[#This Row],[kbli5]],kata_kunci!$B:$H,6,FALSE)</f>
        <v>#N/A</v>
      </c>
      <c r="K1339" s="84" t="e">
        <f>VLOOKUP(Table13[[#This Row],[kbli5]],kata_kunci!$B:$H,7,FALSE)</f>
        <v>#N/A</v>
      </c>
    </row>
    <row r="1340" spans="1:11" ht="45.75" thickBot="1" x14ac:dyDescent="0.3">
      <c r="A1340" s="53" t="s">
        <v>1574</v>
      </c>
      <c r="B1340" s="40">
        <v>84112</v>
      </c>
      <c r="C1340" s="41" t="s">
        <v>1576</v>
      </c>
      <c r="D1340" s="30" t="e">
        <f>VLOOKUP(Table13[[#This Row],[kbli5]],Table1[[#All],[kbli5]:[digital_hijau]],3,)</f>
        <v>#N/A</v>
      </c>
      <c r="E1340" s="53" t="e">
        <f>VLOOKUP(Table13[[#This Row],[kbli5]],kata_kunci!$B:$H,4,FALSE)</f>
        <v>#N/A</v>
      </c>
      <c r="F1340" s="53" t="e">
        <f>VLOOKUP(Table13[[#This Row],[kbli5]],Table1[[#All],[kbli5]:[digital_hijau]],5,)</f>
        <v>#N/A</v>
      </c>
      <c r="G1340" s="53" t="e">
        <f>VLOOKUP(Table13[[#This Row],[kbli5]],Table1[[#All],[kbli5]:[digital_hijau]],6,)</f>
        <v>#N/A</v>
      </c>
      <c r="H1340" s="54" t="e">
        <f>VLOOKUP(Table13[[#This Row],[kbli5]],kata_kunci!$B:$H,3,FALSE)</f>
        <v>#N/A</v>
      </c>
      <c r="I1340" s="84" t="e">
        <f>VLOOKUP(Table13[[#This Row],[kbli5]],kata_kunci!$B:$H,5,FALSE)</f>
        <v>#N/A</v>
      </c>
      <c r="J1340" s="84" t="e">
        <f>VLOOKUP(Table13[[#This Row],[kbli5]],kata_kunci!$B:$H,6,FALSE)</f>
        <v>#N/A</v>
      </c>
      <c r="K1340" s="84" t="e">
        <f>VLOOKUP(Table13[[#This Row],[kbli5]],kata_kunci!$B:$H,7,FALSE)</f>
        <v>#N/A</v>
      </c>
    </row>
    <row r="1341" spans="1:11" ht="45.75" thickBot="1" x14ac:dyDescent="0.3">
      <c r="A1341" s="53" t="s">
        <v>1574</v>
      </c>
      <c r="B1341" s="40">
        <v>84113</v>
      </c>
      <c r="C1341" s="41" t="s">
        <v>1577</v>
      </c>
      <c r="D1341" s="30" t="e">
        <f>VLOOKUP(Table13[[#This Row],[kbli5]],Table1[[#All],[kbli5]:[digital_hijau]],3,)</f>
        <v>#N/A</v>
      </c>
      <c r="E1341" s="53" t="e">
        <f>VLOOKUP(Table13[[#This Row],[kbli5]],kata_kunci!$B:$H,4,FALSE)</f>
        <v>#N/A</v>
      </c>
      <c r="F1341" s="53" t="e">
        <f>VLOOKUP(Table13[[#This Row],[kbli5]],Table1[[#All],[kbli5]:[digital_hijau]],5,)</f>
        <v>#N/A</v>
      </c>
      <c r="G1341" s="53" t="e">
        <f>VLOOKUP(Table13[[#This Row],[kbli5]],Table1[[#All],[kbli5]:[digital_hijau]],6,)</f>
        <v>#N/A</v>
      </c>
      <c r="H1341" s="54" t="e">
        <f>VLOOKUP(Table13[[#This Row],[kbli5]],kata_kunci!$B:$H,3,FALSE)</f>
        <v>#N/A</v>
      </c>
      <c r="I1341" s="84" t="e">
        <f>VLOOKUP(Table13[[#This Row],[kbli5]],kata_kunci!$B:$H,5,FALSE)</f>
        <v>#N/A</v>
      </c>
      <c r="J1341" s="84" t="e">
        <f>VLOOKUP(Table13[[#This Row],[kbli5]],kata_kunci!$B:$H,6,FALSE)</f>
        <v>#N/A</v>
      </c>
      <c r="K1341" s="84" t="e">
        <f>VLOOKUP(Table13[[#This Row],[kbli5]],kata_kunci!$B:$H,7,FALSE)</f>
        <v>#N/A</v>
      </c>
    </row>
    <row r="1342" spans="1:11" ht="30.75" thickBot="1" x14ac:dyDescent="0.3">
      <c r="A1342" s="53" t="s">
        <v>1574</v>
      </c>
      <c r="B1342" s="40">
        <v>84114</v>
      </c>
      <c r="C1342" s="41" t="s">
        <v>1578</v>
      </c>
      <c r="D1342" s="30" t="e">
        <f>VLOOKUP(Table13[[#This Row],[kbli5]],Table1[[#All],[kbli5]:[digital_hijau]],3,)</f>
        <v>#N/A</v>
      </c>
      <c r="E1342" s="53" t="e">
        <f>VLOOKUP(Table13[[#This Row],[kbli5]],kata_kunci!$B:$H,4,FALSE)</f>
        <v>#N/A</v>
      </c>
      <c r="F1342" s="53" t="e">
        <f>VLOOKUP(Table13[[#This Row],[kbli5]],Table1[[#All],[kbli5]:[digital_hijau]],5,)</f>
        <v>#N/A</v>
      </c>
      <c r="G1342" s="53" t="e">
        <f>VLOOKUP(Table13[[#This Row],[kbli5]],Table1[[#All],[kbli5]:[digital_hijau]],6,)</f>
        <v>#N/A</v>
      </c>
      <c r="H1342" s="54" t="e">
        <f>VLOOKUP(Table13[[#This Row],[kbli5]],kata_kunci!$B:$H,3,FALSE)</f>
        <v>#N/A</v>
      </c>
      <c r="I1342" s="84" t="e">
        <f>VLOOKUP(Table13[[#This Row],[kbli5]],kata_kunci!$B:$H,5,FALSE)</f>
        <v>#N/A</v>
      </c>
      <c r="J1342" s="84" t="e">
        <f>VLOOKUP(Table13[[#This Row],[kbli5]],kata_kunci!$B:$H,6,FALSE)</f>
        <v>#N/A</v>
      </c>
      <c r="K1342" s="84" t="e">
        <f>VLOOKUP(Table13[[#This Row],[kbli5]],kata_kunci!$B:$H,7,FALSE)</f>
        <v>#N/A</v>
      </c>
    </row>
    <row r="1343" spans="1:11" ht="45.75" thickBot="1" x14ac:dyDescent="0.3">
      <c r="A1343" s="53" t="s">
        <v>1574</v>
      </c>
      <c r="B1343" s="40">
        <v>84115</v>
      </c>
      <c r="C1343" s="41" t="s">
        <v>1579</v>
      </c>
      <c r="D1343" s="30" t="e">
        <f>VLOOKUP(Table13[[#This Row],[kbli5]],Table1[[#All],[kbli5]:[digital_hijau]],3,)</f>
        <v>#N/A</v>
      </c>
      <c r="E1343" s="53" t="e">
        <f>VLOOKUP(Table13[[#This Row],[kbli5]],kata_kunci!$B:$H,4,FALSE)</f>
        <v>#N/A</v>
      </c>
      <c r="F1343" s="53" t="e">
        <f>VLOOKUP(Table13[[#This Row],[kbli5]],Table1[[#All],[kbli5]:[digital_hijau]],5,)</f>
        <v>#N/A</v>
      </c>
      <c r="G1343" s="53" t="e">
        <f>VLOOKUP(Table13[[#This Row],[kbli5]],Table1[[#All],[kbli5]:[digital_hijau]],6,)</f>
        <v>#N/A</v>
      </c>
      <c r="H1343" s="54" t="e">
        <f>VLOOKUP(Table13[[#This Row],[kbli5]],kata_kunci!$B:$H,3,FALSE)</f>
        <v>#N/A</v>
      </c>
      <c r="I1343" s="84" t="e">
        <f>VLOOKUP(Table13[[#This Row],[kbli5]],kata_kunci!$B:$H,5,FALSE)</f>
        <v>#N/A</v>
      </c>
      <c r="J1343" s="84" t="e">
        <f>VLOOKUP(Table13[[#This Row],[kbli5]],kata_kunci!$B:$H,6,FALSE)</f>
        <v>#N/A</v>
      </c>
      <c r="K1343" s="84" t="e">
        <f>VLOOKUP(Table13[[#This Row],[kbli5]],kata_kunci!$B:$H,7,FALSE)</f>
        <v>#N/A</v>
      </c>
    </row>
    <row r="1344" spans="1:11" ht="30.75" thickBot="1" x14ac:dyDescent="0.3">
      <c r="A1344" s="53" t="s">
        <v>1574</v>
      </c>
      <c r="B1344" s="40">
        <v>84119</v>
      </c>
      <c r="C1344" s="41" t="s">
        <v>1580</v>
      </c>
      <c r="D1344" s="30" t="e">
        <f>VLOOKUP(Table13[[#This Row],[kbli5]],Table1[[#All],[kbli5]:[digital_hijau]],3,)</f>
        <v>#N/A</v>
      </c>
      <c r="E1344" s="53" t="e">
        <f>VLOOKUP(Table13[[#This Row],[kbli5]],kata_kunci!$B:$H,4,FALSE)</f>
        <v>#N/A</v>
      </c>
      <c r="F1344" s="53" t="e">
        <f>VLOOKUP(Table13[[#This Row],[kbli5]],Table1[[#All],[kbli5]:[digital_hijau]],5,)</f>
        <v>#N/A</v>
      </c>
      <c r="G1344" s="53" t="e">
        <f>VLOOKUP(Table13[[#This Row],[kbli5]],Table1[[#All],[kbli5]:[digital_hijau]],6,)</f>
        <v>#N/A</v>
      </c>
      <c r="H1344" s="54" t="e">
        <f>VLOOKUP(Table13[[#This Row],[kbli5]],kata_kunci!$B:$H,3,FALSE)</f>
        <v>#N/A</v>
      </c>
      <c r="I1344" s="84" t="e">
        <f>VLOOKUP(Table13[[#This Row],[kbli5]],kata_kunci!$B:$H,5,FALSE)</f>
        <v>#N/A</v>
      </c>
      <c r="J1344" s="84" t="e">
        <f>VLOOKUP(Table13[[#This Row],[kbli5]],kata_kunci!$B:$H,6,FALSE)</f>
        <v>#N/A</v>
      </c>
      <c r="K1344" s="84" t="e">
        <f>VLOOKUP(Table13[[#This Row],[kbli5]],kata_kunci!$B:$H,7,FALSE)</f>
        <v>#N/A</v>
      </c>
    </row>
    <row r="1345" spans="1:11" ht="45.75" thickBot="1" x14ac:dyDescent="0.3">
      <c r="A1345" s="53" t="s">
        <v>1574</v>
      </c>
      <c r="B1345" s="40">
        <v>84121</v>
      </c>
      <c r="C1345" s="41" t="s">
        <v>1581</v>
      </c>
      <c r="D1345" s="30" t="e">
        <f>VLOOKUP(Table13[[#This Row],[kbli5]],Table1[[#All],[kbli5]:[digital_hijau]],3,)</f>
        <v>#N/A</v>
      </c>
      <c r="E1345" s="53" t="e">
        <f>VLOOKUP(Table13[[#This Row],[kbli5]],kata_kunci!$B:$H,4,FALSE)</f>
        <v>#N/A</v>
      </c>
      <c r="F1345" s="53" t="e">
        <f>VLOOKUP(Table13[[#This Row],[kbli5]],Table1[[#All],[kbli5]:[digital_hijau]],5,)</f>
        <v>#N/A</v>
      </c>
      <c r="G1345" s="53" t="e">
        <f>VLOOKUP(Table13[[#This Row],[kbli5]],Table1[[#All],[kbli5]:[digital_hijau]],6,)</f>
        <v>#N/A</v>
      </c>
      <c r="H1345" s="54" t="e">
        <f>VLOOKUP(Table13[[#This Row],[kbli5]],kata_kunci!$B:$H,3,FALSE)</f>
        <v>#N/A</v>
      </c>
      <c r="I1345" s="84" t="e">
        <f>VLOOKUP(Table13[[#This Row],[kbli5]],kata_kunci!$B:$H,5,FALSE)</f>
        <v>#N/A</v>
      </c>
      <c r="J1345" s="84" t="e">
        <f>VLOOKUP(Table13[[#This Row],[kbli5]],kata_kunci!$B:$H,6,FALSE)</f>
        <v>#N/A</v>
      </c>
      <c r="K1345" s="84" t="e">
        <f>VLOOKUP(Table13[[#This Row],[kbli5]],kata_kunci!$B:$H,7,FALSE)</f>
        <v>#N/A</v>
      </c>
    </row>
    <row r="1346" spans="1:11" ht="45.75" thickBot="1" x14ac:dyDescent="0.3">
      <c r="A1346" s="53" t="s">
        <v>1574</v>
      </c>
      <c r="B1346" s="40">
        <v>84122</v>
      </c>
      <c r="C1346" s="41" t="s">
        <v>1582</v>
      </c>
      <c r="D1346" s="30" t="e">
        <f>VLOOKUP(Table13[[#This Row],[kbli5]],Table1[[#All],[kbli5]:[digital_hijau]],3,)</f>
        <v>#N/A</v>
      </c>
      <c r="E1346" s="53" t="e">
        <f>VLOOKUP(Table13[[#This Row],[kbli5]],kata_kunci!$B:$H,4,FALSE)</f>
        <v>#N/A</v>
      </c>
      <c r="F1346" s="53" t="e">
        <f>VLOOKUP(Table13[[#This Row],[kbli5]],Table1[[#All],[kbli5]:[digital_hijau]],5,)</f>
        <v>#N/A</v>
      </c>
      <c r="G1346" s="53" t="e">
        <f>VLOOKUP(Table13[[#This Row],[kbli5]],Table1[[#All],[kbli5]:[digital_hijau]],6,)</f>
        <v>#N/A</v>
      </c>
      <c r="H1346" s="54" t="e">
        <f>VLOOKUP(Table13[[#This Row],[kbli5]],kata_kunci!$B:$H,3,FALSE)</f>
        <v>#N/A</v>
      </c>
      <c r="I1346" s="84" t="e">
        <f>VLOOKUP(Table13[[#This Row],[kbli5]],kata_kunci!$B:$H,5,FALSE)</f>
        <v>#N/A</v>
      </c>
      <c r="J1346" s="84" t="e">
        <f>VLOOKUP(Table13[[#This Row],[kbli5]],kata_kunci!$B:$H,6,FALSE)</f>
        <v>#N/A</v>
      </c>
      <c r="K1346" s="84" t="e">
        <f>VLOOKUP(Table13[[#This Row],[kbli5]],kata_kunci!$B:$H,7,FALSE)</f>
        <v>#N/A</v>
      </c>
    </row>
    <row r="1347" spans="1:11" ht="45.75" thickBot="1" x14ac:dyDescent="0.3">
      <c r="A1347" s="53" t="s">
        <v>1574</v>
      </c>
      <c r="B1347" s="40">
        <v>84123</v>
      </c>
      <c r="C1347" s="41" t="s">
        <v>1583</v>
      </c>
      <c r="D1347" s="30" t="e">
        <f>VLOOKUP(Table13[[#This Row],[kbli5]],Table1[[#All],[kbli5]:[digital_hijau]],3,)</f>
        <v>#N/A</v>
      </c>
      <c r="E1347" s="53" t="e">
        <f>VLOOKUP(Table13[[#This Row],[kbli5]],kata_kunci!$B:$H,4,FALSE)</f>
        <v>#N/A</v>
      </c>
      <c r="F1347" s="53" t="e">
        <f>VLOOKUP(Table13[[#This Row],[kbli5]],Table1[[#All],[kbli5]:[digital_hijau]],5,)</f>
        <v>#N/A</v>
      </c>
      <c r="G1347" s="53" t="e">
        <f>VLOOKUP(Table13[[#This Row],[kbli5]],Table1[[#All],[kbli5]:[digital_hijau]],6,)</f>
        <v>#N/A</v>
      </c>
      <c r="H1347" s="54" t="e">
        <f>VLOOKUP(Table13[[#This Row],[kbli5]],kata_kunci!$B:$H,3,FALSE)</f>
        <v>#N/A</v>
      </c>
      <c r="I1347" s="84" t="e">
        <f>VLOOKUP(Table13[[#This Row],[kbli5]],kata_kunci!$B:$H,5,FALSE)</f>
        <v>#N/A</v>
      </c>
      <c r="J1347" s="84" t="e">
        <f>VLOOKUP(Table13[[#This Row],[kbli5]],kata_kunci!$B:$H,6,FALSE)</f>
        <v>#N/A</v>
      </c>
      <c r="K1347" s="84" t="e">
        <f>VLOOKUP(Table13[[#This Row],[kbli5]],kata_kunci!$B:$H,7,FALSE)</f>
        <v>#N/A</v>
      </c>
    </row>
    <row r="1348" spans="1:11" ht="45.75" thickBot="1" x14ac:dyDescent="0.3">
      <c r="A1348" s="53" t="s">
        <v>1574</v>
      </c>
      <c r="B1348" s="40">
        <v>84124</v>
      </c>
      <c r="C1348" s="41" t="s">
        <v>1584</v>
      </c>
      <c r="D1348" s="30" t="e">
        <f>VLOOKUP(Table13[[#This Row],[kbli5]],Table1[[#All],[kbli5]:[digital_hijau]],3,)</f>
        <v>#N/A</v>
      </c>
      <c r="E1348" s="53" t="e">
        <f>VLOOKUP(Table13[[#This Row],[kbli5]],kata_kunci!$B:$H,4,FALSE)</f>
        <v>#N/A</v>
      </c>
      <c r="F1348" s="53" t="e">
        <f>VLOOKUP(Table13[[#This Row],[kbli5]],Table1[[#All],[kbli5]:[digital_hijau]],5,)</f>
        <v>#N/A</v>
      </c>
      <c r="G1348" s="53" t="e">
        <f>VLOOKUP(Table13[[#This Row],[kbli5]],Table1[[#All],[kbli5]:[digital_hijau]],6,)</f>
        <v>#N/A</v>
      </c>
      <c r="H1348" s="54" t="e">
        <f>VLOOKUP(Table13[[#This Row],[kbli5]],kata_kunci!$B:$H,3,FALSE)</f>
        <v>#N/A</v>
      </c>
      <c r="I1348" s="84" t="e">
        <f>VLOOKUP(Table13[[#This Row],[kbli5]],kata_kunci!$B:$H,5,FALSE)</f>
        <v>#N/A</v>
      </c>
      <c r="J1348" s="84" t="e">
        <f>VLOOKUP(Table13[[#This Row],[kbli5]],kata_kunci!$B:$H,6,FALSE)</f>
        <v>#N/A</v>
      </c>
      <c r="K1348" s="84" t="e">
        <f>VLOOKUP(Table13[[#This Row],[kbli5]],kata_kunci!$B:$H,7,FALSE)</f>
        <v>#N/A</v>
      </c>
    </row>
    <row r="1349" spans="1:11" ht="45.75" thickBot="1" x14ac:dyDescent="0.3">
      <c r="A1349" s="53" t="s">
        <v>1574</v>
      </c>
      <c r="B1349" s="40">
        <v>84125</v>
      </c>
      <c r="C1349" s="41" t="s">
        <v>1585</v>
      </c>
      <c r="D1349" s="30" t="e">
        <f>VLOOKUP(Table13[[#This Row],[kbli5]],Table1[[#All],[kbli5]:[digital_hijau]],3,)</f>
        <v>#N/A</v>
      </c>
      <c r="E1349" s="53" t="e">
        <f>VLOOKUP(Table13[[#This Row],[kbli5]],kata_kunci!$B:$H,4,FALSE)</f>
        <v>#N/A</v>
      </c>
      <c r="F1349" s="53" t="e">
        <f>VLOOKUP(Table13[[#This Row],[kbli5]],Table1[[#All],[kbli5]:[digital_hijau]],5,)</f>
        <v>#N/A</v>
      </c>
      <c r="G1349" s="53" t="e">
        <f>VLOOKUP(Table13[[#This Row],[kbli5]],Table1[[#All],[kbli5]:[digital_hijau]],6,)</f>
        <v>#N/A</v>
      </c>
      <c r="H1349" s="54" t="e">
        <f>VLOOKUP(Table13[[#This Row],[kbli5]],kata_kunci!$B:$H,3,FALSE)</f>
        <v>#N/A</v>
      </c>
      <c r="I1349" s="84" t="e">
        <f>VLOOKUP(Table13[[#This Row],[kbli5]],kata_kunci!$B:$H,5,FALSE)</f>
        <v>#N/A</v>
      </c>
      <c r="J1349" s="84" t="e">
        <f>VLOOKUP(Table13[[#This Row],[kbli5]],kata_kunci!$B:$H,6,FALSE)</f>
        <v>#N/A</v>
      </c>
      <c r="K1349" s="84" t="e">
        <f>VLOOKUP(Table13[[#This Row],[kbli5]],kata_kunci!$B:$H,7,FALSE)</f>
        <v>#N/A</v>
      </c>
    </row>
    <row r="1350" spans="1:11" ht="30.75" thickBot="1" x14ac:dyDescent="0.3">
      <c r="A1350" s="53" t="s">
        <v>1574</v>
      </c>
      <c r="B1350" s="40">
        <v>84126</v>
      </c>
      <c r="C1350" s="41" t="s">
        <v>1586</v>
      </c>
      <c r="D1350" s="30" t="e">
        <f>VLOOKUP(Table13[[#This Row],[kbli5]],Table1[[#All],[kbli5]:[digital_hijau]],3,)</f>
        <v>#N/A</v>
      </c>
      <c r="E1350" s="53" t="e">
        <f>VLOOKUP(Table13[[#This Row],[kbli5]],kata_kunci!$B:$H,4,FALSE)</f>
        <v>#N/A</v>
      </c>
      <c r="F1350" s="53" t="e">
        <f>VLOOKUP(Table13[[#This Row],[kbli5]],Table1[[#All],[kbli5]:[digital_hijau]],5,)</f>
        <v>#N/A</v>
      </c>
      <c r="G1350" s="53" t="e">
        <f>VLOOKUP(Table13[[#This Row],[kbli5]],Table1[[#All],[kbli5]:[digital_hijau]],6,)</f>
        <v>#N/A</v>
      </c>
      <c r="H1350" s="54" t="e">
        <f>VLOOKUP(Table13[[#This Row],[kbli5]],kata_kunci!$B:$H,3,FALSE)</f>
        <v>#N/A</v>
      </c>
      <c r="I1350" s="84" t="e">
        <f>VLOOKUP(Table13[[#This Row],[kbli5]],kata_kunci!$B:$H,5,FALSE)</f>
        <v>#N/A</v>
      </c>
      <c r="J1350" s="84" t="e">
        <f>VLOOKUP(Table13[[#This Row],[kbli5]],kata_kunci!$B:$H,6,FALSE)</f>
        <v>#N/A</v>
      </c>
      <c r="K1350" s="84" t="e">
        <f>VLOOKUP(Table13[[#This Row],[kbli5]],kata_kunci!$B:$H,7,FALSE)</f>
        <v>#N/A</v>
      </c>
    </row>
    <row r="1351" spans="1:11" ht="45.75" thickBot="1" x14ac:dyDescent="0.3">
      <c r="A1351" s="53" t="s">
        <v>1574</v>
      </c>
      <c r="B1351" s="40">
        <v>84129</v>
      </c>
      <c r="C1351" s="41" t="s">
        <v>1587</v>
      </c>
      <c r="D1351" s="30" t="e">
        <f>VLOOKUP(Table13[[#This Row],[kbli5]],Table1[[#All],[kbli5]:[digital_hijau]],3,)</f>
        <v>#N/A</v>
      </c>
      <c r="E1351" s="53" t="e">
        <f>VLOOKUP(Table13[[#This Row],[kbli5]],kata_kunci!$B:$H,4,FALSE)</f>
        <v>#N/A</v>
      </c>
      <c r="F1351" s="53" t="e">
        <f>VLOOKUP(Table13[[#This Row],[kbli5]],Table1[[#All],[kbli5]:[digital_hijau]],5,)</f>
        <v>#N/A</v>
      </c>
      <c r="G1351" s="53" t="e">
        <f>VLOOKUP(Table13[[#This Row],[kbli5]],Table1[[#All],[kbli5]:[digital_hijau]],6,)</f>
        <v>#N/A</v>
      </c>
      <c r="H1351" s="54" t="e">
        <f>VLOOKUP(Table13[[#This Row],[kbli5]],kata_kunci!$B:$H,3,FALSE)</f>
        <v>#N/A</v>
      </c>
      <c r="I1351" s="84" t="e">
        <f>VLOOKUP(Table13[[#This Row],[kbli5]],kata_kunci!$B:$H,5,FALSE)</f>
        <v>#N/A</v>
      </c>
      <c r="J1351" s="84" t="e">
        <f>VLOOKUP(Table13[[#This Row],[kbli5]],kata_kunci!$B:$H,6,FALSE)</f>
        <v>#N/A</v>
      </c>
      <c r="K1351" s="84" t="e">
        <f>VLOOKUP(Table13[[#This Row],[kbli5]],kata_kunci!$B:$H,7,FALSE)</f>
        <v>#N/A</v>
      </c>
    </row>
    <row r="1352" spans="1:11" ht="45.75" thickBot="1" x14ac:dyDescent="0.3">
      <c r="A1352" s="53" t="s">
        <v>1574</v>
      </c>
      <c r="B1352" s="40">
        <v>84130</v>
      </c>
      <c r="C1352" s="41" t="s">
        <v>1588</v>
      </c>
      <c r="D1352" s="30" t="e">
        <f>VLOOKUP(Table13[[#This Row],[kbli5]],Table1[[#All],[kbli5]:[digital_hijau]],3,)</f>
        <v>#N/A</v>
      </c>
      <c r="E1352" s="53" t="e">
        <f>VLOOKUP(Table13[[#This Row],[kbli5]],kata_kunci!$B:$H,4,FALSE)</f>
        <v>#N/A</v>
      </c>
      <c r="F1352" s="53" t="e">
        <f>VLOOKUP(Table13[[#This Row],[kbli5]],Table1[[#All],[kbli5]:[digital_hijau]],5,)</f>
        <v>#N/A</v>
      </c>
      <c r="G1352" s="53" t="e">
        <f>VLOOKUP(Table13[[#This Row],[kbli5]],Table1[[#All],[kbli5]:[digital_hijau]],6,)</f>
        <v>#N/A</v>
      </c>
      <c r="H1352" s="54" t="e">
        <f>VLOOKUP(Table13[[#This Row],[kbli5]],kata_kunci!$B:$H,3,FALSE)</f>
        <v>#N/A</v>
      </c>
      <c r="I1352" s="84" t="e">
        <f>VLOOKUP(Table13[[#This Row],[kbli5]],kata_kunci!$B:$H,5,FALSE)</f>
        <v>#N/A</v>
      </c>
      <c r="J1352" s="84" t="e">
        <f>VLOOKUP(Table13[[#This Row],[kbli5]],kata_kunci!$B:$H,6,FALSE)</f>
        <v>#N/A</v>
      </c>
      <c r="K1352" s="84" t="e">
        <f>VLOOKUP(Table13[[#This Row],[kbli5]],kata_kunci!$B:$H,7,FALSE)</f>
        <v>#N/A</v>
      </c>
    </row>
    <row r="1353" spans="1:11" ht="45.75" thickBot="1" x14ac:dyDescent="0.3">
      <c r="A1353" s="53" t="s">
        <v>1574</v>
      </c>
      <c r="B1353" s="40">
        <v>84141</v>
      </c>
      <c r="C1353" s="41" t="s">
        <v>1589</v>
      </c>
      <c r="D1353" s="30" t="e">
        <f>VLOOKUP(Table13[[#This Row],[kbli5]],Table1[[#All],[kbli5]:[digital_hijau]],3,)</f>
        <v>#N/A</v>
      </c>
      <c r="E1353" s="53" t="e">
        <f>VLOOKUP(Table13[[#This Row],[kbli5]],kata_kunci!$B:$H,4,FALSE)</f>
        <v>#N/A</v>
      </c>
      <c r="F1353" s="53" t="e">
        <f>VLOOKUP(Table13[[#This Row],[kbli5]],Table1[[#All],[kbli5]:[digital_hijau]],5,)</f>
        <v>#N/A</v>
      </c>
      <c r="G1353" s="53" t="e">
        <f>VLOOKUP(Table13[[#This Row],[kbli5]],Table1[[#All],[kbli5]:[digital_hijau]],6,)</f>
        <v>#N/A</v>
      </c>
      <c r="H1353" s="54" t="e">
        <f>VLOOKUP(Table13[[#This Row],[kbli5]],kata_kunci!$B:$H,3,FALSE)</f>
        <v>#N/A</v>
      </c>
      <c r="I1353" s="84" t="e">
        <f>VLOOKUP(Table13[[#This Row],[kbli5]],kata_kunci!$B:$H,5,FALSE)</f>
        <v>#N/A</v>
      </c>
      <c r="J1353" s="84" t="e">
        <f>VLOOKUP(Table13[[#This Row],[kbli5]],kata_kunci!$B:$H,6,FALSE)</f>
        <v>#N/A</v>
      </c>
      <c r="K1353" s="84" t="e">
        <f>VLOOKUP(Table13[[#This Row],[kbli5]],kata_kunci!$B:$H,7,FALSE)</f>
        <v>#N/A</v>
      </c>
    </row>
    <row r="1354" spans="1:11" ht="45.75" thickBot="1" x14ac:dyDescent="0.3">
      <c r="A1354" s="53" t="s">
        <v>1574</v>
      </c>
      <c r="B1354" s="40">
        <v>84142</v>
      </c>
      <c r="C1354" s="41" t="s">
        <v>1590</v>
      </c>
      <c r="D1354" s="30" t="e">
        <f>VLOOKUP(Table13[[#This Row],[kbli5]],Table1[[#All],[kbli5]:[digital_hijau]],3,)</f>
        <v>#N/A</v>
      </c>
      <c r="E1354" s="53" t="e">
        <f>VLOOKUP(Table13[[#This Row],[kbli5]],kata_kunci!$B:$H,4,FALSE)</f>
        <v>#N/A</v>
      </c>
      <c r="F1354" s="53" t="e">
        <f>VLOOKUP(Table13[[#This Row],[kbli5]],Table1[[#All],[kbli5]:[digital_hijau]],5,)</f>
        <v>#N/A</v>
      </c>
      <c r="G1354" s="53" t="e">
        <f>VLOOKUP(Table13[[#This Row],[kbli5]],Table1[[#All],[kbli5]:[digital_hijau]],6,)</f>
        <v>#N/A</v>
      </c>
      <c r="H1354" s="54" t="e">
        <f>VLOOKUP(Table13[[#This Row],[kbli5]],kata_kunci!$B:$H,3,FALSE)</f>
        <v>#N/A</v>
      </c>
      <c r="I1354" s="84" t="e">
        <f>VLOOKUP(Table13[[#This Row],[kbli5]],kata_kunci!$B:$H,5,FALSE)</f>
        <v>#N/A</v>
      </c>
      <c r="J1354" s="84" t="e">
        <f>VLOOKUP(Table13[[#This Row],[kbli5]],kata_kunci!$B:$H,6,FALSE)</f>
        <v>#N/A</v>
      </c>
      <c r="K1354" s="84" t="e">
        <f>VLOOKUP(Table13[[#This Row],[kbli5]],kata_kunci!$B:$H,7,FALSE)</f>
        <v>#N/A</v>
      </c>
    </row>
    <row r="1355" spans="1:11" ht="45.75" thickBot="1" x14ac:dyDescent="0.3">
      <c r="A1355" s="53" t="s">
        <v>1574</v>
      </c>
      <c r="B1355" s="40">
        <v>84143</v>
      </c>
      <c r="C1355" s="41" t="s">
        <v>1591</v>
      </c>
      <c r="D1355" s="30" t="e">
        <f>VLOOKUP(Table13[[#This Row],[kbli5]],Table1[[#All],[kbli5]:[digital_hijau]],3,)</f>
        <v>#N/A</v>
      </c>
      <c r="E1355" s="53" t="e">
        <f>VLOOKUP(Table13[[#This Row],[kbli5]],kata_kunci!$B:$H,4,FALSE)</f>
        <v>#N/A</v>
      </c>
      <c r="F1355" s="53" t="e">
        <f>VLOOKUP(Table13[[#This Row],[kbli5]],Table1[[#All],[kbli5]:[digital_hijau]],5,)</f>
        <v>#N/A</v>
      </c>
      <c r="G1355" s="53" t="e">
        <f>VLOOKUP(Table13[[#This Row],[kbli5]],Table1[[#All],[kbli5]:[digital_hijau]],6,)</f>
        <v>#N/A</v>
      </c>
      <c r="H1355" s="54" t="e">
        <f>VLOOKUP(Table13[[#This Row],[kbli5]],kata_kunci!$B:$H,3,FALSE)</f>
        <v>#N/A</v>
      </c>
      <c r="I1355" s="84" t="e">
        <f>VLOOKUP(Table13[[#This Row],[kbli5]],kata_kunci!$B:$H,5,FALSE)</f>
        <v>#N/A</v>
      </c>
      <c r="J1355" s="84" t="e">
        <f>VLOOKUP(Table13[[#This Row],[kbli5]],kata_kunci!$B:$H,6,FALSE)</f>
        <v>#N/A</v>
      </c>
      <c r="K1355" s="84" t="e">
        <f>VLOOKUP(Table13[[#This Row],[kbli5]],kata_kunci!$B:$H,7,FALSE)</f>
        <v>#N/A</v>
      </c>
    </row>
    <row r="1356" spans="1:11" ht="45.75" thickBot="1" x14ac:dyDescent="0.3">
      <c r="A1356" s="53" t="s">
        <v>1574</v>
      </c>
      <c r="B1356" s="40">
        <v>84144</v>
      </c>
      <c r="C1356" s="41" t="s">
        <v>1592</v>
      </c>
      <c r="D1356" s="30" t="e">
        <f>VLOOKUP(Table13[[#This Row],[kbli5]],Table1[[#All],[kbli5]:[digital_hijau]],3,)</f>
        <v>#N/A</v>
      </c>
      <c r="E1356" s="53" t="e">
        <f>VLOOKUP(Table13[[#This Row],[kbli5]],kata_kunci!$B:$H,4,FALSE)</f>
        <v>#N/A</v>
      </c>
      <c r="F1356" s="53" t="e">
        <f>VLOOKUP(Table13[[#This Row],[kbli5]],Table1[[#All],[kbli5]:[digital_hijau]],5,)</f>
        <v>#N/A</v>
      </c>
      <c r="G1356" s="53" t="e">
        <f>VLOOKUP(Table13[[#This Row],[kbli5]],Table1[[#All],[kbli5]:[digital_hijau]],6,)</f>
        <v>#N/A</v>
      </c>
      <c r="H1356" s="54" t="e">
        <f>VLOOKUP(Table13[[#This Row],[kbli5]],kata_kunci!$B:$H,3,FALSE)</f>
        <v>#N/A</v>
      </c>
      <c r="I1356" s="84" t="e">
        <f>VLOOKUP(Table13[[#This Row],[kbli5]],kata_kunci!$B:$H,5,FALSE)</f>
        <v>#N/A</v>
      </c>
      <c r="J1356" s="84" t="e">
        <f>VLOOKUP(Table13[[#This Row],[kbli5]],kata_kunci!$B:$H,6,FALSE)</f>
        <v>#N/A</v>
      </c>
      <c r="K1356" s="84" t="e">
        <f>VLOOKUP(Table13[[#This Row],[kbli5]],kata_kunci!$B:$H,7,FALSE)</f>
        <v>#N/A</v>
      </c>
    </row>
    <row r="1357" spans="1:11" ht="45.75" thickBot="1" x14ac:dyDescent="0.3">
      <c r="A1357" s="53" t="s">
        <v>1574</v>
      </c>
      <c r="B1357" s="40">
        <v>84145</v>
      </c>
      <c r="C1357" s="41" t="s">
        <v>1593</v>
      </c>
      <c r="D1357" s="30" t="e">
        <f>VLOOKUP(Table13[[#This Row],[kbli5]],Table1[[#All],[kbli5]:[digital_hijau]],3,)</f>
        <v>#N/A</v>
      </c>
      <c r="E1357" s="53" t="e">
        <f>VLOOKUP(Table13[[#This Row],[kbli5]],kata_kunci!$B:$H,4,FALSE)</f>
        <v>#N/A</v>
      </c>
      <c r="F1357" s="53" t="e">
        <f>VLOOKUP(Table13[[#This Row],[kbli5]],Table1[[#All],[kbli5]:[digital_hijau]],5,)</f>
        <v>#N/A</v>
      </c>
      <c r="G1357" s="53" t="e">
        <f>VLOOKUP(Table13[[#This Row],[kbli5]],Table1[[#All],[kbli5]:[digital_hijau]],6,)</f>
        <v>#N/A</v>
      </c>
      <c r="H1357" s="54" t="e">
        <f>VLOOKUP(Table13[[#This Row],[kbli5]],kata_kunci!$B:$H,3,FALSE)</f>
        <v>#N/A</v>
      </c>
      <c r="I1357" s="84" t="e">
        <f>VLOOKUP(Table13[[#This Row],[kbli5]],kata_kunci!$B:$H,5,FALSE)</f>
        <v>#N/A</v>
      </c>
      <c r="J1357" s="84" t="e">
        <f>VLOOKUP(Table13[[#This Row],[kbli5]],kata_kunci!$B:$H,6,FALSE)</f>
        <v>#N/A</v>
      </c>
      <c r="K1357" s="84" t="e">
        <f>VLOOKUP(Table13[[#This Row],[kbli5]],kata_kunci!$B:$H,7,FALSE)</f>
        <v>#N/A</v>
      </c>
    </row>
    <row r="1358" spans="1:11" ht="45.75" thickBot="1" x14ac:dyDescent="0.3">
      <c r="A1358" s="53" t="s">
        <v>1574</v>
      </c>
      <c r="B1358" s="40">
        <v>84146</v>
      </c>
      <c r="C1358" s="41" t="s">
        <v>1594</v>
      </c>
      <c r="D1358" s="30" t="e">
        <f>VLOOKUP(Table13[[#This Row],[kbli5]],Table1[[#All],[kbli5]:[digital_hijau]],3,)</f>
        <v>#N/A</v>
      </c>
      <c r="E1358" s="53" t="e">
        <f>VLOOKUP(Table13[[#This Row],[kbli5]],kata_kunci!$B:$H,4,FALSE)</f>
        <v>#N/A</v>
      </c>
      <c r="F1358" s="53" t="e">
        <f>VLOOKUP(Table13[[#This Row],[kbli5]],Table1[[#All],[kbli5]:[digital_hijau]],5,)</f>
        <v>#N/A</v>
      </c>
      <c r="G1358" s="53" t="e">
        <f>VLOOKUP(Table13[[#This Row],[kbli5]],Table1[[#All],[kbli5]:[digital_hijau]],6,)</f>
        <v>#N/A</v>
      </c>
      <c r="H1358" s="54" t="e">
        <f>VLOOKUP(Table13[[#This Row],[kbli5]],kata_kunci!$B:$H,3,FALSE)</f>
        <v>#N/A</v>
      </c>
      <c r="I1358" s="84" t="e">
        <f>VLOOKUP(Table13[[#This Row],[kbli5]],kata_kunci!$B:$H,5,FALSE)</f>
        <v>#N/A</v>
      </c>
      <c r="J1358" s="84" t="e">
        <f>VLOOKUP(Table13[[#This Row],[kbli5]],kata_kunci!$B:$H,6,FALSE)</f>
        <v>#N/A</v>
      </c>
      <c r="K1358" s="84" t="e">
        <f>VLOOKUP(Table13[[#This Row],[kbli5]],kata_kunci!$B:$H,7,FALSE)</f>
        <v>#N/A</v>
      </c>
    </row>
    <row r="1359" spans="1:11" ht="45.75" thickBot="1" x14ac:dyDescent="0.3">
      <c r="A1359" s="53" t="s">
        <v>1574</v>
      </c>
      <c r="B1359" s="40">
        <v>84147</v>
      </c>
      <c r="C1359" s="41" t="s">
        <v>1595</v>
      </c>
      <c r="D1359" s="30" t="e">
        <f>VLOOKUP(Table13[[#This Row],[kbli5]],Table1[[#All],[kbli5]:[digital_hijau]],3,)</f>
        <v>#N/A</v>
      </c>
      <c r="E1359" s="53" t="e">
        <f>VLOOKUP(Table13[[#This Row],[kbli5]],kata_kunci!$B:$H,4,FALSE)</f>
        <v>#N/A</v>
      </c>
      <c r="F1359" s="53" t="e">
        <f>VLOOKUP(Table13[[#This Row],[kbli5]],Table1[[#All],[kbli5]:[digital_hijau]],5,)</f>
        <v>#N/A</v>
      </c>
      <c r="G1359" s="53" t="e">
        <f>VLOOKUP(Table13[[#This Row],[kbli5]],Table1[[#All],[kbli5]:[digital_hijau]],6,)</f>
        <v>#N/A</v>
      </c>
      <c r="H1359" s="54" t="e">
        <f>VLOOKUP(Table13[[#This Row],[kbli5]],kata_kunci!$B:$H,3,FALSE)</f>
        <v>#N/A</v>
      </c>
      <c r="I1359" s="84" t="e">
        <f>VLOOKUP(Table13[[#This Row],[kbli5]],kata_kunci!$B:$H,5,FALSE)</f>
        <v>#N/A</v>
      </c>
      <c r="J1359" s="84" t="e">
        <f>VLOOKUP(Table13[[#This Row],[kbli5]],kata_kunci!$B:$H,6,FALSE)</f>
        <v>#N/A</v>
      </c>
      <c r="K1359" s="84" t="e">
        <f>VLOOKUP(Table13[[#This Row],[kbli5]],kata_kunci!$B:$H,7,FALSE)</f>
        <v>#N/A</v>
      </c>
    </row>
    <row r="1360" spans="1:11" ht="45.75" thickBot="1" x14ac:dyDescent="0.3">
      <c r="A1360" s="53" t="s">
        <v>1574</v>
      </c>
      <c r="B1360" s="40">
        <v>84148</v>
      </c>
      <c r="C1360" s="41" t="s">
        <v>1596</v>
      </c>
      <c r="D1360" s="30" t="e">
        <f>VLOOKUP(Table13[[#This Row],[kbli5]],Table1[[#All],[kbli5]:[digital_hijau]],3,)</f>
        <v>#N/A</v>
      </c>
      <c r="E1360" s="53" t="e">
        <f>VLOOKUP(Table13[[#This Row],[kbli5]],kata_kunci!$B:$H,4,FALSE)</f>
        <v>#N/A</v>
      </c>
      <c r="F1360" s="53" t="e">
        <f>VLOOKUP(Table13[[#This Row],[kbli5]],Table1[[#All],[kbli5]:[digital_hijau]],5,)</f>
        <v>#N/A</v>
      </c>
      <c r="G1360" s="53" t="e">
        <f>VLOOKUP(Table13[[#This Row],[kbli5]],Table1[[#All],[kbli5]:[digital_hijau]],6,)</f>
        <v>#N/A</v>
      </c>
      <c r="H1360" s="54" t="e">
        <f>VLOOKUP(Table13[[#This Row],[kbli5]],kata_kunci!$B:$H,3,FALSE)</f>
        <v>#N/A</v>
      </c>
      <c r="I1360" s="84" t="e">
        <f>VLOOKUP(Table13[[#This Row],[kbli5]],kata_kunci!$B:$H,5,FALSE)</f>
        <v>#N/A</v>
      </c>
      <c r="J1360" s="84" t="e">
        <f>VLOOKUP(Table13[[#This Row],[kbli5]],kata_kunci!$B:$H,6,FALSE)</f>
        <v>#N/A</v>
      </c>
      <c r="K1360" s="84" t="e">
        <f>VLOOKUP(Table13[[#This Row],[kbli5]],kata_kunci!$B:$H,7,FALSE)</f>
        <v>#N/A</v>
      </c>
    </row>
    <row r="1361" spans="1:11" ht="45.75" thickBot="1" x14ac:dyDescent="0.3">
      <c r="A1361" s="53" t="s">
        <v>1574</v>
      </c>
      <c r="B1361" s="40">
        <v>84149</v>
      </c>
      <c r="C1361" s="41" t="s">
        <v>1597</v>
      </c>
      <c r="D1361" s="30" t="e">
        <f>VLOOKUP(Table13[[#This Row],[kbli5]],Table1[[#All],[kbli5]:[digital_hijau]],3,)</f>
        <v>#N/A</v>
      </c>
      <c r="E1361" s="53" t="e">
        <f>VLOOKUP(Table13[[#This Row],[kbli5]],kata_kunci!$B:$H,4,FALSE)</f>
        <v>#N/A</v>
      </c>
      <c r="F1361" s="53" t="e">
        <f>VLOOKUP(Table13[[#This Row],[kbli5]],Table1[[#All],[kbli5]:[digital_hijau]],5,)</f>
        <v>#N/A</v>
      </c>
      <c r="G1361" s="53" t="e">
        <f>VLOOKUP(Table13[[#This Row],[kbli5]],Table1[[#All],[kbli5]:[digital_hijau]],6,)</f>
        <v>#N/A</v>
      </c>
      <c r="H1361" s="54" t="e">
        <f>VLOOKUP(Table13[[#This Row],[kbli5]],kata_kunci!$B:$H,3,FALSE)</f>
        <v>#N/A</v>
      </c>
      <c r="I1361" s="84" t="e">
        <f>VLOOKUP(Table13[[#This Row],[kbli5]],kata_kunci!$B:$H,5,FALSE)</f>
        <v>#N/A</v>
      </c>
      <c r="J1361" s="84" t="e">
        <f>VLOOKUP(Table13[[#This Row],[kbli5]],kata_kunci!$B:$H,6,FALSE)</f>
        <v>#N/A</v>
      </c>
      <c r="K1361" s="84" t="e">
        <f>VLOOKUP(Table13[[#This Row],[kbli5]],kata_kunci!$B:$H,7,FALSE)</f>
        <v>#N/A</v>
      </c>
    </row>
    <row r="1362" spans="1:11" ht="15.75" thickBot="1" x14ac:dyDescent="0.3">
      <c r="A1362" s="53" t="s">
        <v>1574</v>
      </c>
      <c r="B1362" s="40">
        <v>84210</v>
      </c>
      <c r="C1362" s="41" t="s">
        <v>1598</v>
      </c>
      <c r="D1362" s="30" t="e">
        <f>VLOOKUP(Table13[[#This Row],[kbli5]],Table1[[#All],[kbli5]:[digital_hijau]],3,)</f>
        <v>#N/A</v>
      </c>
      <c r="E1362" s="53" t="e">
        <f>VLOOKUP(Table13[[#This Row],[kbli5]],kata_kunci!$B:$H,4,FALSE)</f>
        <v>#N/A</v>
      </c>
      <c r="F1362" s="53" t="e">
        <f>VLOOKUP(Table13[[#This Row],[kbli5]],Table1[[#All],[kbli5]:[digital_hijau]],5,)</f>
        <v>#N/A</v>
      </c>
      <c r="G1362" s="53" t="e">
        <f>VLOOKUP(Table13[[#This Row],[kbli5]],Table1[[#All],[kbli5]:[digital_hijau]],6,)</f>
        <v>#N/A</v>
      </c>
      <c r="H1362" s="54" t="e">
        <f>VLOOKUP(Table13[[#This Row],[kbli5]],kata_kunci!$B:$H,3,FALSE)</f>
        <v>#N/A</v>
      </c>
      <c r="I1362" s="84" t="e">
        <f>VLOOKUP(Table13[[#This Row],[kbli5]],kata_kunci!$B:$H,5,FALSE)</f>
        <v>#N/A</v>
      </c>
      <c r="J1362" s="84" t="e">
        <f>VLOOKUP(Table13[[#This Row],[kbli5]],kata_kunci!$B:$H,6,FALSE)</f>
        <v>#N/A</v>
      </c>
      <c r="K1362" s="84" t="e">
        <f>VLOOKUP(Table13[[#This Row],[kbli5]],kata_kunci!$B:$H,7,FALSE)</f>
        <v>#N/A</v>
      </c>
    </row>
    <row r="1363" spans="1:11" ht="45.75" thickBot="1" x14ac:dyDescent="0.3">
      <c r="A1363" s="53" t="s">
        <v>1574</v>
      </c>
      <c r="B1363" s="40">
        <v>84221</v>
      </c>
      <c r="C1363" s="41" t="s">
        <v>1599</v>
      </c>
      <c r="D1363" s="30" t="e">
        <f>VLOOKUP(Table13[[#This Row],[kbli5]],Table1[[#All],[kbli5]:[digital_hijau]],3,)</f>
        <v>#N/A</v>
      </c>
      <c r="E1363" s="53" t="e">
        <f>VLOOKUP(Table13[[#This Row],[kbli5]],kata_kunci!$B:$H,4,FALSE)</f>
        <v>#N/A</v>
      </c>
      <c r="F1363" s="53" t="e">
        <f>VLOOKUP(Table13[[#This Row],[kbli5]],Table1[[#All],[kbli5]:[digital_hijau]],5,)</f>
        <v>#N/A</v>
      </c>
      <c r="G1363" s="53" t="e">
        <f>VLOOKUP(Table13[[#This Row],[kbli5]],Table1[[#All],[kbli5]:[digital_hijau]],6,)</f>
        <v>#N/A</v>
      </c>
      <c r="H1363" s="54" t="e">
        <f>VLOOKUP(Table13[[#This Row],[kbli5]],kata_kunci!$B:$H,3,FALSE)</f>
        <v>#N/A</v>
      </c>
      <c r="I1363" s="84" t="e">
        <f>VLOOKUP(Table13[[#This Row],[kbli5]],kata_kunci!$B:$H,5,FALSE)</f>
        <v>#N/A</v>
      </c>
      <c r="J1363" s="84" t="e">
        <f>VLOOKUP(Table13[[#This Row],[kbli5]],kata_kunci!$B:$H,6,FALSE)</f>
        <v>#N/A</v>
      </c>
      <c r="K1363" s="84" t="e">
        <f>VLOOKUP(Table13[[#This Row],[kbli5]],kata_kunci!$B:$H,7,FALSE)</f>
        <v>#N/A</v>
      </c>
    </row>
    <row r="1364" spans="1:11" ht="15.75" thickBot="1" x14ac:dyDescent="0.3">
      <c r="A1364" s="53" t="s">
        <v>1574</v>
      </c>
      <c r="B1364" s="40">
        <v>84222</v>
      </c>
      <c r="C1364" s="41" t="s">
        <v>1600</v>
      </c>
      <c r="D1364" s="30" t="e">
        <f>VLOOKUP(Table13[[#This Row],[kbli5]],Table1[[#All],[kbli5]:[digital_hijau]],3,)</f>
        <v>#N/A</v>
      </c>
      <c r="E1364" s="53" t="e">
        <f>VLOOKUP(Table13[[#This Row],[kbli5]],kata_kunci!$B:$H,4,FALSE)</f>
        <v>#N/A</v>
      </c>
      <c r="F1364" s="53" t="e">
        <f>VLOOKUP(Table13[[#This Row],[kbli5]],Table1[[#All],[kbli5]:[digital_hijau]],5,)</f>
        <v>#N/A</v>
      </c>
      <c r="G1364" s="53" t="e">
        <f>VLOOKUP(Table13[[#This Row],[kbli5]],Table1[[#All],[kbli5]:[digital_hijau]],6,)</f>
        <v>#N/A</v>
      </c>
      <c r="H1364" s="54" t="e">
        <f>VLOOKUP(Table13[[#This Row],[kbli5]],kata_kunci!$B:$H,3,FALSE)</f>
        <v>#N/A</v>
      </c>
      <c r="I1364" s="84" t="e">
        <f>VLOOKUP(Table13[[#This Row],[kbli5]],kata_kunci!$B:$H,5,FALSE)</f>
        <v>#N/A</v>
      </c>
      <c r="J1364" s="84" t="e">
        <f>VLOOKUP(Table13[[#This Row],[kbli5]],kata_kunci!$B:$H,6,FALSE)</f>
        <v>#N/A</v>
      </c>
      <c r="K1364" s="84" t="e">
        <f>VLOOKUP(Table13[[#This Row],[kbli5]],kata_kunci!$B:$H,7,FALSE)</f>
        <v>#N/A</v>
      </c>
    </row>
    <row r="1365" spans="1:11" ht="15.75" thickBot="1" x14ac:dyDescent="0.3">
      <c r="A1365" s="53" t="s">
        <v>1574</v>
      </c>
      <c r="B1365" s="40">
        <v>84223</v>
      </c>
      <c r="C1365" s="41" t="s">
        <v>1601</v>
      </c>
      <c r="D1365" s="30" t="e">
        <f>VLOOKUP(Table13[[#This Row],[kbli5]],Table1[[#All],[kbli5]:[digital_hijau]],3,)</f>
        <v>#N/A</v>
      </c>
      <c r="E1365" s="53" t="e">
        <f>VLOOKUP(Table13[[#This Row],[kbli5]],kata_kunci!$B:$H,4,FALSE)</f>
        <v>#N/A</v>
      </c>
      <c r="F1365" s="53" t="e">
        <f>VLOOKUP(Table13[[#This Row],[kbli5]],Table1[[#All],[kbli5]:[digital_hijau]],5,)</f>
        <v>#N/A</v>
      </c>
      <c r="G1365" s="53" t="e">
        <f>VLOOKUP(Table13[[#This Row],[kbli5]],Table1[[#All],[kbli5]:[digital_hijau]],6,)</f>
        <v>#N/A</v>
      </c>
      <c r="H1365" s="54" t="e">
        <f>VLOOKUP(Table13[[#This Row],[kbli5]],kata_kunci!$B:$H,3,FALSE)</f>
        <v>#N/A</v>
      </c>
      <c r="I1365" s="84" t="e">
        <f>VLOOKUP(Table13[[#This Row],[kbli5]],kata_kunci!$B:$H,5,FALSE)</f>
        <v>#N/A</v>
      </c>
      <c r="J1365" s="84" t="e">
        <f>VLOOKUP(Table13[[#This Row],[kbli5]],kata_kunci!$B:$H,6,FALSE)</f>
        <v>#N/A</v>
      </c>
      <c r="K1365" s="84" t="e">
        <f>VLOOKUP(Table13[[#This Row],[kbli5]],kata_kunci!$B:$H,7,FALSE)</f>
        <v>#N/A</v>
      </c>
    </row>
    <row r="1366" spans="1:11" ht="15.75" thickBot="1" x14ac:dyDescent="0.3">
      <c r="A1366" s="53" t="s">
        <v>1574</v>
      </c>
      <c r="B1366" s="40">
        <v>84224</v>
      </c>
      <c r="C1366" s="41" t="s">
        <v>1602</v>
      </c>
      <c r="D1366" s="30" t="e">
        <f>VLOOKUP(Table13[[#This Row],[kbli5]],Table1[[#All],[kbli5]:[digital_hijau]],3,)</f>
        <v>#N/A</v>
      </c>
      <c r="E1366" s="53" t="e">
        <f>VLOOKUP(Table13[[#This Row],[kbli5]],kata_kunci!$B:$H,4,FALSE)</f>
        <v>#N/A</v>
      </c>
      <c r="F1366" s="53" t="e">
        <f>VLOOKUP(Table13[[#This Row],[kbli5]],Table1[[#All],[kbli5]:[digital_hijau]],5,)</f>
        <v>#N/A</v>
      </c>
      <c r="G1366" s="53" t="e">
        <f>VLOOKUP(Table13[[#This Row],[kbli5]],Table1[[#All],[kbli5]:[digital_hijau]],6,)</f>
        <v>#N/A</v>
      </c>
      <c r="H1366" s="54" t="e">
        <f>VLOOKUP(Table13[[#This Row],[kbli5]],kata_kunci!$B:$H,3,FALSE)</f>
        <v>#N/A</v>
      </c>
      <c r="I1366" s="84" t="e">
        <f>VLOOKUP(Table13[[#This Row],[kbli5]],kata_kunci!$B:$H,5,FALSE)</f>
        <v>#N/A</v>
      </c>
      <c r="J1366" s="84" t="e">
        <f>VLOOKUP(Table13[[#This Row],[kbli5]],kata_kunci!$B:$H,6,FALSE)</f>
        <v>#N/A</v>
      </c>
      <c r="K1366" s="84" t="e">
        <f>VLOOKUP(Table13[[#This Row],[kbli5]],kata_kunci!$B:$H,7,FALSE)</f>
        <v>#N/A</v>
      </c>
    </row>
    <row r="1367" spans="1:11" ht="15.75" thickBot="1" x14ac:dyDescent="0.3">
      <c r="A1367" s="53" t="s">
        <v>1574</v>
      </c>
      <c r="B1367" s="40">
        <v>84231</v>
      </c>
      <c r="C1367" s="41" t="s">
        <v>1603</v>
      </c>
      <c r="D1367" s="30" t="e">
        <f>VLOOKUP(Table13[[#This Row],[kbli5]],Table1[[#All],[kbli5]:[digital_hijau]],3,)</f>
        <v>#N/A</v>
      </c>
      <c r="E1367" s="53" t="e">
        <f>VLOOKUP(Table13[[#This Row],[kbli5]],kata_kunci!$B:$H,4,FALSE)</f>
        <v>#N/A</v>
      </c>
      <c r="F1367" s="53" t="e">
        <f>VLOOKUP(Table13[[#This Row],[kbli5]],Table1[[#All],[kbli5]:[digital_hijau]],5,)</f>
        <v>#N/A</v>
      </c>
      <c r="G1367" s="53" t="e">
        <f>VLOOKUP(Table13[[#This Row],[kbli5]],Table1[[#All],[kbli5]:[digital_hijau]],6,)</f>
        <v>#N/A</v>
      </c>
      <c r="H1367" s="54" t="e">
        <f>VLOOKUP(Table13[[#This Row],[kbli5]],kata_kunci!$B:$H,3,FALSE)</f>
        <v>#N/A</v>
      </c>
      <c r="I1367" s="84" t="e">
        <f>VLOOKUP(Table13[[#This Row],[kbli5]],kata_kunci!$B:$H,5,FALSE)</f>
        <v>#N/A</v>
      </c>
      <c r="J1367" s="84" t="e">
        <f>VLOOKUP(Table13[[#This Row],[kbli5]],kata_kunci!$B:$H,6,FALSE)</f>
        <v>#N/A</v>
      </c>
      <c r="K1367" s="84" t="e">
        <f>VLOOKUP(Table13[[#This Row],[kbli5]],kata_kunci!$B:$H,7,FALSE)</f>
        <v>#N/A</v>
      </c>
    </row>
    <row r="1368" spans="1:11" ht="15.75" thickBot="1" x14ac:dyDescent="0.3">
      <c r="A1368" s="53" t="s">
        <v>1574</v>
      </c>
      <c r="B1368" s="40">
        <v>84232</v>
      </c>
      <c r="C1368" s="41" t="s">
        <v>1604</v>
      </c>
      <c r="D1368" s="30" t="e">
        <f>VLOOKUP(Table13[[#This Row],[kbli5]],Table1[[#All],[kbli5]:[digital_hijau]],3,)</f>
        <v>#N/A</v>
      </c>
      <c r="E1368" s="53" t="e">
        <f>VLOOKUP(Table13[[#This Row],[kbli5]],kata_kunci!$B:$H,4,FALSE)</f>
        <v>#N/A</v>
      </c>
      <c r="F1368" s="53" t="e">
        <f>VLOOKUP(Table13[[#This Row],[kbli5]],Table1[[#All],[kbli5]:[digital_hijau]],5,)</f>
        <v>#N/A</v>
      </c>
      <c r="G1368" s="53" t="e">
        <f>VLOOKUP(Table13[[#This Row],[kbli5]],Table1[[#All],[kbli5]:[digital_hijau]],6,)</f>
        <v>#N/A</v>
      </c>
      <c r="H1368" s="54" t="e">
        <f>VLOOKUP(Table13[[#This Row],[kbli5]],kata_kunci!$B:$H,3,FALSE)</f>
        <v>#N/A</v>
      </c>
      <c r="I1368" s="84" t="e">
        <f>VLOOKUP(Table13[[#This Row],[kbli5]],kata_kunci!$B:$H,5,FALSE)</f>
        <v>#N/A</v>
      </c>
      <c r="J1368" s="84" t="e">
        <f>VLOOKUP(Table13[[#This Row],[kbli5]],kata_kunci!$B:$H,6,FALSE)</f>
        <v>#N/A</v>
      </c>
      <c r="K1368" s="84" t="e">
        <f>VLOOKUP(Table13[[#This Row],[kbli5]],kata_kunci!$B:$H,7,FALSE)</f>
        <v>#N/A</v>
      </c>
    </row>
    <row r="1369" spans="1:11" ht="30.75" thickBot="1" x14ac:dyDescent="0.3">
      <c r="A1369" s="53" t="s">
        <v>1574</v>
      </c>
      <c r="B1369" s="40">
        <v>84233</v>
      </c>
      <c r="C1369" s="41" t="s">
        <v>1605</v>
      </c>
      <c r="D1369" s="30" t="e">
        <f>VLOOKUP(Table13[[#This Row],[kbli5]],Table1[[#All],[kbli5]:[digital_hijau]],3,)</f>
        <v>#N/A</v>
      </c>
      <c r="E1369" s="53" t="e">
        <f>VLOOKUP(Table13[[#This Row],[kbli5]],kata_kunci!$B:$H,4,FALSE)</f>
        <v>#N/A</v>
      </c>
      <c r="F1369" s="53" t="e">
        <f>VLOOKUP(Table13[[#This Row],[kbli5]],Table1[[#All],[kbli5]:[digital_hijau]],5,)</f>
        <v>#N/A</v>
      </c>
      <c r="G1369" s="53" t="e">
        <f>VLOOKUP(Table13[[#This Row],[kbli5]],Table1[[#All],[kbli5]:[digital_hijau]],6,)</f>
        <v>#N/A</v>
      </c>
      <c r="H1369" s="54" t="e">
        <f>VLOOKUP(Table13[[#This Row],[kbli5]],kata_kunci!$B:$H,3,FALSE)</f>
        <v>#N/A</v>
      </c>
      <c r="I1369" s="84" t="e">
        <f>VLOOKUP(Table13[[#This Row],[kbli5]],kata_kunci!$B:$H,5,FALSE)</f>
        <v>#N/A</v>
      </c>
      <c r="J1369" s="84" t="e">
        <f>VLOOKUP(Table13[[#This Row],[kbli5]],kata_kunci!$B:$H,6,FALSE)</f>
        <v>#N/A</v>
      </c>
      <c r="K1369" s="84" t="e">
        <f>VLOOKUP(Table13[[#This Row],[kbli5]],kata_kunci!$B:$H,7,FALSE)</f>
        <v>#N/A</v>
      </c>
    </row>
    <row r="1370" spans="1:11" ht="45.75" thickBot="1" x14ac:dyDescent="0.3">
      <c r="A1370" s="53" t="s">
        <v>1574</v>
      </c>
      <c r="B1370" s="40">
        <v>84234</v>
      </c>
      <c r="C1370" s="41" t="s">
        <v>1606</v>
      </c>
      <c r="D1370" s="30" t="e">
        <f>VLOOKUP(Table13[[#This Row],[kbli5]],Table1[[#All],[kbli5]:[digital_hijau]],3,)</f>
        <v>#N/A</v>
      </c>
      <c r="E1370" s="53" t="e">
        <f>VLOOKUP(Table13[[#This Row],[kbli5]],kata_kunci!$B:$H,4,FALSE)</f>
        <v>#N/A</v>
      </c>
      <c r="F1370" s="53" t="e">
        <f>VLOOKUP(Table13[[#This Row],[kbli5]],Table1[[#All],[kbli5]:[digital_hijau]],5,)</f>
        <v>#N/A</v>
      </c>
      <c r="G1370" s="53" t="e">
        <f>VLOOKUP(Table13[[#This Row],[kbli5]],Table1[[#All],[kbli5]:[digital_hijau]],6,)</f>
        <v>#N/A</v>
      </c>
      <c r="H1370" s="54" t="e">
        <f>VLOOKUP(Table13[[#This Row],[kbli5]],kata_kunci!$B:$H,3,FALSE)</f>
        <v>#N/A</v>
      </c>
      <c r="I1370" s="84" t="e">
        <f>VLOOKUP(Table13[[#This Row],[kbli5]],kata_kunci!$B:$H,5,FALSE)</f>
        <v>#N/A</v>
      </c>
      <c r="J1370" s="84" t="e">
        <f>VLOOKUP(Table13[[#This Row],[kbli5]],kata_kunci!$B:$H,6,FALSE)</f>
        <v>#N/A</v>
      </c>
      <c r="K1370" s="84" t="e">
        <f>VLOOKUP(Table13[[#This Row],[kbli5]],kata_kunci!$B:$H,7,FALSE)</f>
        <v>#N/A</v>
      </c>
    </row>
    <row r="1371" spans="1:11" ht="30.75" thickBot="1" x14ac:dyDescent="0.3">
      <c r="A1371" s="53" t="s">
        <v>1574</v>
      </c>
      <c r="B1371" s="40">
        <v>84300</v>
      </c>
      <c r="C1371" s="41" t="s">
        <v>1607</v>
      </c>
      <c r="D1371" s="30" t="e">
        <f>VLOOKUP(Table13[[#This Row],[kbli5]],Table1[[#All],[kbli5]:[digital_hijau]],3,)</f>
        <v>#N/A</v>
      </c>
      <c r="E1371" s="53" t="e">
        <f>VLOOKUP(Table13[[#This Row],[kbli5]],kata_kunci!$B:$H,4,FALSE)</f>
        <v>#N/A</v>
      </c>
      <c r="F1371" s="53" t="e">
        <f>VLOOKUP(Table13[[#This Row],[kbli5]],Table1[[#All],[kbli5]:[digital_hijau]],5,)</f>
        <v>#N/A</v>
      </c>
      <c r="G1371" s="53" t="e">
        <f>VLOOKUP(Table13[[#This Row],[kbli5]],Table1[[#All],[kbli5]:[digital_hijau]],6,)</f>
        <v>#N/A</v>
      </c>
      <c r="H1371" s="54" t="e">
        <f>VLOOKUP(Table13[[#This Row],[kbli5]],kata_kunci!$B:$H,3,FALSE)</f>
        <v>#N/A</v>
      </c>
      <c r="I1371" s="84" t="e">
        <f>VLOOKUP(Table13[[#This Row],[kbli5]],kata_kunci!$B:$H,5,FALSE)</f>
        <v>#N/A</v>
      </c>
      <c r="J1371" s="84" t="e">
        <f>VLOOKUP(Table13[[#This Row],[kbli5]],kata_kunci!$B:$H,6,FALSE)</f>
        <v>#N/A</v>
      </c>
      <c r="K1371" s="84" t="e">
        <f>VLOOKUP(Table13[[#This Row],[kbli5]],kata_kunci!$B:$H,7,FALSE)</f>
        <v>#N/A</v>
      </c>
    </row>
    <row r="1372" spans="1:11" ht="45.75" thickBot="1" x14ac:dyDescent="0.3">
      <c r="A1372" s="53" t="s">
        <v>46</v>
      </c>
      <c r="B1372" s="17">
        <v>85101</v>
      </c>
      <c r="C1372" s="41" t="s">
        <v>47</v>
      </c>
      <c r="D1372" s="30" t="str">
        <f>VLOOKUP(Table13[[#This Row],[kbli5]],Table1[[#All],[kbli5]:[digital_hijau]],3,)</f>
        <v>TK Negeri; TK Pembina;</v>
      </c>
      <c r="E1372" s="53" t="e">
        <f>VLOOKUP(Table13[[#This Row],[kbli5]],kata_kunci!$B:$H,4,FALSE)</f>
        <v>#N/A</v>
      </c>
      <c r="F1372" s="53" t="str">
        <f>VLOOKUP(Table13[[#This Row],[kbli5]],Table1[[#All],[kbli5]:[digital_hijau]],5,)</f>
        <v>Esensial</v>
      </c>
      <c r="G1372" s="53">
        <f>VLOOKUP(Table13[[#This Row],[kbli5]],Table1[[#All],[kbli5]:[digital_hijau]],6,)</f>
        <v>0</v>
      </c>
      <c r="H1372" s="54" t="e">
        <f>VLOOKUP(Table13[[#This Row],[kbli5]],kata_kunci!$B:$H,3,FALSE)</f>
        <v>#N/A</v>
      </c>
      <c r="I1372" s="84" t="e">
        <f>VLOOKUP(Table13[[#This Row],[kbli5]],kata_kunci!$B:$H,5,FALSE)</f>
        <v>#N/A</v>
      </c>
      <c r="J1372" s="84" t="e">
        <f>VLOOKUP(Table13[[#This Row],[kbli5]],kata_kunci!$B:$H,6,FALSE)</f>
        <v>#N/A</v>
      </c>
      <c r="K1372" s="84" t="e">
        <f>VLOOKUP(Table13[[#This Row],[kbli5]],kata_kunci!$B:$H,7,FALSE)</f>
        <v>#N/A</v>
      </c>
    </row>
    <row r="1373" spans="1:11" ht="45.75" thickBot="1" x14ac:dyDescent="0.3">
      <c r="A1373" s="53" t="s">
        <v>46</v>
      </c>
      <c r="B1373" s="17">
        <v>85102</v>
      </c>
      <c r="C1373" s="41" t="s">
        <v>48</v>
      </c>
      <c r="D1373" s="30" t="str">
        <f>VLOOKUP(Table13[[#This Row],[kbli5]],Table1[[#All],[kbli5]:[digital_hijau]],3,)</f>
        <v>TK Swasta Umum; TK Bhayangkari; TK Kartika;</v>
      </c>
      <c r="E1373" s="53" t="e">
        <f>VLOOKUP(Table13[[#This Row],[kbli5]],kata_kunci!$B:$H,4,FALSE)</f>
        <v>#N/A</v>
      </c>
      <c r="F1373" s="53" t="str">
        <f>VLOOKUP(Table13[[#This Row],[kbli5]],Table1[[#All],[kbli5]:[digital_hijau]],5,)</f>
        <v>Esensial</v>
      </c>
      <c r="G1373" s="53">
        <f>VLOOKUP(Table13[[#This Row],[kbli5]],Table1[[#All],[kbli5]:[digital_hijau]],6,)</f>
        <v>0</v>
      </c>
      <c r="H1373" s="54" t="e">
        <f>VLOOKUP(Table13[[#This Row],[kbli5]],kata_kunci!$B:$H,3,FALSE)</f>
        <v>#N/A</v>
      </c>
      <c r="I1373" s="84" t="e">
        <f>VLOOKUP(Table13[[#This Row],[kbli5]],kata_kunci!$B:$H,5,FALSE)</f>
        <v>#N/A</v>
      </c>
      <c r="J1373" s="84" t="e">
        <f>VLOOKUP(Table13[[#This Row],[kbli5]],kata_kunci!$B:$H,6,FALSE)</f>
        <v>#N/A</v>
      </c>
      <c r="K1373" s="84" t="e">
        <f>VLOOKUP(Table13[[#This Row],[kbli5]],kata_kunci!$B:$H,7,FALSE)</f>
        <v>#N/A</v>
      </c>
    </row>
    <row r="1374" spans="1:11" ht="30.75" thickBot="1" x14ac:dyDescent="0.3">
      <c r="A1374" s="53" t="s">
        <v>46</v>
      </c>
      <c r="B1374" s="17">
        <v>85103</v>
      </c>
      <c r="C1374" s="41" t="s">
        <v>49</v>
      </c>
      <c r="D1374" s="30" t="str">
        <f>VLOOKUP(Table13[[#This Row],[kbli5]],Table1[[#All],[kbli5]:[digital_hijau]],3,)</f>
        <v>TK Islam; TK Aisyiah; TK Annamiroh; RA;</v>
      </c>
      <c r="E1374" s="53" t="e">
        <f>VLOOKUP(Table13[[#This Row],[kbli5]],kata_kunci!$B:$H,4,FALSE)</f>
        <v>#N/A</v>
      </c>
      <c r="F1374" s="53" t="str">
        <f>VLOOKUP(Table13[[#This Row],[kbli5]],Table1[[#All],[kbli5]:[digital_hijau]],5,)</f>
        <v>Esensial</v>
      </c>
      <c r="G1374" s="53">
        <f>VLOOKUP(Table13[[#This Row],[kbli5]],Table1[[#All],[kbli5]:[digital_hijau]],6,)</f>
        <v>0</v>
      </c>
      <c r="H1374" s="54" t="e">
        <f>VLOOKUP(Table13[[#This Row],[kbli5]],kata_kunci!$B:$H,3,FALSE)</f>
        <v>#N/A</v>
      </c>
      <c r="I1374" s="84" t="e">
        <f>VLOOKUP(Table13[[#This Row],[kbli5]],kata_kunci!$B:$H,5,FALSE)</f>
        <v>#N/A</v>
      </c>
      <c r="J1374" s="84" t="e">
        <f>VLOOKUP(Table13[[#This Row],[kbli5]],kata_kunci!$B:$H,6,FALSE)</f>
        <v>#N/A</v>
      </c>
      <c r="K1374" s="84" t="e">
        <f>VLOOKUP(Table13[[#This Row],[kbli5]],kata_kunci!$B:$H,7,FALSE)</f>
        <v>#N/A</v>
      </c>
    </row>
    <row r="1375" spans="1:11" ht="45.75" thickBot="1" x14ac:dyDescent="0.3">
      <c r="A1375" s="53" t="s">
        <v>46</v>
      </c>
      <c r="B1375" s="17">
        <v>85104</v>
      </c>
      <c r="C1375" s="41" t="s">
        <v>50</v>
      </c>
      <c r="D1375" s="30" t="str">
        <f>VLOOKUP(Table13[[#This Row],[kbli5]],Table1[[#All],[kbli5]:[digital_hijau]],3,)</f>
        <v>TK Protestan; Katolik; Hindu; Buddha; Konghucu; TK Exaudi HKBP; TK Meta Maitreya;</v>
      </c>
      <c r="E1375" s="53" t="e">
        <f>VLOOKUP(Table13[[#This Row],[kbli5]],kata_kunci!$B:$H,4,FALSE)</f>
        <v>#N/A</v>
      </c>
      <c r="F1375" s="53" t="str">
        <f>VLOOKUP(Table13[[#This Row],[kbli5]],Table1[[#All],[kbli5]:[digital_hijau]],5,)</f>
        <v>Esensial</v>
      </c>
      <c r="G1375" s="53">
        <f>VLOOKUP(Table13[[#This Row],[kbli5]],Table1[[#All],[kbli5]:[digital_hijau]],6,)</f>
        <v>0</v>
      </c>
      <c r="H1375" s="54" t="e">
        <f>VLOOKUP(Table13[[#This Row],[kbli5]],kata_kunci!$B:$H,3,FALSE)</f>
        <v>#N/A</v>
      </c>
      <c r="I1375" s="84" t="e">
        <f>VLOOKUP(Table13[[#This Row],[kbli5]],kata_kunci!$B:$H,5,FALSE)</f>
        <v>#N/A</v>
      </c>
      <c r="J1375" s="84" t="e">
        <f>VLOOKUP(Table13[[#This Row],[kbli5]],kata_kunci!$B:$H,6,FALSE)</f>
        <v>#N/A</v>
      </c>
      <c r="K1375" s="84" t="e">
        <f>VLOOKUP(Table13[[#This Row],[kbli5]],kata_kunci!$B:$H,7,FALSE)</f>
        <v>#N/A</v>
      </c>
    </row>
    <row r="1376" spans="1:11" ht="30.75" thickBot="1" x14ac:dyDescent="0.3">
      <c r="A1376" s="53" t="s">
        <v>46</v>
      </c>
      <c r="B1376" s="40">
        <v>85201</v>
      </c>
      <c r="C1376" s="41" t="s">
        <v>51</v>
      </c>
      <c r="D1376" s="30" t="str">
        <f>VLOOKUP(Table13[[#This Row],[kbli5]],Table1[[#All],[kbli5]:[digital_hijau]],3,)</f>
        <v>SD Negeri;</v>
      </c>
      <c r="E1376" s="53" t="e">
        <f>VLOOKUP(Table13[[#This Row],[kbli5]],kata_kunci!$B:$H,4,FALSE)</f>
        <v>#N/A</v>
      </c>
      <c r="F1376" s="53" t="str">
        <f>VLOOKUP(Table13[[#This Row],[kbli5]],Table1[[#All],[kbli5]:[digital_hijau]],5,)</f>
        <v>Esensial</v>
      </c>
      <c r="G1376" s="53">
        <f>VLOOKUP(Table13[[#This Row],[kbli5]],Table1[[#All],[kbli5]:[digital_hijau]],6,)</f>
        <v>0</v>
      </c>
      <c r="H1376" s="54" t="e">
        <f>VLOOKUP(Table13[[#This Row],[kbli5]],kata_kunci!$B:$H,3,FALSE)</f>
        <v>#N/A</v>
      </c>
      <c r="I1376" s="84" t="e">
        <f>VLOOKUP(Table13[[#This Row],[kbli5]],kata_kunci!$B:$H,5,FALSE)</f>
        <v>#N/A</v>
      </c>
      <c r="J1376" s="84" t="e">
        <f>VLOOKUP(Table13[[#This Row],[kbli5]],kata_kunci!$B:$H,6,FALSE)</f>
        <v>#N/A</v>
      </c>
      <c r="K1376" s="84" t="e">
        <f>VLOOKUP(Table13[[#This Row],[kbli5]],kata_kunci!$B:$H,7,FALSE)</f>
        <v>#N/A</v>
      </c>
    </row>
    <row r="1377" spans="1:11" ht="30.75" thickBot="1" x14ac:dyDescent="0.3">
      <c r="A1377" s="53" t="s">
        <v>46</v>
      </c>
      <c r="B1377" s="40">
        <v>85202</v>
      </c>
      <c r="C1377" s="41" t="s">
        <v>52</v>
      </c>
      <c r="D1377" s="30" t="str">
        <f>VLOOKUP(Table13[[#This Row],[kbli5]],Table1[[#All],[kbli5]:[digital_hijau]],3,)</f>
        <v xml:space="preserve">SD Swasta Umum; SD Kartika; ICS; Dharmayudha; </v>
      </c>
      <c r="E1377" s="53" t="e">
        <f>VLOOKUP(Table13[[#This Row],[kbli5]],kata_kunci!$B:$H,4,FALSE)</f>
        <v>#N/A</v>
      </c>
      <c r="F1377" s="53" t="str">
        <f>VLOOKUP(Table13[[#This Row],[kbli5]],Table1[[#All],[kbli5]:[digital_hijau]],5,)</f>
        <v>Esensial</v>
      </c>
      <c r="G1377" s="53">
        <f>VLOOKUP(Table13[[#This Row],[kbli5]],Table1[[#All],[kbli5]:[digital_hijau]],6,)</f>
        <v>0</v>
      </c>
      <c r="H1377" s="54" t="e">
        <f>VLOOKUP(Table13[[#This Row],[kbli5]],kata_kunci!$B:$H,3,FALSE)</f>
        <v>#N/A</v>
      </c>
      <c r="I1377" s="84" t="e">
        <f>VLOOKUP(Table13[[#This Row],[kbli5]],kata_kunci!$B:$H,5,FALSE)</f>
        <v>#N/A</v>
      </c>
      <c r="J1377" s="84" t="e">
        <f>VLOOKUP(Table13[[#This Row],[kbli5]],kata_kunci!$B:$H,6,FALSE)</f>
        <v>#N/A</v>
      </c>
      <c r="K1377" s="84" t="e">
        <f>VLOOKUP(Table13[[#This Row],[kbli5]],kata_kunci!$B:$H,7,FALSE)</f>
        <v>#N/A</v>
      </c>
    </row>
    <row r="1378" spans="1:11" ht="30.75" thickBot="1" x14ac:dyDescent="0.3">
      <c r="A1378" s="53" t="s">
        <v>46</v>
      </c>
      <c r="B1378" s="40">
        <v>85203</v>
      </c>
      <c r="C1378" s="41" t="s">
        <v>53</v>
      </c>
      <c r="D1378" s="30" t="str">
        <f>VLOOKUP(Table13[[#This Row],[kbli5]],Table1[[#All],[kbli5]:[digital_hijau]],3,)</f>
        <v>SD Islam; MI; Muhammadyah; As-Shofa; MIN;</v>
      </c>
      <c r="E1378" s="53" t="e">
        <f>VLOOKUP(Table13[[#This Row],[kbli5]],kata_kunci!$B:$H,4,FALSE)</f>
        <v>#N/A</v>
      </c>
      <c r="F1378" s="53" t="str">
        <f>VLOOKUP(Table13[[#This Row],[kbli5]],Table1[[#All],[kbli5]:[digital_hijau]],5,)</f>
        <v>Esensial</v>
      </c>
      <c r="G1378" s="53">
        <f>VLOOKUP(Table13[[#This Row],[kbli5]],Table1[[#All],[kbli5]:[digital_hijau]],6,)</f>
        <v>0</v>
      </c>
      <c r="H1378" s="54" t="e">
        <f>VLOOKUP(Table13[[#This Row],[kbli5]],kata_kunci!$B:$H,3,FALSE)</f>
        <v>#N/A</v>
      </c>
      <c r="I1378" s="84" t="e">
        <f>VLOOKUP(Table13[[#This Row],[kbli5]],kata_kunci!$B:$H,5,FALSE)</f>
        <v>#N/A</v>
      </c>
      <c r="J1378" s="84" t="e">
        <f>VLOOKUP(Table13[[#This Row],[kbli5]],kata_kunci!$B:$H,6,FALSE)</f>
        <v>#N/A</v>
      </c>
      <c r="K1378" s="84" t="e">
        <f>VLOOKUP(Table13[[#This Row],[kbli5]],kata_kunci!$B:$H,7,FALSE)</f>
        <v>#N/A</v>
      </c>
    </row>
    <row r="1379" spans="1:11" ht="45.75" thickBot="1" x14ac:dyDescent="0.3">
      <c r="A1379" s="53" t="s">
        <v>46</v>
      </c>
      <c r="B1379" s="40">
        <v>85204</v>
      </c>
      <c r="C1379" s="41" t="s">
        <v>54</v>
      </c>
      <c r="D1379" s="30" t="str">
        <f>VLOOKUP(Table13[[#This Row],[kbli5]],Table1[[#All],[kbli5]:[digital_hijau]],3,)</f>
        <v>SD Protestan; Katolik; Hindu; Buddha; Konghucu; Santa Maria; Kalam Kudus;</v>
      </c>
      <c r="E1379" s="53" t="e">
        <f>VLOOKUP(Table13[[#This Row],[kbli5]],kata_kunci!$B:$H,4,FALSE)</f>
        <v>#N/A</v>
      </c>
      <c r="F1379" s="53" t="str">
        <f>VLOOKUP(Table13[[#This Row],[kbli5]],Table1[[#All],[kbli5]:[digital_hijau]],5,)</f>
        <v>Esensial</v>
      </c>
      <c r="G1379" s="53">
        <f>VLOOKUP(Table13[[#This Row],[kbli5]],Table1[[#All],[kbli5]:[digital_hijau]],6,)</f>
        <v>0</v>
      </c>
      <c r="H1379" s="54" t="e">
        <f>VLOOKUP(Table13[[#This Row],[kbli5]],kata_kunci!$B:$H,3,FALSE)</f>
        <v>#N/A</v>
      </c>
      <c r="I1379" s="84" t="e">
        <f>VLOOKUP(Table13[[#This Row],[kbli5]],kata_kunci!$B:$H,5,FALSE)</f>
        <v>#N/A</v>
      </c>
      <c r="J1379" s="84" t="e">
        <f>VLOOKUP(Table13[[#This Row],[kbli5]],kata_kunci!$B:$H,6,FALSE)</f>
        <v>#N/A</v>
      </c>
      <c r="K1379" s="84" t="e">
        <f>VLOOKUP(Table13[[#This Row],[kbli5]],kata_kunci!$B:$H,7,FALSE)</f>
        <v>#N/A</v>
      </c>
    </row>
    <row r="1380" spans="1:11" ht="45.75" thickBot="1" x14ac:dyDescent="0.3">
      <c r="A1380" s="53" t="s">
        <v>46</v>
      </c>
      <c r="B1380" s="40">
        <v>85311</v>
      </c>
      <c r="C1380" s="41" t="s">
        <v>55</v>
      </c>
      <c r="D1380" s="30" t="str">
        <f>VLOOKUP(Table13[[#This Row],[kbli5]],Table1[[#All],[kbli5]:[digital_hijau]],3,)</f>
        <v>SMP Negeri;</v>
      </c>
      <c r="E1380" s="53" t="e">
        <f>VLOOKUP(Table13[[#This Row],[kbli5]],kata_kunci!$B:$H,4,FALSE)</f>
        <v>#N/A</v>
      </c>
      <c r="F1380" s="53" t="str">
        <f>VLOOKUP(Table13[[#This Row],[kbli5]],Table1[[#All],[kbli5]:[digital_hijau]],5,)</f>
        <v>Esensial</v>
      </c>
      <c r="G1380" s="53">
        <f>VLOOKUP(Table13[[#This Row],[kbli5]],Table1[[#All],[kbli5]:[digital_hijau]],6,)</f>
        <v>0</v>
      </c>
      <c r="H1380" s="54" t="e">
        <f>VLOOKUP(Table13[[#This Row],[kbli5]],kata_kunci!$B:$H,3,FALSE)</f>
        <v>#N/A</v>
      </c>
      <c r="I1380" s="84" t="e">
        <f>VLOOKUP(Table13[[#This Row],[kbli5]],kata_kunci!$B:$H,5,FALSE)</f>
        <v>#N/A</v>
      </c>
      <c r="J1380" s="84" t="e">
        <f>VLOOKUP(Table13[[#This Row],[kbli5]],kata_kunci!$B:$H,6,FALSE)</f>
        <v>#N/A</v>
      </c>
      <c r="K1380" s="84" t="e">
        <f>VLOOKUP(Table13[[#This Row],[kbli5]],kata_kunci!$B:$H,7,FALSE)</f>
        <v>#N/A</v>
      </c>
    </row>
    <row r="1381" spans="1:11" ht="30.75" thickBot="1" x14ac:dyDescent="0.3">
      <c r="A1381" s="53" t="s">
        <v>46</v>
      </c>
      <c r="B1381" s="40">
        <v>85312</v>
      </c>
      <c r="C1381" s="41" t="s">
        <v>56</v>
      </c>
      <c r="D1381" s="30" t="str">
        <f>VLOOKUP(Table13[[#This Row],[kbli5]],Table1[[#All],[kbli5]:[digital_hijau]],3,)</f>
        <v>SMP Swasta Umum; SMP Kartika; ICS; Dharmayudha;</v>
      </c>
      <c r="E1381" s="53" t="e">
        <f>VLOOKUP(Table13[[#This Row],[kbli5]],kata_kunci!$B:$H,4,FALSE)</f>
        <v>#N/A</v>
      </c>
      <c r="F1381" s="53" t="str">
        <f>VLOOKUP(Table13[[#This Row],[kbli5]],Table1[[#All],[kbli5]:[digital_hijau]],5,)</f>
        <v>Esensial</v>
      </c>
      <c r="G1381" s="53">
        <f>VLOOKUP(Table13[[#This Row],[kbli5]],Table1[[#All],[kbli5]:[digital_hijau]],6,)</f>
        <v>0</v>
      </c>
      <c r="H1381" s="54" t="e">
        <f>VLOOKUP(Table13[[#This Row],[kbli5]],kata_kunci!$B:$H,3,FALSE)</f>
        <v>#N/A</v>
      </c>
      <c r="I1381" s="84" t="e">
        <f>VLOOKUP(Table13[[#This Row],[kbli5]],kata_kunci!$B:$H,5,FALSE)</f>
        <v>#N/A</v>
      </c>
      <c r="J1381" s="84" t="e">
        <f>VLOOKUP(Table13[[#This Row],[kbli5]],kata_kunci!$B:$H,6,FALSE)</f>
        <v>#N/A</v>
      </c>
      <c r="K1381" s="84" t="e">
        <f>VLOOKUP(Table13[[#This Row],[kbli5]],kata_kunci!$B:$H,7,FALSE)</f>
        <v>#N/A</v>
      </c>
    </row>
    <row r="1382" spans="1:11" ht="45.75" thickBot="1" x14ac:dyDescent="0.3">
      <c r="A1382" s="53" t="s">
        <v>46</v>
      </c>
      <c r="B1382" s="40">
        <v>85313</v>
      </c>
      <c r="C1382" s="41" t="s">
        <v>57</v>
      </c>
      <c r="D1382" s="30" t="str">
        <f>VLOOKUP(Table13[[#This Row],[kbli5]],Table1[[#All],[kbli5]:[digital_hijau]],3,)</f>
        <v>SMP Swasta Islam; Muhammadyah; As-Shofa; MTS;</v>
      </c>
      <c r="E1382" s="53" t="e">
        <f>VLOOKUP(Table13[[#This Row],[kbli5]],kata_kunci!$B:$H,4,FALSE)</f>
        <v>#N/A</v>
      </c>
      <c r="F1382" s="53" t="str">
        <f>VLOOKUP(Table13[[#This Row],[kbli5]],Table1[[#All],[kbli5]:[digital_hijau]],5,)</f>
        <v>Esensial</v>
      </c>
      <c r="G1382" s="53">
        <f>VLOOKUP(Table13[[#This Row],[kbli5]],Table1[[#All],[kbli5]:[digital_hijau]],6,)</f>
        <v>0</v>
      </c>
      <c r="H1382" s="54" t="e">
        <f>VLOOKUP(Table13[[#This Row],[kbli5]],kata_kunci!$B:$H,3,FALSE)</f>
        <v>#N/A</v>
      </c>
      <c r="I1382" s="84" t="e">
        <f>VLOOKUP(Table13[[#This Row],[kbli5]],kata_kunci!$B:$H,5,FALSE)</f>
        <v>#N/A</v>
      </c>
      <c r="J1382" s="84" t="e">
        <f>VLOOKUP(Table13[[#This Row],[kbli5]],kata_kunci!$B:$H,6,FALSE)</f>
        <v>#N/A</v>
      </c>
      <c r="K1382" s="84" t="e">
        <f>VLOOKUP(Table13[[#This Row],[kbli5]],kata_kunci!$B:$H,7,FALSE)</f>
        <v>#N/A</v>
      </c>
    </row>
    <row r="1383" spans="1:11" ht="45.75" thickBot="1" x14ac:dyDescent="0.3">
      <c r="A1383" s="53" t="s">
        <v>46</v>
      </c>
      <c r="B1383" s="40">
        <v>85314</v>
      </c>
      <c r="C1383" s="41" t="s">
        <v>58</v>
      </c>
      <c r="D1383" s="30" t="str">
        <f>VLOOKUP(Table13[[#This Row],[kbli5]],Table1[[#All],[kbli5]:[digital_hijau]],3,)</f>
        <v>SMP Protestan; Katolik; Hindu; Buddha; Konghucu; Santa Maria; Kalam Kudus;</v>
      </c>
      <c r="E1383" s="53" t="e">
        <f>VLOOKUP(Table13[[#This Row],[kbli5]],kata_kunci!$B:$H,4,FALSE)</f>
        <v>#N/A</v>
      </c>
      <c r="F1383" s="53" t="str">
        <f>VLOOKUP(Table13[[#This Row],[kbli5]],Table1[[#All],[kbli5]:[digital_hijau]],5,)</f>
        <v>Esensial</v>
      </c>
      <c r="G1383" s="53">
        <f>VLOOKUP(Table13[[#This Row],[kbli5]],Table1[[#All],[kbli5]:[digital_hijau]],6,)</f>
        <v>0</v>
      </c>
      <c r="H1383" s="54" t="e">
        <f>VLOOKUP(Table13[[#This Row],[kbli5]],kata_kunci!$B:$H,3,FALSE)</f>
        <v>#N/A</v>
      </c>
      <c r="I1383" s="84" t="e">
        <f>VLOOKUP(Table13[[#This Row],[kbli5]],kata_kunci!$B:$H,5,FALSE)</f>
        <v>#N/A</v>
      </c>
      <c r="J1383" s="84" t="e">
        <f>VLOOKUP(Table13[[#This Row],[kbli5]],kata_kunci!$B:$H,6,FALSE)</f>
        <v>#N/A</v>
      </c>
      <c r="K1383" s="84" t="e">
        <f>VLOOKUP(Table13[[#This Row],[kbli5]],kata_kunci!$B:$H,7,FALSE)</f>
        <v>#N/A</v>
      </c>
    </row>
    <row r="1384" spans="1:11" ht="30.75" thickBot="1" x14ac:dyDescent="0.3">
      <c r="A1384" s="53" t="s">
        <v>46</v>
      </c>
      <c r="B1384" s="40">
        <v>85315</v>
      </c>
      <c r="C1384" s="41" t="s">
        <v>59</v>
      </c>
      <c r="D1384" s="30" t="str">
        <f>VLOOKUP(Table13[[#This Row],[kbli5]],Table1[[#All],[kbli5]:[digital_hijau]],3,)</f>
        <v>SMA Negeri;</v>
      </c>
      <c r="E1384" s="53" t="e">
        <f>VLOOKUP(Table13[[#This Row],[kbli5]],kata_kunci!$B:$H,4,FALSE)</f>
        <v>#N/A</v>
      </c>
      <c r="F1384" s="53" t="str">
        <f>VLOOKUP(Table13[[#This Row],[kbli5]],Table1[[#All],[kbli5]:[digital_hijau]],5,)</f>
        <v>Esensial</v>
      </c>
      <c r="G1384" s="53">
        <f>VLOOKUP(Table13[[#This Row],[kbli5]],Table1[[#All],[kbli5]:[digital_hijau]],6,)</f>
        <v>0</v>
      </c>
      <c r="H1384" s="54" t="e">
        <f>VLOOKUP(Table13[[#This Row],[kbli5]],kata_kunci!$B:$H,3,FALSE)</f>
        <v>#N/A</v>
      </c>
      <c r="I1384" s="84" t="e">
        <f>VLOOKUP(Table13[[#This Row],[kbli5]],kata_kunci!$B:$H,5,FALSE)</f>
        <v>#N/A</v>
      </c>
      <c r="J1384" s="84" t="e">
        <f>VLOOKUP(Table13[[#This Row],[kbli5]],kata_kunci!$B:$H,6,FALSE)</f>
        <v>#N/A</v>
      </c>
      <c r="K1384" s="84" t="e">
        <f>VLOOKUP(Table13[[#This Row],[kbli5]],kata_kunci!$B:$H,7,FALSE)</f>
        <v>#N/A</v>
      </c>
    </row>
    <row r="1385" spans="1:11" ht="30.75" thickBot="1" x14ac:dyDescent="0.3">
      <c r="A1385" s="53" t="s">
        <v>46</v>
      </c>
      <c r="B1385" s="40">
        <v>85316</v>
      </c>
      <c r="C1385" s="41" t="s">
        <v>60</v>
      </c>
      <c r="D1385" s="30" t="str">
        <f>VLOOKUP(Table13[[#This Row],[kbli5]],Table1[[#All],[kbli5]:[digital_hijau]],3,)</f>
        <v>SMA Swasta umum;</v>
      </c>
      <c r="E1385" s="53" t="e">
        <f>VLOOKUP(Table13[[#This Row],[kbli5]],kata_kunci!$B:$H,4,FALSE)</f>
        <v>#N/A</v>
      </c>
      <c r="F1385" s="53" t="str">
        <f>VLOOKUP(Table13[[#This Row],[kbli5]],Table1[[#All],[kbli5]:[digital_hijau]],5,)</f>
        <v>Esensial</v>
      </c>
      <c r="G1385" s="53">
        <f>VLOOKUP(Table13[[#This Row],[kbli5]],Table1[[#All],[kbli5]:[digital_hijau]],6,)</f>
        <v>0</v>
      </c>
      <c r="H1385" s="54" t="e">
        <f>VLOOKUP(Table13[[#This Row],[kbli5]],kata_kunci!$B:$H,3,FALSE)</f>
        <v>#N/A</v>
      </c>
      <c r="I1385" s="84" t="e">
        <f>VLOOKUP(Table13[[#This Row],[kbli5]],kata_kunci!$B:$H,5,FALSE)</f>
        <v>#N/A</v>
      </c>
      <c r="J1385" s="84" t="e">
        <f>VLOOKUP(Table13[[#This Row],[kbli5]],kata_kunci!$B:$H,6,FALSE)</f>
        <v>#N/A</v>
      </c>
      <c r="K1385" s="84" t="e">
        <f>VLOOKUP(Table13[[#This Row],[kbli5]],kata_kunci!$B:$H,7,FALSE)</f>
        <v>#N/A</v>
      </c>
    </row>
    <row r="1386" spans="1:11" ht="30.75" thickBot="1" x14ac:dyDescent="0.3">
      <c r="A1386" s="53" t="s">
        <v>46</v>
      </c>
      <c r="B1386" s="40">
        <v>85317</v>
      </c>
      <c r="C1386" s="41" t="s">
        <v>61</v>
      </c>
      <c r="D1386" s="30" t="str">
        <f>VLOOKUP(Table13[[#This Row],[kbli5]],Table1[[#All],[kbli5]:[digital_hijau]],3,)</f>
        <v>MA Negeri/swasta; Pesantren tingkat SMA; Babussalam;</v>
      </c>
      <c r="E1386" s="53" t="e">
        <f>VLOOKUP(Table13[[#This Row],[kbli5]],kata_kunci!$B:$H,4,FALSE)</f>
        <v>#N/A</v>
      </c>
      <c r="F1386" s="53" t="str">
        <f>VLOOKUP(Table13[[#This Row],[kbli5]],Table1[[#All],[kbli5]:[digital_hijau]],5,)</f>
        <v>Esensial</v>
      </c>
      <c r="G1386" s="53">
        <f>VLOOKUP(Table13[[#This Row],[kbli5]],Table1[[#All],[kbli5]:[digital_hijau]],6,)</f>
        <v>0</v>
      </c>
      <c r="H1386" s="54" t="e">
        <f>VLOOKUP(Table13[[#This Row],[kbli5]],kata_kunci!$B:$H,3,FALSE)</f>
        <v>#N/A</v>
      </c>
      <c r="I1386" s="84" t="e">
        <f>VLOOKUP(Table13[[#This Row],[kbli5]],kata_kunci!$B:$H,5,FALSE)</f>
        <v>#N/A</v>
      </c>
      <c r="J1386" s="84" t="e">
        <f>VLOOKUP(Table13[[#This Row],[kbli5]],kata_kunci!$B:$H,6,FALSE)</f>
        <v>#N/A</v>
      </c>
      <c r="K1386" s="84" t="e">
        <f>VLOOKUP(Table13[[#This Row],[kbli5]],kata_kunci!$B:$H,7,FALSE)</f>
        <v>#N/A</v>
      </c>
    </row>
    <row r="1387" spans="1:11" ht="45.75" thickBot="1" x14ac:dyDescent="0.3">
      <c r="A1387" s="53" t="s">
        <v>46</v>
      </c>
      <c r="B1387" s="40">
        <v>85318</v>
      </c>
      <c r="C1387" s="41" t="s">
        <v>62</v>
      </c>
      <c r="D1387" s="30" t="str">
        <f>VLOOKUP(Table13[[#This Row],[kbli5]],Table1[[#All],[kbli5]:[digital_hijau]],3,)</f>
        <v>SMA Protestan; Katolik; Hindu; Buddha; Konghucu; Santa Maria; Kalam Kudus;</v>
      </c>
      <c r="E1387" s="53" t="e">
        <f>VLOOKUP(Table13[[#This Row],[kbli5]],kata_kunci!$B:$H,4,FALSE)</f>
        <v>#N/A</v>
      </c>
      <c r="F1387" s="53" t="str">
        <f>VLOOKUP(Table13[[#This Row],[kbli5]],Table1[[#All],[kbli5]:[digital_hijau]],5,)</f>
        <v>Esensial</v>
      </c>
      <c r="G1387" s="53">
        <f>VLOOKUP(Table13[[#This Row],[kbli5]],Table1[[#All],[kbli5]:[digital_hijau]],6,)</f>
        <v>0</v>
      </c>
      <c r="H1387" s="54" t="e">
        <f>VLOOKUP(Table13[[#This Row],[kbli5]],kata_kunci!$B:$H,3,FALSE)</f>
        <v>#N/A</v>
      </c>
      <c r="I1387" s="84" t="e">
        <f>VLOOKUP(Table13[[#This Row],[kbli5]],kata_kunci!$B:$H,5,FALSE)</f>
        <v>#N/A</v>
      </c>
      <c r="J1387" s="84" t="e">
        <f>VLOOKUP(Table13[[#This Row],[kbli5]],kata_kunci!$B:$H,6,FALSE)</f>
        <v>#N/A</v>
      </c>
      <c r="K1387" s="84" t="e">
        <f>VLOOKUP(Table13[[#This Row],[kbli5]],kata_kunci!$B:$H,7,FALSE)</f>
        <v>#N/A</v>
      </c>
    </row>
    <row r="1388" spans="1:11" ht="45.75" thickBot="1" x14ac:dyDescent="0.3">
      <c r="A1388" s="53" t="s">
        <v>46</v>
      </c>
      <c r="B1388" s="40">
        <v>85321</v>
      </c>
      <c r="C1388" s="41" t="s">
        <v>63</v>
      </c>
      <c r="D1388" s="30" t="str">
        <f>VLOOKUP(Table13[[#This Row],[kbli5]],Table1[[#All],[kbli5]:[digital_hijau]],3,)</f>
        <v>SMK Negeri;</v>
      </c>
      <c r="E1388" s="53" t="e">
        <f>VLOOKUP(Table13[[#This Row],[kbli5]],kata_kunci!$B:$H,4,FALSE)</f>
        <v>#N/A</v>
      </c>
      <c r="F1388" s="53" t="str">
        <f>VLOOKUP(Table13[[#This Row],[kbli5]],Table1[[#All],[kbli5]:[digital_hijau]],5,)</f>
        <v>Esensial</v>
      </c>
      <c r="G1388" s="53">
        <f>VLOOKUP(Table13[[#This Row],[kbli5]],Table1[[#All],[kbli5]:[digital_hijau]],6,)</f>
        <v>0</v>
      </c>
      <c r="H1388" s="54" t="e">
        <f>VLOOKUP(Table13[[#This Row],[kbli5]],kata_kunci!$B:$H,3,FALSE)</f>
        <v>#N/A</v>
      </c>
      <c r="I1388" s="84" t="e">
        <f>VLOOKUP(Table13[[#This Row],[kbli5]],kata_kunci!$B:$H,5,FALSE)</f>
        <v>#N/A</v>
      </c>
      <c r="J1388" s="84" t="e">
        <f>VLOOKUP(Table13[[#This Row],[kbli5]],kata_kunci!$B:$H,6,FALSE)</f>
        <v>#N/A</v>
      </c>
      <c r="K1388" s="84" t="e">
        <f>VLOOKUP(Table13[[#This Row],[kbli5]],kata_kunci!$B:$H,7,FALSE)</f>
        <v>#N/A</v>
      </c>
    </row>
    <row r="1389" spans="1:11" ht="30.75" thickBot="1" x14ac:dyDescent="0.3">
      <c r="A1389" s="53" t="s">
        <v>46</v>
      </c>
      <c r="B1389" s="40">
        <v>85322</v>
      </c>
      <c r="C1389" s="41" t="s">
        <v>64</v>
      </c>
      <c r="D1389" s="30" t="str">
        <f>VLOOKUP(Table13[[#This Row],[kbli5]],Table1[[#All],[kbli5]:[digital_hijau]],3,)</f>
        <v>SMK Swasta;</v>
      </c>
      <c r="E1389" s="53" t="e">
        <f>VLOOKUP(Table13[[#This Row],[kbli5]],kata_kunci!$B:$H,4,FALSE)</f>
        <v>#N/A</v>
      </c>
      <c r="F1389" s="53" t="str">
        <f>VLOOKUP(Table13[[#This Row],[kbli5]],Table1[[#All],[kbli5]:[digital_hijau]],5,)</f>
        <v>Esensial</v>
      </c>
      <c r="G1389" s="53">
        <f>VLOOKUP(Table13[[#This Row],[kbli5]],Table1[[#All],[kbli5]:[digital_hijau]],6,)</f>
        <v>0</v>
      </c>
      <c r="H1389" s="54" t="e">
        <f>VLOOKUP(Table13[[#This Row],[kbli5]],kata_kunci!$B:$H,3,FALSE)</f>
        <v>#N/A</v>
      </c>
      <c r="I1389" s="84" t="e">
        <f>VLOOKUP(Table13[[#This Row],[kbli5]],kata_kunci!$B:$H,5,FALSE)</f>
        <v>#N/A</v>
      </c>
      <c r="J1389" s="84" t="e">
        <f>VLOOKUP(Table13[[#This Row],[kbli5]],kata_kunci!$B:$H,6,FALSE)</f>
        <v>#N/A</v>
      </c>
      <c r="K1389" s="84" t="e">
        <f>VLOOKUP(Table13[[#This Row],[kbli5]],kata_kunci!$B:$H,7,FALSE)</f>
        <v>#N/A</v>
      </c>
    </row>
    <row r="1390" spans="1:11" ht="45.75" thickBot="1" x14ac:dyDescent="0.3">
      <c r="A1390" s="53" t="s">
        <v>46</v>
      </c>
      <c r="B1390" s="40">
        <v>85323</v>
      </c>
      <c r="C1390" s="41" t="s">
        <v>1608</v>
      </c>
      <c r="D1390" s="30" t="e">
        <f>VLOOKUP(Table13[[#This Row],[kbli5]],Table1[[#All],[kbli5]:[digital_hijau]],3,)</f>
        <v>#N/A</v>
      </c>
      <c r="E1390" s="53" t="e">
        <f>VLOOKUP(Table13[[#This Row],[kbli5]],kata_kunci!$B:$H,4,FALSE)</f>
        <v>#N/A</v>
      </c>
      <c r="F1390" s="53" t="e">
        <f>VLOOKUP(Table13[[#This Row],[kbli5]],Table1[[#All],[kbli5]:[digital_hijau]],5,)</f>
        <v>#N/A</v>
      </c>
      <c r="G1390" s="53" t="e">
        <f>VLOOKUP(Table13[[#This Row],[kbli5]],Table1[[#All],[kbli5]:[digital_hijau]],6,)</f>
        <v>#N/A</v>
      </c>
      <c r="H1390" s="54" t="e">
        <f>VLOOKUP(Table13[[#This Row],[kbli5]],kata_kunci!$B:$H,3,FALSE)</f>
        <v>#N/A</v>
      </c>
      <c r="I1390" s="84" t="e">
        <f>VLOOKUP(Table13[[#This Row],[kbli5]],kata_kunci!$B:$H,5,FALSE)</f>
        <v>#N/A</v>
      </c>
      <c r="J1390" s="84" t="e">
        <f>VLOOKUP(Table13[[#This Row],[kbli5]],kata_kunci!$B:$H,6,FALSE)</f>
        <v>#N/A</v>
      </c>
      <c r="K1390" s="84" t="e">
        <f>VLOOKUP(Table13[[#This Row],[kbli5]],kata_kunci!$B:$H,7,FALSE)</f>
        <v>#N/A</v>
      </c>
    </row>
    <row r="1391" spans="1:11" ht="45.75" thickBot="1" x14ac:dyDescent="0.3">
      <c r="A1391" s="53" t="s">
        <v>46</v>
      </c>
      <c r="B1391" s="40">
        <v>85324</v>
      </c>
      <c r="C1391" s="41" t="s">
        <v>1609</v>
      </c>
      <c r="D1391" s="30" t="e">
        <f>VLOOKUP(Table13[[#This Row],[kbli5]],Table1[[#All],[kbli5]:[digital_hijau]],3,)</f>
        <v>#N/A</v>
      </c>
      <c r="E1391" s="53" t="e">
        <f>VLOOKUP(Table13[[#This Row],[kbli5]],kata_kunci!$B:$H,4,FALSE)</f>
        <v>#N/A</v>
      </c>
      <c r="F1391" s="53" t="e">
        <f>VLOOKUP(Table13[[#This Row],[kbli5]],Table1[[#All],[kbli5]:[digital_hijau]],5,)</f>
        <v>#N/A</v>
      </c>
      <c r="G1391" s="53" t="e">
        <f>VLOOKUP(Table13[[#This Row],[kbli5]],Table1[[#All],[kbli5]:[digital_hijau]],6,)</f>
        <v>#N/A</v>
      </c>
      <c r="H1391" s="54" t="e">
        <f>VLOOKUP(Table13[[#This Row],[kbli5]],kata_kunci!$B:$H,3,FALSE)</f>
        <v>#N/A</v>
      </c>
      <c r="I1391" s="84" t="e">
        <f>VLOOKUP(Table13[[#This Row],[kbli5]],kata_kunci!$B:$H,5,FALSE)</f>
        <v>#N/A</v>
      </c>
      <c r="J1391" s="84" t="e">
        <f>VLOOKUP(Table13[[#This Row],[kbli5]],kata_kunci!$B:$H,6,FALSE)</f>
        <v>#N/A</v>
      </c>
      <c r="K1391" s="84" t="e">
        <f>VLOOKUP(Table13[[#This Row],[kbli5]],kata_kunci!$B:$H,7,FALSE)</f>
        <v>#N/A</v>
      </c>
    </row>
    <row r="1392" spans="1:11" ht="45.75" thickBot="1" x14ac:dyDescent="0.3">
      <c r="A1392" s="53" t="s">
        <v>46</v>
      </c>
      <c r="B1392" s="40">
        <v>85330</v>
      </c>
      <c r="C1392" s="41" t="s">
        <v>1610</v>
      </c>
      <c r="D1392" s="30" t="e">
        <f>VLOOKUP(Table13[[#This Row],[kbli5]],Table1[[#All],[kbli5]:[digital_hijau]],3,)</f>
        <v>#N/A</v>
      </c>
      <c r="E1392" s="53" t="e">
        <f>VLOOKUP(Table13[[#This Row],[kbli5]],kata_kunci!$B:$H,4,FALSE)</f>
        <v>#N/A</v>
      </c>
      <c r="F1392" s="53" t="e">
        <f>VLOOKUP(Table13[[#This Row],[kbli5]],Table1[[#All],[kbli5]:[digital_hijau]],5,)</f>
        <v>#N/A</v>
      </c>
      <c r="G1392" s="53" t="e">
        <f>VLOOKUP(Table13[[#This Row],[kbli5]],Table1[[#All],[kbli5]:[digital_hijau]],6,)</f>
        <v>#N/A</v>
      </c>
      <c r="H1392" s="54" t="e">
        <f>VLOOKUP(Table13[[#This Row],[kbli5]],kata_kunci!$B:$H,3,FALSE)</f>
        <v>#N/A</v>
      </c>
      <c r="I1392" s="84" t="e">
        <f>VLOOKUP(Table13[[#This Row],[kbli5]],kata_kunci!$B:$H,5,FALSE)</f>
        <v>#N/A</v>
      </c>
      <c r="J1392" s="84" t="e">
        <f>VLOOKUP(Table13[[#This Row],[kbli5]],kata_kunci!$B:$H,6,FALSE)</f>
        <v>#N/A</v>
      </c>
      <c r="K1392" s="84" t="e">
        <f>VLOOKUP(Table13[[#This Row],[kbli5]],kata_kunci!$B:$H,7,FALSE)</f>
        <v>#N/A</v>
      </c>
    </row>
    <row r="1393" spans="1:11" ht="30.75" thickBot="1" x14ac:dyDescent="0.3">
      <c r="A1393" s="53" t="s">
        <v>46</v>
      </c>
      <c r="B1393" s="40">
        <v>85401</v>
      </c>
      <c r="C1393" s="41" t="s">
        <v>65</v>
      </c>
      <c r="D1393" s="30" t="str">
        <f>VLOOKUP(Table13[[#This Row],[kbli5]],Table1[[#All],[kbli5]:[digital_hijau]],3,)</f>
        <v>Universitas Negeri;UNRI;</v>
      </c>
      <c r="E1393" s="53" t="e">
        <f>VLOOKUP(Table13[[#This Row],[kbli5]],kata_kunci!$B:$H,4,FALSE)</f>
        <v>#N/A</v>
      </c>
      <c r="F1393" s="53" t="str">
        <f>VLOOKUP(Table13[[#This Row],[kbli5]],Table1[[#All],[kbli5]:[digital_hijau]],5,)</f>
        <v>Esensial</v>
      </c>
      <c r="G1393" s="53">
        <f>VLOOKUP(Table13[[#This Row],[kbli5]],Table1[[#All],[kbli5]:[digital_hijau]],6,)</f>
        <v>0</v>
      </c>
      <c r="H1393" s="54" t="e">
        <f>VLOOKUP(Table13[[#This Row],[kbli5]],kata_kunci!$B:$H,3,FALSE)</f>
        <v>#N/A</v>
      </c>
      <c r="I1393" s="84" t="e">
        <f>VLOOKUP(Table13[[#This Row],[kbli5]],kata_kunci!$B:$H,5,FALSE)</f>
        <v>#N/A</v>
      </c>
      <c r="J1393" s="84" t="e">
        <f>VLOOKUP(Table13[[#This Row],[kbli5]],kata_kunci!$B:$H,6,FALSE)</f>
        <v>#N/A</v>
      </c>
      <c r="K1393" s="84" t="e">
        <f>VLOOKUP(Table13[[#This Row],[kbli5]],kata_kunci!$B:$H,7,FALSE)</f>
        <v>#N/A</v>
      </c>
    </row>
    <row r="1394" spans="1:11" ht="30.75" thickBot="1" x14ac:dyDescent="0.3">
      <c r="A1394" s="53" t="s">
        <v>46</v>
      </c>
      <c r="B1394" s="40">
        <v>85402</v>
      </c>
      <c r="C1394" s="41" t="s">
        <v>66</v>
      </c>
      <c r="D1394" s="30" t="str">
        <f>VLOOKUP(Table13[[#This Row],[kbli5]],Table1[[#All],[kbli5]:[digital_hijau]],3,)</f>
        <v>Universitas Swasta; UNILAK; UIR; PCR; Univ Muhammadiyah Riau;</v>
      </c>
      <c r="E1394" s="53" t="e">
        <f>VLOOKUP(Table13[[#This Row],[kbli5]],kata_kunci!$B:$H,4,FALSE)</f>
        <v>#N/A</v>
      </c>
      <c r="F1394" s="53" t="str">
        <f>VLOOKUP(Table13[[#This Row],[kbli5]],Table1[[#All],[kbli5]:[digital_hijau]],5,)</f>
        <v>Esensial</v>
      </c>
      <c r="G1394" s="53">
        <f>VLOOKUP(Table13[[#This Row],[kbli5]],Table1[[#All],[kbli5]:[digital_hijau]],6,)</f>
        <v>0</v>
      </c>
      <c r="H1394" s="54" t="e">
        <f>VLOOKUP(Table13[[#This Row],[kbli5]],kata_kunci!$B:$H,3,FALSE)</f>
        <v>#N/A</v>
      </c>
      <c r="I1394" s="84" t="e">
        <f>VLOOKUP(Table13[[#This Row],[kbli5]],kata_kunci!$B:$H,5,FALSE)</f>
        <v>#N/A</v>
      </c>
      <c r="J1394" s="84" t="e">
        <f>VLOOKUP(Table13[[#This Row],[kbli5]],kata_kunci!$B:$H,6,FALSE)</f>
        <v>#N/A</v>
      </c>
      <c r="K1394" s="84" t="e">
        <f>VLOOKUP(Table13[[#This Row],[kbli5]],kata_kunci!$B:$H,7,FALSE)</f>
        <v>#N/A</v>
      </c>
    </row>
    <row r="1395" spans="1:11" ht="30.75" thickBot="1" x14ac:dyDescent="0.3">
      <c r="A1395" s="53" t="s">
        <v>46</v>
      </c>
      <c r="B1395" s="40">
        <v>85403</v>
      </c>
      <c r="C1395" s="41" t="s">
        <v>67</v>
      </c>
      <c r="D1395" s="30" t="str">
        <f>VLOOKUP(Table13[[#This Row],[kbli5]],Table1[[#All],[kbli5]:[digital_hijau]],3,)</f>
        <v>Universitas Negeri Keagamaan; UIN Suska Riau;</v>
      </c>
      <c r="E1395" s="53" t="e">
        <f>VLOOKUP(Table13[[#This Row],[kbli5]],kata_kunci!$B:$H,4,FALSE)</f>
        <v>#N/A</v>
      </c>
      <c r="F1395" s="53" t="str">
        <f>VLOOKUP(Table13[[#This Row],[kbli5]],Table1[[#All],[kbli5]:[digital_hijau]],5,)</f>
        <v>Esensial</v>
      </c>
      <c r="G1395" s="53">
        <f>VLOOKUP(Table13[[#This Row],[kbli5]],Table1[[#All],[kbli5]:[digital_hijau]],6,)</f>
        <v>0</v>
      </c>
      <c r="H1395" s="54" t="e">
        <f>VLOOKUP(Table13[[#This Row],[kbli5]],kata_kunci!$B:$H,3,FALSE)</f>
        <v>#N/A</v>
      </c>
      <c r="I1395" s="84" t="e">
        <f>VLOOKUP(Table13[[#This Row],[kbli5]],kata_kunci!$B:$H,5,FALSE)</f>
        <v>#N/A</v>
      </c>
      <c r="J1395" s="84" t="e">
        <f>VLOOKUP(Table13[[#This Row],[kbli5]],kata_kunci!$B:$H,6,FALSE)</f>
        <v>#N/A</v>
      </c>
      <c r="K1395" s="84" t="e">
        <f>VLOOKUP(Table13[[#This Row],[kbli5]],kata_kunci!$B:$H,7,FALSE)</f>
        <v>#N/A</v>
      </c>
    </row>
    <row r="1396" spans="1:11" ht="30.75" thickBot="1" x14ac:dyDescent="0.3">
      <c r="A1396" s="53" t="s">
        <v>46</v>
      </c>
      <c r="B1396" s="40">
        <v>85404</v>
      </c>
      <c r="C1396" s="41" t="s">
        <v>68</v>
      </c>
      <c r="D1396" s="30" t="str">
        <f>VLOOKUP(Table13[[#This Row],[kbli5]],Table1[[#All],[kbli5]:[digital_hijau]],3,)</f>
        <v>Unviersitas Swasta Keagamaan;</v>
      </c>
      <c r="E1396" s="53" t="e">
        <f>VLOOKUP(Table13[[#This Row],[kbli5]],kata_kunci!$B:$H,4,FALSE)</f>
        <v>#N/A</v>
      </c>
      <c r="F1396" s="53" t="str">
        <f>VLOOKUP(Table13[[#This Row],[kbli5]],Table1[[#All],[kbli5]:[digital_hijau]],5,)</f>
        <v>Esensial</v>
      </c>
      <c r="G1396" s="53">
        <f>VLOOKUP(Table13[[#This Row],[kbli5]],Table1[[#All],[kbli5]:[digital_hijau]],6,)</f>
        <v>0</v>
      </c>
      <c r="H1396" s="54" t="e">
        <f>VLOOKUP(Table13[[#This Row],[kbli5]],kata_kunci!$B:$H,3,FALSE)</f>
        <v>#N/A</v>
      </c>
      <c r="I1396" s="84" t="e">
        <f>VLOOKUP(Table13[[#This Row],[kbli5]],kata_kunci!$B:$H,5,FALSE)</f>
        <v>#N/A</v>
      </c>
      <c r="J1396" s="84" t="e">
        <f>VLOOKUP(Table13[[#This Row],[kbli5]],kata_kunci!$B:$H,6,FALSE)</f>
        <v>#N/A</v>
      </c>
      <c r="K1396" s="84" t="e">
        <f>VLOOKUP(Table13[[#This Row],[kbli5]],kata_kunci!$B:$H,7,FALSE)</f>
        <v>#N/A</v>
      </c>
    </row>
    <row r="1397" spans="1:11" ht="30.75" thickBot="1" x14ac:dyDescent="0.3">
      <c r="A1397" s="53" t="s">
        <v>46</v>
      </c>
      <c r="B1397" s="40">
        <v>85510</v>
      </c>
      <c r="C1397" s="41" t="s">
        <v>69</v>
      </c>
      <c r="D1397" s="30" t="str">
        <f>VLOOKUP(Table13[[#This Row],[kbli5]],Table1[[#All],[kbli5]:[digital_hijau]],3,)</f>
        <v>Les Olahraga; Happy Shark Pku; mermaid swimming school;</v>
      </c>
      <c r="E1397" s="53" t="e">
        <f>VLOOKUP(Table13[[#This Row],[kbli5]],kata_kunci!$B:$H,4,FALSE)</f>
        <v>#N/A</v>
      </c>
      <c r="F1397" s="53" t="str">
        <f>VLOOKUP(Table13[[#This Row],[kbli5]],Table1[[#All],[kbli5]:[digital_hijau]],5,)</f>
        <v>Umum Ditemukan</v>
      </c>
      <c r="G1397" s="53">
        <f>VLOOKUP(Table13[[#This Row],[kbli5]],Table1[[#All],[kbli5]:[digital_hijau]],6,)</f>
        <v>0</v>
      </c>
      <c r="H1397" s="54" t="e">
        <f>VLOOKUP(Table13[[#This Row],[kbli5]],kata_kunci!$B:$H,3,FALSE)</f>
        <v>#N/A</v>
      </c>
      <c r="I1397" s="84" t="e">
        <f>VLOOKUP(Table13[[#This Row],[kbli5]],kata_kunci!$B:$H,5,FALSE)</f>
        <v>#N/A</v>
      </c>
      <c r="J1397" s="84" t="e">
        <f>VLOOKUP(Table13[[#This Row],[kbli5]],kata_kunci!$B:$H,6,FALSE)</f>
        <v>#N/A</v>
      </c>
      <c r="K1397" s="84" t="e">
        <f>VLOOKUP(Table13[[#This Row],[kbli5]],kata_kunci!$B:$H,7,FALSE)</f>
        <v>#N/A</v>
      </c>
    </row>
    <row r="1398" spans="1:11" ht="26.25" thickBot="1" x14ac:dyDescent="0.3">
      <c r="A1398" s="53" t="s">
        <v>46</v>
      </c>
      <c r="B1398" s="40">
        <v>85520</v>
      </c>
      <c r="C1398" s="41" t="s">
        <v>70</v>
      </c>
      <c r="D1398" s="30" t="str">
        <f>VLOOKUP(Table13[[#This Row],[kbli5]],Table1[[#All],[kbli5]:[digital_hijau]],3,)</f>
        <v>Les musik; les menari/sanggar tari; sanggar lukis;</v>
      </c>
      <c r="E1398" s="53" t="e">
        <f>VLOOKUP(Table13[[#This Row],[kbli5]],kata_kunci!$B:$H,4,FALSE)</f>
        <v>#N/A</v>
      </c>
      <c r="F1398" s="53" t="str">
        <f>VLOOKUP(Table13[[#This Row],[kbli5]],Table1[[#All],[kbli5]:[digital_hijau]],5,)</f>
        <v>Umum Ditemukan</v>
      </c>
      <c r="G1398" s="53">
        <f>VLOOKUP(Table13[[#This Row],[kbli5]],Table1[[#All],[kbli5]:[digital_hijau]],6,)</f>
        <v>0</v>
      </c>
      <c r="H1398" s="54" t="e">
        <f>VLOOKUP(Table13[[#This Row],[kbli5]],kata_kunci!$B:$H,3,FALSE)</f>
        <v>#N/A</v>
      </c>
      <c r="I1398" s="84" t="e">
        <f>VLOOKUP(Table13[[#This Row],[kbli5]],kata_kunci!$B:$H,5,FALSE)</f>
        <v>#N/A</v>
      </c>
      <c r="J1398" s="84" t="e">
        <f>VLOOKUP(Table13[[#This Row],[kbli5]],kata_kunci!$B:$H,6,FALSE)</f>
        <v>#N/A</v>
      </c>
      <c r="K1398" s="84" t="e">
        <f>VLOOKUP(Table13[[#This Row],[kbli5]],kata_kunci!$B:$H,7,FALSE)</f>
        <v>#N/A</v>
      </c>
    </row>
    <row r="1399" spans="1:11" ht="30.75" thickBot="1" x14ac:dyDescent="0.3">
      <c r="A1399" s="53" t="s">
        <v>46</v>
      </c>
      <c r="B1399" s="40">
        <v>85530</v>
      </c>
      <c r="C1399" s="41" t="s">
        <v>71</v>
      </c>
      <c r="D1399" s="30" t="str">
        <f>VLOOKUP(Table13[[#This Row],[kbli5]],Table1[[#All],[kbli5]:[digital_hijau]],3,)</f>
        <v>Sekolah mengemudi mobil;</v>
      </c>
      <c r="E1399" s="53" t="e">
        <f>VLOOKUP(Table13[[#This Row],[kbli5]],kata_kunci!$B:$H,4,FALSE)</f>
        <v>#N/A</v>
      </c>
      <c r="F1399" s="53" t="str">
        <f>VLOOKUP(Table13[[#This Row],[kbli5]],Table1[[#All],[kbli5]:[digital_hijau]],5,)</f>
        <v>Umum Ditemukan</v>
      </c>
      <c r="G1399" s="53">
        <f>VLOOKUP(Table13[[#This Row],[kbli5]],Table1[[#All],[kbli5]:[digital_hijau]],6,)</f>
        <v>0</v>
      </c>
      <c r="H1399" s="54" t="e">
        <f>VLOOKUP(Table13[[#This Row],[kbli5]],kata_kunci!$B:$H,3,FALSE)</f>
        <v>#N/A</v>
      </c>
      <c r="I1399" s="84" t="e">
        <f>VLOOKUP(Table13[[#This Row],[kbli5]],kata_kunci!$B:$H,5,FALSE)</f>
        <v>#N/A</v>
      </c>
      <c r="J1399" s="84" t="e">
        <f>VLOOKUP(Table13[[#This Row],[kbli5]],kata_kunci!$B:$H,6,FALSE)</f>
        <v>#N/A</v>
      </c>
      <c r="K1399" s="84" t="e">
        <f>VLOOKUP(Table13[[#This Row],[kbli5]],kata_kunci!$B:$H,7,FALSE)</f>
        <v>#N/A</v>
      </c>
    </row>
    <row r="1400" spans="1:11" ht="30.75" thickBot="1" x14ac:dyDescent="0.3">
      <c r="A1400" s="53" t="s">
        <v>46</v>
      </c>
      <c r="B1400" s="40">
        <v>85541</v>
      </c>
      <c r="C1400" s="41" t="s">
        <v>72</v>
      </c>
      <c r="D1400" s="30" t="e">
        <f>VLOOKUP(Table13[[#This Row],[kbli5]],Table1[[#All],[kbli5]:[digital_hijau]],3,)</f>
        <v>#N/A</v>
      </c>
      <c r="E1400" s="53" t="e">
        <f>VLOOKUP(Table13[[#This Row],[kbli5]],kata_kunci!$B:$H,4,FALSE)</f>
        <v>#N/A</v>
      </c>
      <c r="F1400" s="53" t="e">
        <f>VLOOKUP(Table13[[#This Row],[kbli5]],Table1[[#All],[kbli5]:[digital_hijau]],5,)</f>
        <v>#N/A</v>
      </c>
      <c r="G1400" s="53" t="e">
        <f>VLOOKUP(Table13[[#This Row],[kbli5]],Table1[[#All],[kbli5]:[digital_hijau]],6,)</f>
        <v>#N/A</v>
      </c>
      <c r="H1400" s="54" t="e">
        <f>VLOOKUP(Table13[[#This Row],[kbli5]],kata_kunci!$B:$H,3,FALSE)</f>
        <v>#N/A</v>
      </c>
      <c r="I1400" s="84" t="e">
        <f>VLOOKUP(Table13[[#This Row],[kbli5]],kata_kunci!$B:$H,5,FALSE)</f>
        <v>#N/A</v>
      </c>
      <c r="J1400" s="84" t="e">
        <f>VLOOKUP(Table13[[#This Row],[kbli5]],kata_kunci!$B:$H,6,FALSE)</f>
        <v>#N/A</v>
      </c>
      <c r="K1400" s="84" t="e">
        <f>VLOOKUP(Table13[[#This Row],[kbli5]],kata_kunci!$B:$H,7,FALSE)</f>
        <v>#N/A</v>
      </c>
    </row>
    <row r="1401" spans="1:11" ht="30.75" thickBot="1" x14ac:dyDescent="0.3">
      <c r="A1401" s="53" t="s">
        <v>46</v>
      </c>
      <c r="B1401" s="40">
        <v>85542</v>
      </c>
      <c r="C1401" s="41" t="s">
        <v>73</v>
      </c>
      <c r="D1401" s="30" t="str">
        <f>VLOOKUP(Table13[[#This Row],[kbli5]],Table1[[#All],[kbli5]:[digital_hijau]],3,)</f>
        <v>kursus mengaji; Rumah tahfiz;</v>
      </c>
      <c r="E1401" s="53" t="e">
        <f>VLOOKUP(Table13[[#This Row],[kbli5]],kata_kunci!$B:$H,4,FALSE)</f>
        <v>#N/A</v>
      </c>
      <c r="F1401" s="53" t="str">
        <f>VLOOKUP(Table13[[#This Row],[kbli5]],Table1[[#All],[kbli5]:[digital_hijau]],5,)</f>
        <v>Umum Ditemukan</v>
      </c>
      <c r="G1401" s="53">
        <f>VLOOKUP(Table13[[#This Row],[kbli5]],Table1[[#All],[kbli5]:[digital_hijau]],6,)</f>
        <v>0</v>
      </c>
      <c r="H1401" s="54" t="e">
        <f>VLOOKUP(Table13[[#This Row],[kbli5]],kata_kunci!$B:$H,3,FALSE)</f>
        <v>#N/A</v>
      </c>
      <c r="I1401" s="84" t="e">
        <f>VLOOKUP(Table13[[#This Row],[kbli5]],kata_kunci!$B:$H,5,FALSE)</f>
        <v>#N/A</v>
      </c>
      <c r="J1401" s="84" t="e">
        <f>VLOOKUP(Table13[[#This Row],[kbli5]],kata_kunci!$B:$H,6,FALSE)</f>
        <v>#N/A</v>
      </c>
      <c r="K1401" s="84" t="e">
        <f>VLOOKUP(Table13[[#This Row],[kbli5]],kata_kunci!$B:$H,7,FALSE)</f>
        <v>#N/A</v>
      </c>
    </row>
    <row r="1402" spans="1:11" ht="30.75" thickBot="1" x14ac:dyDescent="0.3">
      <c r="A1402" s="53" t="s">
        <v>46</v>
      </c>
      <c r="B1402" s="40">
        <v>85549</v>
      </c>
      <c r="C1402" s="41" t="s">
        <v>74</v>
      </c>
      <c r="D1402" s="30" t="e">
        <f>VLOOKUP(Table13[[#This Row],[kbli5]],Table1[[#All],[kbli5]:[digital_hijau]],3,)</f>
        <v>#N/A</v>
      </c>
      <c r="E1402" s="53" t="e">
        <f>VLOOKUP(Table13[[#This Row],[kbli5]],kata_kunci!$B:$H,4,FALSE)</f>
        <v>#N/A</v>
      </c>
      <c r="F1402" s="53" t="e">
        <f>VLOOKUP(Table13[[#This Row],[kbli5]],Table1[[#All],[kbli5]:[digital_hijau]],5,)</f>
        <v>#N/A</v>
      </c>
      <c r="G1402" s="53" t="e">
        <f>VLOOKUP(Table13[[#This Row],[kbli5]],Table1[[#All],[kbli5]:[digital_hijau]],6,)</f>
        <v>#N/A</v>
      </c>
      <c r="H1402" s="54" t="e">
        <f>VLOOKUP(Table13[[#This Row],[kbli5]],kata_kunci!$B:$H,3,FALSE)</f>
        <v>#N/A</v>
      </c>
      <c r="I1402" s="84" t="e">
        <f>VLOOKUP(Table13[[#This Row],[kbli5]],kata_kunci!$B:$H,5,FALSE)</f>
        <v>#N/A</v>
      </c>
      <c r="J1402" s="84" t="e">
        <f>VLOOKUP(Table13[[#This Row],[kbli5]],kata_kunci!$B:$H,6,FALSE)</f>
        <v>#N/A</v>
      </c>
      <c r="K1402" s="84" t="e">
        <f>VLOOKUP(Table13[[#This Row],[kbli5]],kata_kunci!$B:$H,7,FALSE)</f>
        <v>#N/A</v>
      </c>
    </row>
    <row r="1403" spans="1:11" ht="30.75" thickBot="1" x14ac:dyDescent="0.3">
      <c r="A1403" s="53" t="s">
        <v>46</v>
      </c>
      <c r="B1403" s="40">
        <v>85550</v>
      </c>
      <c r="C1403" s="41" t="s">
        <v>75</v>
      </c>
      <c r="D1403" s="30" t="e">
        <f>VLOOKUP(Table13[[#This Row],[kbli5]],Table1[[#All],[kbli5]:[digital_hijau]],3,)</f>
        <v>#N/A</v>
      </c>
      <c r="E1403" s="53" t="e">
        <f>VLOOKUP(Table13[[#This Row],[kbli5]],kata_kunci!$B:$H,4,FALSE)</f>
        <v>#N/A</v>
      </c>
      <c r="F1403" s="53" t="e">
        <f>VLOOKUP(Table13[[#This Row],[kbli5]],Table1[[#All],[kbli5]:[digital_hijau]],5,)</f>
        <v>#N/A</v>
      </c>
      <c r="G1403" s="53" t="e">
        <f>VLOOKUP(Table13[[#This Row],[kbli5]],Table1[[#All],[kbli5]:[digital_hijau]],6,)</f>
        <v>#N/A</v>
      </c>
      <c r="H1403" s="54" t="e">
        <f>VLOOKUP(Table13[[#This Row],[kbli5]],kata_kunci!$B:$H,3,FALSE)</f>
        <v>#N/A</v>
      </c>
      <c r="I1403" s="84" t="e">
        <f>VLOOKUP(Table13[[#This Row],[kbli5]],kata_kunci!$B:$H,5,FALSE)</f>
        <v>#N/A</v>
      </c>
      <c r="J1403" s="84" t="e">
        <f>VLOOKUP(Table13[[#This Row],[kbli5]],kata_kunci!$B:$H,6,FALSE)</f>
        <v>#N/A</v>
      </c>
      <c r="K1403" s="84" t="e">
        <f>VLOOKUP(Table13[[#This Row],[kbli5]],kata_kunci!$B:$H,7,FALSE)</f>
        <v>#N/A</v>
      </c>
    </row>
    <row r="1404" spans="1:11" ht="30.75" thickBot="1" x14ac:dyDescent="0.3">
      <c r="A1404" s="53" t="s">
        <v>46</v>
      </c>
      <c r="B1404" s="40">
        <v>85560</v>
      </c>
      <c r="C1404" s="41" t="s">
        <v>76</v>
      </c>
      <c r="D1404" s="30" t="str">
        <f>VLOOKUP(Table13[[#This Row],[kbli5]],Table1[[#All],[kbli5]:[digital_hijau]],3,)</f>
        <v>Pusdiklat pemerintah; BPMP;</v>
      </c>
      <c r="E1404" s="53" t="e">
        <f>VLOOKUP(Table13[[#This Row],[kbli5]],kata_kunci!$B:$H,4,FALSE)</f>
        <v>#N/A</v>
      </c>
      <c r="F1404" s="53" t="str">
        <f>VLOOKUP(Table13[[#This Row],[kbli5]],Table1[[#All],[kbli5]:[digital_hijau]],5,)</f>
        <v>Esensial</v>
      </c>
      <c r="G1404" s="53">
        <f>VLOOKUP(Table13[[#This Row],[kbli5]],Table1[[#All],[kbli5]:[digital_hijau]],6,)</f>
        <v>0</v>
      </c>
      <c r="H1404" s="54" t="e">
        <f>VLOOKUP(Table13[[#This Row],[kbli5]],kata_kunci!$B:$H,3,FALSE)</f>
        <v>#N/A</v>
      </c>
      <c r="I1404" s="84" t="e">
        <f>VLOOKUP(Table13[[#This Row],[kbli5]],kata_kunci!$B:$H,5,FALSE)</f>
        <v>#N/A</v>
      </c>
      <c r="J1404" s="84" t="e">
        <f>VLOOKUP(Table13[[#This Row],[kbli5]],kata_kunci!$B:$H,6,FALSE)</f>
        <v>#N/A</v>
      </c>
      <c r="K1404" s="84" t="e">
        <f>VLOOKUP(Table13[[#This Row],[kbli5]],kata_kunci!$B:$H,7,FALSE)</f>
        <v>#N/A</v>
      </c>
    </row>
    <row r="1405" spans="1:11" ht="30.75" thickBot="1" x14ac:dyDescent="0.3">
      <c r="A1405" s="53" t="s">
        <v>46</v>
      </c>
      <c r="B1405" s="40">
        <v>85571</v>
      </c>
      <c r="C1405" s="41" t="s">
        <v>1611</v>
      </c>
      <c r="D1405" s="30" t="e">
        <f>VLOOKUP(Table13[[#This Row],[kbli5]],Table1[[#All],[kbli5]:[digital_hijau]],3,)</f>
        <v>#N/A</v>
      </c>
      <c r="E1405" s="53" t="e">
        <f>VLOOKUP(Table13[[#This Row],[kbli5]],kata_kunci!$B:$H,4,FALSE)</f>
        <v>#N/A</v>
      </c>
      <c r="F1405" s="53" t="e">
        <f>VLOOKUP(Table13[[#This Row],[kbli5]],Table1[[#All],[kbli5]:[digital_hijau]],5,)</f>
        <v>#N/A</v>
      </c>
      <c r="G1405" s="53" t="e">
        <f>VLOOKUP(Table13[[#This Row],[kbli5]],Table1[[#All],[kbli5]:[digital_hijau]],6,)</f>
        <v>#N/A</v>
      </c>
      <c r="H1405" s="54" t="e">
        <f>VLOOKUP(Table13[[#This Row],[kbli5]],kata_kunci!$B:$H,3,FALSE)</f>
        <v>#N/A</v>
      </c>
      <c r="I1405" s="84" t="e">
        <f>VLOOKUP(Table13[[#This Row],[kbli5]],kata_kunci!$B:$H,5,FALSE)</f>
        <v>#N/A</v>
      </c>
      <c r="J1405" s="84" t="e">
        <f>VLOOKUP(Table13[[#This Row],[kbli5]],kata_kunci!$B:$H,6,FALSE)</f>
        <v>#N/A</v>
      </c>
      <c r="K1405" s="84" t="e">
        <f>VLOOKUP(Table13[[#This Row],[kbli5]],kata_kunci!$B:$H,7,FALSE)</f>
        <v>#N/A</v>
      </c>
    </row>
    <row r="1406" spans="1:11" ht="45.75" thickBot="1" x14ac:dyDescent="0.3">
      <c r="A1406" s="53" t="s">
        <v>46</v>
      </c>
      <c r="B1406" s="40">
        <v>85572</v>
      </c>
      <c r="C1406" s="41" t="s">
        <v>77</v>
      </c>
      <c r="D1406" s="30" t="e">
        <f>VLOOKUP(Table13[[#This Row],[kbli5]],Table1[[#All],[kbli5]:[digital_hijau]],3,)</f>
        <v>#N/A</v>
      </c>
      <c r="E1406" s="53" t="e">
        <f>VLOOKUP(Table13[[#This Row],[kbli5]],kata_kunci!$B:$H,4,FALSE)</f>
        <v>#N/A</v>
      </c>
      <c r="F1406" s="53" t="e">
        <f>VLOOKUP(Table13[[#This Row],[kbli5]],Table1[[#All],[kbli5]:[digital_hijau]],5,)</f>
        <v>#N/A</v>
      </c>
      <c r="G1406" s="53" t="e">
        <f>VLOOKUP(Table13[[#This Row],[kbli5]],Table1[[#All],[kbli5]:[digital_hijau]],6,)</f>
        <v>#N/A</v>
      </c>
      <c r="H1406" s="54" t="e">
        <f>VLOOKUP(Table13[[#This Row],[kbli5]],kata_kunci!$B:$H,3,FALSE)</f>
        <v>#N/A</v>
      </c>
      <c r="I1406" s="84" t="e">
        <f>VLOOKUP(Table13[[#This Row],[kbli5]],kata_kunci!$B:$H,5,FALSE)</f>
        <v>#N/A</v>
      </c>
      <c r="J1406" s="84" t="e">
        <f>VLOOKUP(Table13[[#This Row],[kbli5]],kata_kunci!$B:$H,6,FALSE)</f>
        <v>#N/A</v>
      </c>
      <c r="K1406" s="84" t="e">
        <f>VLOOKUP(Table13[[#This Row],[kbli5]],kata_kunci!$B:$H,7,FALSE)</f>
        <v>#N/A</v>
      </c>
    </row>
    <row r="1407" spans="1:11" ht="30.75" thickBot="1" x14ac:dyDescent="0.3">
      <c r="A1407" s="53" t="s">
        <v>46</v>
      </c>
      <c r="B1407" s="40">
        <v>85573</v>
      </c>
      <c r="C1407" s="41" t="s">
        <v>78</v>
      </c>
      <c r="D1407" s="30" t="e">
        <f>VLOOKUP(Table13[[#This Row],[kbli5]],Table1[[#All],[kbli5]:[digital_hijau]],3,)</f>
        <v>#N/A</v>
      </c>
      <c r="E1407" s="53" t="e">
        <f>VLOOKUP(Table13[[#This Row],[kbli5]],kata_kunci!$B:$H,4,FALSE)</f>
        <v>#N/A</v>
      </c>
      <c r="F1407" s="53" t="e">
        <f>VLOOKUP(Table13[[#This Row],[kbli5]],Table1[[#All],[kbli5]:[digital_hijau]],5,)</f>
        <v>#N/A</v>
      </c>
      <c r="G1407" s="53" t="e">
        <f>VLOOKUP(Table13[[#This Row],[kbli5]],Table1[[#All],[kbli5]:[digital_hijau]],6,)</f>
        <v>#N/A</v>
      </c>
      <c r="H1407" s="54" t="e">
        <f>VLOOKUP(Table13[[#This Row],[kbli5]],kata_kunci!$B:$H,3,FALSE)</f>
        <v>#N/A</v>
      </c>
      <c r="I1407" s="84" t="e">
        <f>VLOOKUP(Table13[[#This Row],[kbli5]],kata_kunci!$B:$H,5,FALSE)</f>
        <v>#N/A</v>
      </c>
      <c r="J1407" s="84" t="e">
        <f>VLOOKUP(Table13[[#This Row],[kbli5]],kata_kunci!$B:$H,6,FALSE)</f>
        <v>#N/A</v>
      </c>
      <c r="K1407" s="84" t="e">
        <f>VLOOKUP(Table13[[#This Row],[kbli5]],kata_kunci!$B:$H,7,FALSE)</f>
        <v>#N/A</v>
      </c>
    </row>
    <row r="1408" spans="1:11" ht="45.75" thickBot="1" x14ac:dyDescent="0.3">
      <c r="A1408" s="53" t="s">
        <v>46</v>
      </c>
      <c r="B1408" s="40">
        <v>85574</v>
      </c>
      <c r="C1408" s="41" t="s">
        <v>1612</v>
      </c>
      <c r="D1408" s="30" t="e">
        <f>VLOOKUP(Table13[[#This Row],[kbli5]],Table1[[#All],[kbli5]:[digital_hijau]],3,)</f>
        <v>#N/A</v>
      </c>
      <c r="E1408" s="53" t="e">
        <f>VLOOKUP(Table13[[#This Row],[kbli5]],kata_kunci!$B:$H,4,FALSE)</f>
        <v>#N/A</v>
      </c>
      <c r="F1408" s="53" t="e">
        <f>VLOOKUP(Table13[[#This Row],[kbli5]],Table1[[#All],[kbli5]:[digital_hijau]],5,)</f>
        <v>#N/A</v>
      </c>
      <c r="G1408" s="53" t="e">
        <f>VLOOKUP(Table13[[#This Row],[kbli5]],Table1[[#All],[kbli5]:[digital_hijau]],6,)</f>
        <v>#N/A</v>
      </c>
      <c r="H1408" s="54" t="e">
        <f>VLOOKUP(Table13[[#This Row],[kbli5]],kata_kunci!$B:$H,3,FALSE)</f>
        <v>#N/A</v>
      </c>
      <c r="I1408" s="84" t="e">
        <f>VLOOKUP(Table13[[#This Row],[kbli5]],kata_kunci!$B:$H,5,FALSE)</f>
        <v>#N/A</v>
      </c>
      <c r="J1408" s="84" t="e">
        <f>VLOOKUP(Table13[[#This Row],[kbli5]],kata_kunci!$B:$H,6,FALSE)</f>
        <v>#N/A</v>
      </c>
      <c r="K1408" s="84" t="e">
        <f>VLOOKUP(Table13[[#This Row],[kbli5]],kata_kunci!$B:$H,7,FALSE)</f>
        <v>#N/A</v>
      </c>
    </row>
    <row r="1409" spans="1:11" ht="30.75" thickBot="1" x14ac:dyDescent="0.3">
      <c r="A1409" s="53" t="s">
        <v>46</v>
      </c>
      <c r="B1409" s="40">
        <v>85575</v>
      </c>
      <c r="C1409" s="41" t="s">
        <v>1613</v>
      </c>
      <c r="D1409" s="30" t="e">
        <f>VLOOKUP(Table13[[#This Row],[kbli5]],Table1[[#All],[kbli5]:[digital_hijau]],3,)</f>
        <v>#N/A</v>
      </c>
      <c r="E1409" s="53" t="e">
        <f>VLOOKUP(Table13[[#This Row],[kbli5]],kata_kunci!$B:$H,4,FALSE)</f>
        <v>#N/A</v>
      </c>
      <c r="F1409" s="53" t="e">
        <f>VLOOKUP(Table13[[#This Row],[kbli5]],Table1[[#All],[kbli5]:[digital_hijau]],5,)</f>
        <v>#N/A</v>
      </c>
      <c r="G1409" s="53" t="e">
        <f>VLOOKUP(Table13[[#This Row],[kbli5]],Table1[[#All],[kbli5]:[digital_hijau]],6,)</f>
        <v>#N/A</v>
      </c>
      <c r="H1409" s="54" t="e">
        <f>VLOOKUP(Table13[[#This Row],[kbli5]],kata_kunci!$B:$H,3,FALSE)</f>
        <v>#N/A</v>
      </c>
      <c r="I1409" s="84" t="e">
        <f>VLOOKUP(Table13[[#This Row],[kbli5]],kata_kunci!$B:$H,5,FALSE)</f>
        <v>#N/A</v>
      </c>
      <c r="J1409" s="84" t="e">
        <f>VLOOKUP(Table13[[#This Row],[kbli5]],kata_kunci!$B:$H,6,FALSE)</f>
        <v>#N/A</v>
      </c>
      <c r="K1409" s="84" t="e">
        <f>VLOOKUP(Table13[[#This Row],[kbli5]],kata_kunci!$B:$H,7,FALSE)</f>
        <v>#N/A</v>
      </c>
    </row>
    <row r="1410" spans="1:11" ht="45.75" thickBot="1" x14ac:dyDescent="0.3">
      <c r="A1410" s="53" t="s">
        <v>46</v>
      </c>
      <c r="B1410" s="40">
        <v>85576</v>
      </c>
      <c r="C1410" s="41" t="s">
        <v>1614</v>
      </c>
      <c r="D1410" s="30" t="e">
        <f>VLOOKUP(Table13[[#This Row],[kbli5]],Table1[[#All],[kbli5]:[digital_hijau]],3,)</f>
        <v>#N/A</v>
      </c>
      <c r="E1410" s="53" t="e">
        <f>VLOOKUP(Table13[[#This Row],[kbli5]],kata_kunci!$B:$H,4,FALSE)</f>
        <v>#N/A</v>
      </c>
      <c r="F1410" s="53" t="e">
        <f>VLOOKUP(Table13[[#This Row],[kbli5]],Table1[[#All],[kbli5]:[digital_hijau]],5,)</f>
        <v>#N/A</v>
      </c>
      <c r="G1410" s="53" t="e">
        <f>VLOOKUP(Table13[[#This Row],[kbli5]],Table1[[#All],[kbli5]:[digital_hijau]],6,)</f>
        <v>#N/A</v>
      </c>
      <c r="H1410" s="54" t="e">
        <f>VLOOKUP(Table13[[#This Row],[kbli5]],kata_kunci!$B:$H,3,FALSE)</f>
        <v>#N/A</v>
      </c>
      <c r="I1410" s="84" t="e">
        <f>VLOOKUP(Table13[[#This Row],[kbli5]],kata_kunci!$B:$H,5,FALSE)</f>
        <v>#N/A</v>
      </c>
      <c r="J1410" s="84" t="e">
        <f>VLOOKUP(Table13[[#This Row],[kbli5]],kata_kunci!$B:$H,6,FALSE)</f>
        <v>#N/A</v>
      </c>
      <c r="K1410" s="84" t="e">
        <f>VLOOKUP(Table13[[#This Row],[kbli5]],kata_kunci!$B:$H,7,FALSE)</f>
        <v>#N/A</v>
      </c>
    </row>
    <row r="1411" spans="1:11" ht="45.75" thickBot="1" x14ac:dyDescent="0.3">
      <c r="A1411" s="53" t="s">
        <v>46</v>
      </c>
      <c r="B1411" s="40">
        <v>85577</v>
      </c>
      <c r="C1411" s="41" t="s">
        <v>1615</v>
      </c>
      <c r="D1411" s="30" t="e">
        <f>VLOOKUP(Table13[[#This Row],[kbli5]],Table1[[#All],[kbli5]:[digital_hijau]],3,)</f>
        <v>#N/A</v>
      </c>
      <c r="E1411" s="53" t="e">
        <f>VLOOKUP(Table13[[#This Row],[kbli5]],kata_kunci!$B:$H,4,FALSE)</f>
        <v>#N/A</v>
      </c>
      <c r="F1411" s="53" t="e">
        <f>VLOOKUP(Table13[[#This Row],[kbli5]],Table1[[#All],[kbli5]:[digital_hijau]],5,)</f>
        <v>#N/A</v>
      </c>
      <c r="G1411" s="53" t="e">
        <f>VLOOKUP(Table13[[#This Row],[kbli5]],Table1[[#All],[kbli5]:[digital_hijau]],6,)</f>
        <v>#N/A</v>
      </c>
      <c r="H1411" s="54" t="e">
        <f>VLOOKUP(Table13[[#This Row],[kbli5]],kata_kunci!$B:$H,3,FALSE)</f>
        <v>#N/A</v>
      </c>
      <c r="I1411" s="84" t="e">
        <f>VLOOKUP(Table13[[#This Row],[kbli5]],kata_kunci!$B:$H,5,FALSE)</f>
        <v>#N/A</v>
      </c>
      <c r="J1411" s="84" t="e">
        <f>VLOOKUP(Table13[[#This Row],[kbli5]],kata_kunci!$B:$H,6,FALSE)</f>
        <v>#N/A</v>
      </c>
      <c r="K1411" s="84" t="e">
        <f>VLOOKUP(Table13[[#This Row],[kbli5]],kata_kunci!$B:$H,7,FALSE)</f>
        <v>#N/A</v>
      </c>
    </row>
    <row r="1412" spans="1:11" ht="45.75" thickBot="1" x14ac:dyDescent="0.3">
      <c r="A1412" s="53" t="s">
        <v>46</v>
      </c>
      <c r="B1412" s="40">
        <v>85578</v>
      </c>
      <c r="C1412" s="41" t="s">
        <v>79</v>
      </c>
      <c r="D1412" s="30" t="e">
        <f>VLOOKUP(Table13[[#This Row],[kbli5]],Table1[[#All],[kbli5]:[digital_hijau]],3,)</f>
        <v>#N/A</v>
      </c>
      <c r="E1412" s="53" t="e">
        <f>VLOOKUP(Table13[[#This Row],[kbli5]],kata_kunci!$B:$H,4,FALSE)</f>
        <v>#N/A</v>
      </c>
      <c r="F1412" s="53" t="e">
        <f>VLOOKUP(Table13[[#This Row],[kbli5]],Table1[[#All],[kbli5]:[digital_hijau]],5,)</f>
        <v>#N/A</v>
      </c>
      <c r="G1412" s="53" t="e">
        <f>VLOOKUP(Table13[[#This Row],[kbli5]],Table1[[#All],[kbli5]:[digital_hijau]],6,)</f>
        <v>#N/A</v>
      </c>
      <c r="H1412" s="54" t="e">
        <f>VLOOKUP(Table13[[#This Row],[kbli5]],kata_kunci!$B:$H,3,FALSE)</f>
        <v>#N/A</v>
      </c>
      <c r="I1412" s="84" t="e">
        <f>VLOOKUP(Table13[[#This Row],[kbli5]],kata_kunci!$B:$H,5,FALSE)</f>
        <v>#N/A</v>
      </c>
      <c r="J1412" s="84" t="e">
        <f>VLOOKUP(Table13[[#This Row],[kbli5]],kata_kunci!$B:$H,6,FALSE)</f>
        <v>#N/A</v>
      </c>
      <c r="K1412" s="84" t="e">
        <f>VLOOKUP(Table13[[#This Row],[kbli5]],kata_kunci!$B:$H,7,FALSE)</f>
        <v>#N/A</v>
      </c>
    </row>
    <row r="1413" spans="1:11" ht="30.75" thickBot="1" x14ac:dyDescent="0.3">
      <c r="A1413" s="53" t="s">
        <v>46</v>
      </c>
      <c r="B1413" s="40">
        <v>85579</v>
      </c>
      <c r="C1413" s="41" t="s">
        <v>80</v>
      </c>
      <c r="D1413" s="30" t="e">
        <f>VLOOKUP(Table13[[#This Row],[kbli5]],Table1[[#All],[kbli5]:[digital_hijau]],3,)</f>
        <v>#N/A</v>
      </c>
      <c r="E1413" s="53" t="e">
        <f>VLOOKUP(Table13[[#This Row],[kbli5]],kata_kunci!$B:$H,4,FALSE)</f>
        <v>#N/A</v>
      </c>
      <c r="F1413" s="53" t="e">
        <f>VLOOKUP(Table13[[#This Row],[kbli5]],Table1[[#All],[kbli5]:[digital_hijau]],5,)</f>
        <v>#N/A</v>
      </c>
      <c r="G1413" s="53" t="e">
        <f>VLOOKUP(Table13[[#This Row],[kbli5]],Table1[[#All],[kbli5]:[digital_hijau]],6,)</f>
        <v>#N/A</v>
      </c>
      <c r="H1413" s="54" t="e">
        <f>VLOOKUP(Table13[[#This Row],[kbli5]],kata_kunci!$B:$H,3,FALSE)</f>
        <v>#N/A</v>
      </c>
      <c r="I1413" s="84" t="e">
        <f>VLOOKUP(Table13[[#This Row],[kbli5]],kata_kunci!$B:$H,5,FALSE)</f>
        <v>#N/A</v>
      </c>
      <c r="J1413" s="84" t="e">
        <f>VLOOKUP(Table13[[#This Row],[kbli5]],kata_kunci!$B:$H,6,FALSE)</f>
        <v>#N/A</v>
      </c>
      <c r="K1413" s="84" t="e">
        <f>VLOOKUP(Table13[[#This Row],[kbli5]],kata_kunci!$B:$H,7,FALSE)</f>
        <v>#N/A</v>
      </c>
    </row>
    <row r="1414" spans="1:11" ht="30.75" thickBot="1" x14ac:dyDescent="0.3">
      <c r="A1414" s="53" t="s">
        <v>46</v>
      </c>
      <c r="B1414" s="40">
        <v>85581</v>
      </c>
      <c r="C1414" s="41" t="s">
        <v>1616</v>
      </c>
      <c r="D1414" s="30" t="e">
        <f>VLOOKUP(Table13[[#This Row],[kbli5]],Table1[[#All],[kbli5]:[digital_hijau]],3,)</f>
        <v>#N/A</v>
      </c>
      <c r="E1414" s="53" t="e">
        <f>VLOOKUP(Table13[[#This Row],[kbli5]],kata_kunci!$B:$H,4,FALSE)</f>
        <v>#N/A</v>
      </c>
      <c r="F1414" s="53" t="e">
        <f>VLOOKUP(Table13[[#This Row],[kbli5]],Table1[[#All],[kbli5]:[digital_hijau]],5,)</f>
        <v>#N/A</v>
      </c>
      <c r="G1414" s="53" t="e">
        <f>VLOOKUP(Table13[[#This Row],[kbli5]],Table1[[#All],[kbli5]:[digital_hijau]],6,)</f>
        <v>#N/A</v>
      </c>
      <c r="H1414" s="54" t="e">
        <f>VLOOKUP(Table13[[#This Row],[kbli5]],kata_kunci!$B:$H,3,FALSE)</f>
        <v>#N/A</v>
      </c>
      <c r="I1414" s="84" t="e">
        <f>VLOOKUP(Table13[[#This Row],[kbli5]],kata_kunci!$B:$H,5,FALSE)</f>
        <v>#N/A</v>
      </c>
      <c r="J1414" s="84" t="e">
        <f>VLOOKUP(Table13[[#This Row],[kbli5]],kata_kunci!$B:$H,6,FALSE)</f>
        <v>#N/A</v>
      </c>
      <c r="K1414" s="84" t="e">
        <f>VLOOKUP(Table13[[#This Row],[kbli5]],kata_kunci!$B:$H,7,FALSE)</f>
        <v>#N/A</v>
      </c>
    </row>
    <row r="1415" spans="1:11" ht="45.75" thickBot="1" x14ac:dyDescent="0.3">
      <c r="A1415" s="53" t="s">
        <v>46</v>
      </c>
      <c r="B1415" s="40">
        <v>85582</v>
      </c>
      <c r="C1415" s="41" t="s">
        <v>1617</v>
      </c>
      <c r="D1415" s="30" t="e">
        <f>VLOOKUP(Table13[[#This Row],[kbli5]],Table1[[#All],[kbli5]:[digital_hijau]],3,)</f>
        <v>#N/A</v>
      </c>
      <c r="E1415" s="53" t="e">
        <f>VLOOKUP(Table13[[#This Row],[kbli5]],kata_kunci!$B:$H,4,FALSE)</f>
        <v>#N/A</v>
      </c>
      <c r="F1415" s="53" t="e">
        <f>VLOOKUP(Table13[[#This Row],[kbli5]],Table1[[#All],[kbli5]:[digital_hijau]],5,)</f>
        <v>#N/A</v>
      </c>
      <c r="G1415" s="53" t="e">
        <f>VLOOKUP(Table13[[#This Row],[kbli5]],Table1[[#All],[kbli5]:[digital_hijau]],6,)</f>
        <v>#N/A</v>
      </c>
      <c r="H1415" s="54" t="e">
        <f>VLOOKUP(Table13[[#This Row],[kbli5]],kata_kunci!$B:$H,3,FALSE)</f>
        <v>#N/A</v>
      </c>
      <c r="I1415" s="84" t="e">
        <f>VLOOKUP(Table13[[#This Row],[kbli5]],kata_kunci!$B:$H,5,FALSE)</f>
        <v>#N/A</v>
      </c>
      <c r="J1415" s="84" t="e">
        <f>VLOOKUP(Table13[[#This Row],[kbli5]],kata_kunci!$B:$H,6,FALSE)</f>
        <v>#N/A</v>
      </c>
      <c r="K1415" s="84" t="e">
        <f>VLOOKUP(Table13[[#This Row],[kbli5]],kata_kunci!$B:$H,7,FALSE)</f>
        <v>#N/A</v>
      </c>
    </row>
    <row r="1416" spans="1:11" ht="30.75" thickBot="1" x14ac:dyDescent="0.3">
      <c r="A1416" s="53" t="s">
        <v>46</v>
      </c>
      <c r="B1416" s="40">
        <v>85583</v>
      </c>
      <c r="C1416" s="41" t="s">
        <v>1618</v>
      </c>
      <c r="D1416" s="30" t="e">
        <f>VLOOKUP(Table13[[#This Row],[kbli5]],Table1[[#All],[kbli5]:[digital_hijau]],3,)</f>
        <v>#N/A</v>
      </c>
      <c r="E1416" s="53" t="e">
        <f>VLOOKUP(Table13[[#This Row],[kbli5]],kata_kunci!$B:$H,4,FALSE)</f>
        <v>#N/A</v>
      </c>
      <c r="F1416" s="53" t="e">
        <f>VLOOKUP(Table13[[#This Row],[kbli5]],Table1[[#All],[kbli5]:[digital_hijau]],5,)</f>
        <v>#N/A</v>
      </c>
      <c r="G1416" s="53" t="e">
        <f>VLOOKUP(Table13[[#This Row],[kbli5]],Table1[[#All],[kbli5]:[digital_hijau]],6,)</f>
        <v>#N/A</v>
      </c>
      <c r="H1416" s="54" t="e">
        <f>VLOOKUP(Table13[[#This Row],[kbli5]],kata_kunci!$B:$H,3,FALSE)</f>
        <v>#N/A</v>
      </c>
      <c r="I1416" s="84" t="e">
        <f>VLOOKUP(Table13[[#This Row],[kbli5]],kata_kunci!$B:$H,5,FALSE)</f>
        <v>#N/A</v>
      </c>
      <c r="J1416" s="84" t="e">
        <f>VLOOKUP(Table13[[#This Row],[kbli5]],kata_kunci!$B:$H,6,FALSE)</f>
        <v>#N/A</v>
      </c>
      <c r="K1416" s="84" t="e">
        <f>VLOOKUP(Table13[[#This Row],[kbli5]],kata_kunci!$B:$H,7,FALSE)</f>
        <v>#N/A</v>
      </c>
    </row>
    <row r="1417" spans="1:11" ht="45.75" thickBot="1" x14ac:dyDescent="0.3">
      <c r="A1417" s="53" t="s">
        <v>46</v>
      </c>
      <c r="B1417" s="40">
        <v>85584</v>
      </c>
      <c r="C1417" s="41" t="s">
        <v>1619</v>
      </c>
      <c r="D1417" s="30" t="e">
        <f>VLOOKUP(Table13[[#This Row],[kbli5]],Table1[[#All],[kbli5]:[digital_hijau]],3,)</f>
        <v>#N/A</v>
      </c>
      <c r="E1417" s="53" t="e">
        <f>VLOOKUP(Table13[[#This Row],[kbli5]],kata_kunci!$B:$H,4,FALSE)</f>
        <v>#N/A</v>
      </c>
      <c r="F1417" s="53" t="e">
        <f>VLOOKUP(Table13[[#This Row],[kbli5]],Table1[[#All],[kbli5]:[digital_hijau]],5,)</f>
        <v>#N/A</v>
      </c>
      <c r="G1417" s="53" t="e">
        <f>VLOOKUP(Table13[[#This Row],[kbli5]],Table1[[#All],[kbli5]:[digital_hijau]],6,)</f>
        <v>#N/A</v>
      </c>
      <c r="H1417" s="54" t="e">
        <f>VLOOKUP(Table13[[#This Row],[kbli5]],kata_kunci!$B:$H,3,FALSE)</f>
        <v>#N/A</v>
      </c>
      <c r="I1417" s="84" t="e">
        <f>VLOOKUP(Table13[[#This Row],[kbli5]],kata_kunci!$B:$H,5,FALSE)</f>
        <v>#N/A</v>
      </c>
      <c r="J1417" s="84" t="e">
        <f>VLOOKUP(Table13[[#This Row],[kbli5]],kata_kunci!$B:$H,6,FALSE)</f>
        <v>#N/A</v>
      </c>
      <c r="K1417" s="84" t="e">
        <f>VLOOKUP(Table13[[#This Row],[kbli5]],kata_kunci!$B:$H,7,FALSE)</f>
        <v>#N/A</v>
      </c>
    </row>
    <row r="1418" spans="1:11" ht="45.75" thickBot="1" x14ac:dyDescent="0.3">
      <c r="A1418" s="53" t="s">
        <v>46</v>
      </c>
      <c r="B1418" s="40">
        <v>85585</v>
      </c>
      <c r="C1418" s="41" t="s">
        <v>1620</v>
      </c>
      <c r="D1418" s="30" t="e">
        <f>VLOOKUP(Table13[[#This Row],[kbli5]],Table1[[#All],[kbli5]:[digital_hijau]],3,)</f>
        <v>#N/A</v>
      </c>
      <c r="E1418" s="53" t="e">
        <f>VLOOKUP(Table13[[#This Row],[kbli5]],kata_kunci!$B:$H,4,FALSE)</f>
        <v>#N/A</v>
      </c>
      <c r="F1418" s="53" t="e">
        <f>VLOOKUP(Table13[[#This Row],[kbli5]],Table1[[#All],[kbli5]:[digital_hijau]],5,)</f>
        <v>#N/A</v>
      </c>
      <c r="G1418" s="53" t="e">
        <f>VLOOKUP(Table13[[#This Row],[kbli5]],Table1[[#All],[kbli5]:[digital_hijau]],6,)</f>
        <v>#N/A</v>
      </c>
      <c r="H1418" s="54" t="e">
        <f>VLOOKUP(Table13[[#This Row],[kbli5]],kata_kunci!$B:$H,3,FALSE)</f>
        <v>#N/A</v>
      </c>
      <c r="I1418" s="84" t="e">
        <f>VLOOKUP(Table13[[#This Row],[kbli5]],kata_kunci!$B:$H,5,FALSE)</f>
        <v>#N/A</v>
      </c>
      <c r="J1418" s="84" t="e">
        <f>VLOOKUP(Table13[[#This Row],[kbli5]],kata_kunci!$B:$H,6,FALSE)</f>
        <v>#N/A</v>
      </c>
      <c r="K1418" s="84" t="e">
        <f>VLOOKUP(Table13[[#This Row],[kbli5]],kata_kunci!$B:$H,7,FALSE)</f>
        <v>#N/A</v>
      </c>
    </row>
    <row r="1419" spans="1:11" ht="45.75" thickBot="1" x14ac:dyDescent="0.3">
      <c r="A1419" s="53" t="s">
        <v>46</v>
      </c>
      <c r="B1419" s="40">
        <v>85586</v>
      </c>
      <c r="C1419" s="41" t="s">
        <v>1621</v>
      </c>
      <c r="D1419" s="30" t="e">
        <f>VLOOKUP(Table13[[#This Row],[kbli5]],Table1[[#All],[kbli5]:[digital_hijau]],3,)</f>
        <v>#N/A</v>
      </c>
      <c r="E1419" s="53" t="e">
        <f>VLOOKUP(Table13[[#This Row],[kbli5]],kata_kunci!$B:$H,4,FALSE)</f>
        <v>#N/A</v>
      </c>
      <c r="F1419" s="53" t="e">
        <f>VLOOKUP(Table13[[#This Row],[kbli5]],Table1[[#All],[kbli5]:[digital_hijau]],5,)</f>
        <v>#N/A</v>
      </c>
      <c r="G1419" s="53" t="e">
        <f>VLOOKUP(Table13[[#This Row],[kbli5]],Table1[[#All],[kbli5]:[digital_hijau]],6,)</f>
        <v>#N/A</v>
      </c>
      <c r="H1419" s="54" t="e">
        <f>VLOOKUP(Table13[[#This Row],[kbli5]],kata_kunci!$B:$H,3,FALSE)</f>
        <v>#N/A</v>
      </c>
      <c r="I1419" s="84" t="e">
        <f>VLOOKUP(Table13[[#This Row],[kbli5]],kata_kunci!$B:$H,5,FALSE)</f>
        <v>#N/A</v>
      </c>
      <c r="J1419" s="84" t="e">
        <f>VLOOKUP(Table13[[#This Row],[kbli5]],kata_kunci!$B:$H,6,FALSE)</f>
        <v>#N/A</v>
      </c>
      <c r="K1419" s="84" t="e">
        <f>VLOOKUP(Table13[[#This Row],[kbli5]],kata_kunci!$B:$H,7,FALSE)</f>
        <v>#N/A</v>
      </c>
    </row>
    <row r="1420" spans="1:11" ht="45.75" thickBot="1" x14ac:dyDescent="0.3">
      <c r="A1420" s="53" t="s">
        <v>46</v>
      </c>
      <c r="B1420" s="40">
        <v>85587</v>
      </c>
      <c r="C1420" s="41" t="s">
        <v>1622</v>
      </c>
      <c r="D1420" s="30" t="e">
        <f>VLOOKUP(Table13[[#This Row],[kbli5]],Table1[[#All],[kbli5]:[digital_hijau]],3,)</f>
        <v>#N/A</v>
      </c>
      <c r="E1420" s="53" t="e">
        <f>VLOOKUP(Table13[[#This Row],[kbli5]],kata_kunci!$B:$H,4,FALSE)</f>
        <v>#N/A</v>
      </c>
      <c r="F1420" s="53" t="e">
        <f>VLOOKUP(Table13[[#This Row],[kbli5]],Table1[[#All],[kbli5]:[digital_hijau]],5,)</f>
        <v>#N/A</v>
      </c>
      <c r="G1420" s="53" t="e">
        <f>VLOOKUP(Table13[[#This Row],[kbli5]],Table1[[#All],[kbli5]:[digital_hijau]],6,)</f>
        <v>#N/A</v>
      </c>
      <c r="H1420" s="54" t="e">
        <f>VLOOKUP(Table13[[#This Row],[kbli5]],kata_kunci!$B:$H,3,FALSE)</f>
        <v>#N/A</v>
      </c>
      <c r="I1420" s="84" t="e">
        <f>VLOOKUP(Table13[[#This Row],[kbli5]],kata_kunci!$B:$H,5,FALSE)</f>
        <v>#N/A</v>
      </c>
      <c r="J1420" s="84" t="e">
        <f>VLOOKUP(Table13[[#This Row],[kbli5]],kata_kunci!$B:$H,6,FALSE)</f>
        <v>#N/A</v>
      </c>
      <c r="K1420" s="84" t="e">
        <f>VLOOKUP(Table13[[#This Row],[kbli5]],kata_kunci!$B:$H,7,FALSE)</f>
        <v>#N/A</v>
      </c>
    </row>
    <row r="1421" spans="1:11" ht="30.75" thickBot="1" x14ac:dyDescent="0.3">
      <c r="A1421" s="53" t="s">
        <v>46</v>
      </c>
      <c r="B1421" s="40">
        <v>85589</v>
      </c>
      <c r="C1421" s="41" t="s">
        <v>1623</v>
      </c>
      <c r="D1421" s="30" t="e">
        <f>VLOOKUP(Table13[[#This Row],[kbli5]],Table1[[#All],[kbli5]:[digital_hijau]],3,)</f>
        <v>#N/A</v>
      </c>
      <c r="E1421" s="53" t="e">
        <f>VLOOKUP(Table13[[#This Row],[kbli5]],kata_kunci!$B:$H,4,FALSE)</f>
        <v>#N/A</v>
      </c>
      <c r="F1421" s="53" t="e">
        <f>VLOOKUP(Table13[[#This Row],[kbli5]],Table1[[#All],[kbli5]:[digital_hijau]],5,)</f>
        <v>#N/A</v>
      </c>
      <c r="G1421" s="53" t="e">
        <f>VLOOKUP(Table13[[#This Row],[kbli5]],Table1[[#All],[kbli5]:[digital_hijau]],6,)</f>
        <v>#N/A</v>
      </c>
      <c r="H1421" s="54" t="e">
        <f>VLOOKUP(Table13[[#This Row],[kbli5]],kata_kunci!$B:$H,3,FALSE)</f>
        <v>#N/A</v>
      </c>
      <c r="I1421" s="84" t="e">
        <f>VLOOKUP(Table13[[#This Row],[kbli5]],kata_kunci!$B:$H,5,FALSE)</f>
        <v>#N/A</v>
      </c>
      <c r="J1421" s="84" t="e">
        <f>VLOOKUP(Table13[[#This Row],[kbli5]],kata_kunci!$B:$H,6,FALSE)</f>
        <v>#N/A</v>
      </c>
      <c r="K1421" s="84" t="e">
        <f>VLOOKUP(Table13[[#This Row],[kbli5]],kata_kunci!$B:$H,7,FALSE)</f>
        <v>#N/A</v>
      </c>
    </row>
    <row r="1422" spans="1:11" ht="30.75" thickBot="1" x14ac:dyDescent="0.3">
      <c r="A1422" s="53" t="s">
        <v>46</v>
      </c>
      <c r="B1422" s="40">
        <v>85591</v>
      </c>
      <c r="C1422" s="41" t="s">
        <v>1624</v>
      </c>
      <c r="D1422" s="30" t="e">
        <f>VLOOKUP(Table13[[#This Row],[kbli5]],Table1[[#All],[kbli5]:[digital_hijau]],3,)</f>
        <v>#N/A</v>
      </c>
      <c r="E1422" s="53" t="e">
        <f>VLOOKUP(Table13[[#This Row],[kbli5]],kata_kunci!$B:$H,4,FALSE)</f>
        <v>#N/A</v>
      </c>
      <c r="F1422" s="53" t="e">
        <f>VLOOKUP(Table13[[#This Row],[kbli5]],Table1[[#All],[kbli5]:[digital_hijau]],5,)</f>
        <v>#N/A</v>
      </c>
      <c r="G1422" s="53" t="e">
        <f>VLOOKUP(Table13[[#This Row],[kbli5]],Table1[[#All],[kbli5]:[digital_hijau]],6,)</f>
        <v>#N/A</v>
      </c>
      <c r="H1422" s="54" t="e">
        <f>VLOOKUP(Table13[[#This Row],[kbli5]],kata_kunci!$B:$H,3,FALSE)</f>
        <v>#N/A</v>
      </c>
      <c r="I1422" s="84" t="e">
        <f>VLOOKUP(Table13[[#This Row],[kbli5]],kata_kunci!$B:$H,5,FALSE)</f>
        <v>#N/A</v>
      </c>
      <c r="J1422" s="84" t="e">
        <f>VLOOKUP(Table13[[#This Row],[kbli5]],kata_kunci!$B:$H,6,FALSE)</f>
        <v>#N/A</v>
      </c>
      <c r="K1422" s="84" t="e">
        <f>VLOOKUP(Table13[[#This Row],[kbli5]],kata_kunci!$B:$H,7,FALSE)</f>
        <v>#N/A</v>
      </c>
    </row>
    <row r="1423" spans="1:11" ht="45.75" thickBot="1" x14ac:dyDescent="0.3">
      <c r="A1423" s="53" t="s">
        <v>46</v>
      </c>
      <c r="B1423" s="40">
        <v>85592</v>
      </c>
      <c r="C1423" s="41" t="s">
        <v>81</v>
      </c>
      <c r="D1423" s="30" t="str">
        <f>VLOOKUP(Table13[[#This Row],[kbli5]],Table1[[#All],[kbli5]:[digital_hijau]],3,)</f>
        <v>pendidikan swasta; kursus komputer; kursus public speaking; kursus robotic;</v>
      </c>
      <c r="E1423" s="53" t="e">
        <f>VLOOKUP(Table13[[#This Row],[kbli5]],kata_kunci!$B:$H,4,FALSE)</f>
        <v>#N/A</v>
      </c>
      <c r="F1423" s="53" t="str">
        <f>VLOOKUP(Table13[[#This Row],[kbli5]],Table1[[#All],[kbli5]:[digital_hijau]],5,)</f>
        <v>Umum Ditemukan</v>
      </c>
      <c r="G1423" s="53">
        <f>VLOOKUP(Table13[[#This Row],[kbli5]],Table1[[#All],[kbli5]:[digital_hijau]],6,)</f>
        <v>0</v>
      </c>
      <c r="H1423" s="54" t="e">
        <f>VLOOKUP(Table13[[#This Row],[kbli5]],kata_kunci!$B:$H,3,FALSE)</f>
        <v>#N/A</v>
      </c>
      <c r="I1423" s="84" t="e">
        <f>VLOOKUP(Table13[[#This Row],[kbli5]],kata_kunci!$B:$H,5,FALSE)</f>
        <v>#N/A</v>
      </c>
      <c r="J1423" s="84" t="e">
        <f>VLOOKUP(Table13[[#This Row],[kbli5]],kata_kunci!$B:$H,6,FALSE)</f>
        <v>#N/A</v>
      </c>
      <c r="K1423" s="84" t="e">
        <f>VLOOKUP(Table13[[#This Row],[kbli5]],kata_kunci!$B:$H,7,FALSE)</f>
        <v>#N/A</v>
      </c>
    </row>
    <row r="1424" spans="1:11" ht="30.75" thickBot="1" x14ac:dyDescent="0.3">
      <c r="A1424" s="53" t="s">
        <v>46</v>
      </c>
      <c r="B1424" s="40">
        <v>85593</v>
      </c>
      <c r="C1424" s="41" t="s">
        <v>82</v>
      </c>
      <c r="D1424" s="30" t="str">
        <f>VLOOKUP(Table13[[#This Row],[kbli5]],Table1[[#All],[kbli5]:[digital_hijau]],3,)</f>
        <v>pendidikan bahasa swasta; LIA; LTI; EF;</v>
      </c>
      <c r="E1424" s="53" t="e">
        <f>VLOOKUP(Table13[[#This Row],[kbli5]],kata_kunci!$B:$H,4,FALSE)</f>
        <v>#N/A</v>
      </c>
      <c r="F1424" s="53" t="str">
        <f>VLOOKUP(Table13[[#This Row],[kbli5]],Table1[[#All],[kbli5]:[digital_hijau]],5,)</f>
        <v>Umum Ditemukan</v>
      </c>
      <c r="G1424" s="53">
        <f>VLOOKUP(Table13[[#This Row],[kbli5]],Table1[[#All],[kbli5]:[digital_hijau]],6,)</f>
        <v>0</v>
      </c>
      <c r="H1424" s="54" t="e">
        <f>VLOOKUP(Table13[[#This Row],[kbli5]],kata_kunci!$B:$H,3,FALSE)</f>
        <v>#N/A</v>
      </c>
      <c r="I1424" s="84" t="e">
        <f>VLOOKUP(Table13[[#This Row],[kbli5]],kata_kunci!$B:$H,5,FALSE)</f>
        <v>#N/A</v>
      </c>
      <c r="J1424" s="84" t="e">
        <f>VLOOKUP(Table13[[#This Row],[kbli5]],kata_kunci!$B:$H,6,FALSE)</f>
        <v>#N/A</v>
      </c>
      <c r="K1424" s="84" t="e">
        <f>VLOOKUP(Table13[[#This Row],[kbli5]],kata_kunci!$B:$H,7,FALSE)</f>
        <v>#N/A</v>
      </c>
    </row>
    <row r="1425" spans="1:11" ht="30.75" thickBot="1" x14ac:dyDescent="0.3">
      <c r="A1425" s="53" t="s">
        <v>46</v>
      </c>
      <c r="B1425" s="40">
        <v>85594</v>
      </c>
      <c r="C1425" s="41" t="s">
        <v>1625</v>
      </c>
      <c r="D1425" s="30" t="e">
        <f>VLOOKUP(Table13[[#This Row],[kbli5]],Table1[[#All],[kbli5]:[digital_hijau]],3,)</f>
        <v>#N/A</v>
      </c>
      <c r="E1425" s="53" t="e">
        <f>VLOOKUP(Table13[[#This Row],[kbli5]],kata_kunci!$B:$H,4,FALSE)</f>
        <v>#N/A</v>
      </c>
      <c r="F1425" s="53" t="e">
        <f>VLOOKUP(Table13[[#This Row],[kbli5]],Table1[[#All],[kbli5]:[digital_hijau]],5,)</f>
        <v>#N/A</v>
      </c>
      <c r="G1425" s="53" t="e">
        <f>VLOOKUP(Table13[[#This Row],[kbli5]],Table1[[#All],[kbli5]:[digital_hijau]],6,)</f>
        <v>#N/A</v>
      </c>
      <c r="H1425" s="54" t="e">
        <f>VLOOKUP(Table13[[#This Row],[kbli5]],kata_kunci!$B:$H,3,FALSE)</f>
        <v>#N/A</v>
      </c>
      <c r="I1425" s="84" t="e">
        <f>VLOOKUP(Table13[[#This Row],[kbli5]],kata_kunci!$B:$H,5,FALSE)</f>
        <v>#N/A</v>
      </c>
      <c r="J1425" s="84" t="e">
        <f>VLOOKUP(Table13[[#This Row],[kbli5]],kata_kunci!$B:$H,6,FALSE)</f>
        <v>#N/A</v>
      </c>
      <c r="K1425" s="84" t="e">
        <f>VLOOKUP(Table13[[#This Row],[kbli5]],kata_kunci!$B:$H,7,FALSE)</f>
        <v>#N/A</v>
      </c>
    </row>
    <row r="1426" spans="1:11" ht="45.75" thickBot="1" x14ac:dyDescent="0.3">
      <c r="A1426" s="53" t="s">
        <v>46</v>
      </c>
      <c r="B1426" s="40">
        <v>85595</v>
      </c>
      <c r="C1426" s="41" t="s">
        <v>83</v>
      </c>
      <c r="D1426" s="30" t="str">
        <f>VLOOKUP(Table13[[#This Row],[kbli5]],Table1[[#All],[kbli5]:[digital_hijau]],3,)</f>
        <v>ganesha operation; Ruang Guru; Sempoa SIP; Psikolog;</v>
      </c>
      <c r="E1426" s="53" t="e">
        <f>VLOOKUP(Table13[[#This Row],[kbli5]],kata_kunci!$B:$H,4,FALSE)</f>
        <v>#N/A</v>
      </c>
      <c r="F1426" s="53" t="str">
        <f>VLOOKUP(Table13[[#This Row],[kbli5]],Table1[[#All],[kbli5]:[digital_hijau]],5,)</f>
        <v>Umum Ditemukan</v>
      </c>
      <c r="G1426" s="53">
        <f>VLOOKUP(Table13[[#This Row],[kbli5]],Table1[[#All],[kbli5]:[digital_hijau]],6,)</f>
        <v>0</v>
      </c>
      <c r="H1426" s="54" t="e">
        <f>VLOOKUP(Table13[[#This Row],[kbli5]],kata_kunci!$B:$H,3,FALSE)</f>
        <v>#N/A</v>
      </c>
      <c r="I1426" s="84" t="e">
        <f>VLOOKUP(Table13[[#This Row],[kbli5]],kata_kunci!$B:$H,5,FALSE)</f>
        <v>#N/A</v>
      </c>
      <c r="J1426" s="84" t="e">
        <f>VLOOKUP(Table13[[#This Row],[kbli5]],kata_kunci!$B:$H,6,FALSE)</f>
        <v>#N/A</v>
      </c>
      <c r="K1426" s="84" t="e">
        <f>VLOOKUP(Table13[[#This Row],[kbli5]],kata_kunci!$B:$H,7,FALSE)</f>
        <v>#N/A</v>
      </c>
    </row>
    <row r="1427" spans="1:11" ht="30.75" thickBot="1" x14ac:dyDescent="0.3">
      <c r="A1427" s="53" t="s">
        <v>46</v>
      </c>
      <c r="B1427" s="40">
        <v>85596</v>
      </c>
      <c r="C1427" s="41" t="s">
        <v>1626</v>
      </c>
      <c r="D1427" s="30" t="e">
        <f>VLOOKUP(Table13[[#This Row],[kbli5]],Table1[[#All],[kbli5]:[digital_hijau]],3,)</f>
        <v>#N/A</v>
      </c>
      <c r="E1427" s="53" t="e">
        <f>VLOOKUP(Table13[[#This Row],[kbli5]],kata_kunci!$B:$H,4,FALSE)</f>
        <v>#N/A</v>
      </c>
      <c r="F1427" s="53" t="e">
        <f>VLOOKUP(Table13[[#This Row],[kbli5]],Table1[[#All],[kbli5]:[digital_hijau]],5,)</f>
        <v>#N/A</v>
      </c>
      <c r="G1427" s="53" t="e">
        <f>VLOOKUP(Table13[[#This Row],[kbli5]],Table1[[#All],[kbli5]:[digital_hijau]],6,)</f>
        <v>#N/A</v>
      </c>
      <c r="H1427" s="54" t="e">
        <f>VLOOKUP(Table13[[#This Row],[kbli5]],kata_kunci!$B:$H,3,FALSE)</f>
        <v>#N/A</v>
      </c>
      <c r="I1427" s="84" t="e">
        <f>VLOOKUP(Table13[[#This Row],[kbli5]],kata_kunci!$B:$H,5,FALSE)</f>
        <v>#N/A</v>
      </c>
      <c r="J1427" s="84" t="e">
        <f>VLOOKUP(Table13[[#This Row],[kbli5]],kata_kunci!$B:$H,6,FALSE)</f>
        <v>#N/A</v>
      </c>
      <c r="K1427" s="84" t="e">
        <f>VLOOKUP(Table13[[#This Row],[kbli5]],kata_kunci!$B:$H,7,FALSE)</f>
        <v>#N/A</v>
      </c>
    </row>
    <row r="1428" spans="1:11" ht="30.75" thickBot="1" x14ac:dyDescent="0.3">
      <c r="A1428" s="53" t="s">
        <v>46</v>
      </c>
      <c r="B1428" s="40">
        <v>85597</v>
      </c>
      <c r="C1428" s="41" t="s">
        <v>84</v>
      </c>
      <c r="D1428" s="30" t="e">
        <f>VLOOKUP(Table13[[#This Row],[kbli5]],Table1[[#All],[kbli5]:[digital_hijau]],3,)</f>
        <v>#N/A</v>
      </c>
      <c r="E1428" s="53" t="e">
        <f>VLOOKUP(Table13[[#This Row],[kbli5]],kata_kunci!$B:$H,4,FALSE)</f>
        <v>#N/A</v>
      </c>
      <c r="F1428" s="53" t="e">
        <f>VLOOKUP(Table13[[#This Row],[kbli5]],Table1[[#All],[kbli5]:[digital_hijau]],5,)</f>
        <v>#N/A</v>
      </c>
      <c r="G1428" s="53" t="e">
        <f>VLOOKUP(Table13[[#This Row],[kbli5]],Table1[[#All],[kbli5]:[digital_hijau]],6,)</f>
        <v>#N/A</v>
      </c>
      <c r="H1428" s="54" t="e">
        <f>VLOOKUP(Table13[[#This Row],[kbli5]],kata_kunci!$B:$H,3,FALSE)</f>
        <v>#N/A</v>
      </c>
      <c r="I1428" s="84" t="e">
        <f>VLOOKUP(Table13[[#This Row],[kbli5]],kata_kunci!$B:$H,5,FALSE)</f>
        <v>#N/A</v>
      </c>
      <c r="J1428" s="84" t="e">
        <f>VLOOKUP(Table13[[#This Row],[kbli5]],kata_kunci!$B:$H,6,FALSE)</f>
        <v>#N/A</v>
      </c>
      <c r="K1428" s="84" t="e">
        <f>VLOOKUP(Table13[[#This Row],[kbli5]],kata_kunci!$B:$H,7,FALSE)</f>
        <v>#N/A</v>
      </c>
    </row>
    <row r="1429" spans="1:11" ht="30.75" thickBot="1" x14ac:dyDescent="0.3">
      <c r="A1429" s="53" t="s">
        <v>46</v>
      </c>
      <c r="B1429" s="40">
        <v>85599</v>
      </c>
      <c r="C1429" s="41" t="s">
        <v>85</v>
      </c>
      <c r="D1429" s="30" t="str">
        <f>VLOOKUP(Table13[[#This Row],[kbli5]],Table1[[#All],[kbli5]:[digital_hijau]],3,)</f>
        <v>Pendidikan kerajinan; Kursus Baking; Kursus MUA (Makeup Artist); kursus modelling;</v>
      </c>
      <c r="E1429" s="53" t="e">
        <f>VLOOKUP(Table13[[#This Row],[kbli5]],kata_kunci!$B:$H,4,FALSE)</f>
        <v>#N/A</v>
      </c>
      <c r="F1429" s="53" t="str">
        <f>VLOOKUP(Table13[[#This Row],[kbli5]],Table1[[#All],[kbli5]:[digital_hijau]],5,)</f>
        <v>Umum Ditemukan</v>
      </c>
      <c r="G1429" s="53">
        <f>VLOOKUP(Table13[[#This Row],[kbli5]],Table1[[#All],[kbli5]:[digital_hijau]],6,)</f>
        <v>0</v>
      </c>
      <c r="H1429" s="54" t="e">
        <f>VLOOKUP(Table13[[#This Row],[kbli5]],kata_kunci!$B:$H,3,FALSE)</f>
        <v>#N/A</v>
      </c>
      <c r="I1429" s="84" t="e">
        <f>VLOOKUP(Table13[[#This Row],[kbli5]],kata_kunci!$B:$H,5,FALSE)</f>
        <v>#N/A</v>
      </c>
      <c r="J1429" s="84" t="e">
        <f>VLOOKUP(Table13[[#This Row],[kbli5]],kata_kunci!$B:$H,6,FALSE)</f>
        <v>#N/A</v>
      </c>
      <c r="K1429" s="84" t="e">
        <f>VLOOKUP(Table13[[#This Row],[kbli5]],kata_kunci!$B:$H,7,FALSE)</f>
        <v>#N/A</v>
      </c>
    </row>
    <row r="1430" spans="1:11" ht="30.75" thickBot="1" x14ac:dyDescent="0.3">
      <c r="A1430" s="53" t="s">
        <v>46</v>
      </c>
      <c r="B1430" s="40">
        <v>85610</v>
      </c>
      <c r="C1430" s="41" t="s">
        <v>1627</v>
      </c>
      <c r="D1430" s="30" t="e">
        <f>VLOOKUP(Table13[[#This Row],[kbli5]],Table1[[#All],[kbli5]:[digital_hijau]],3,)</f>
        <v>#N/A</v>
      </c>
      <c r="E1430" s="53" t="e">
        <f>VLOOKUP(Table13[[#This Row],[kbli5]],kata_kunci!$B:$H,4,FALSE)</f>
        <v>#N/A</v>
      </c>
      <c r="F1430" s="53" t="e">
        <f>VLOOKUP(Table13[[#This Row],[kbli5]],Table1[[#All],[kbli5]:[digital_hijau]],5,)</f>
        <v>#N/A</v>
      </c>
      <c r="G1430" s="35" t="s">
        <v>2090</v>
      </c>
      <c r="H1430" s="89" t="e">
        <f>VLOOKUP(Table13[[#This Row],[kbli5]],kata_kunci!$B:$H,3,FALSE)</f>
        <v>#N/A</v>
      </c>
      <c r="I1430" s="84" t="e">
        <f>VLOOKUP(Table13[[#This Row],[kbli5]],kata_kunci!$B:$H,5,FALSE)</f>
        <v>#N/A</v>
      </c>
      <c r="J1430" s="84" t="e">
        <f>VLOOKUP(Table13[[#This Row],[kbli5]],kata_kunci!$B:$H,6,FALSE)</f>
        <v>#N/A</v>
      </c>
      <c r="K1430" s="84" t="e">
        <f>VLOOKUP(Table13[[#This Row],[kbli5]],kata_kunci!$B:$H,7,FALSE)</f>
        <v>#N/A</v>
      </c>
    </row>
    <row r="1431" spans="1:11" ht="45.75" thickBot="1" x14ac:dyDescent="0.3">
      <c r="A1431" s="53" t="s">
        <v>46</v>
      </c>
      <c r="B1431" s="40">
        <v>85691</v>
      </c>
      <c r="C1431" s="41" t="s">
        <v>1628</v>
      </c>
      <c r="D1431" s="30" t="e">
        <f>VLOOKUP(Table13[[#This Row],[kbli5]],Table1[[#All],[kbli5]:[digital_hijau]],3,)</f>
        <v>#N/A</v>
      </c>
      <c r="E1431" s="53" t="e">
        <f>VLOOKUP(Table13[[#This Row],[kbli5]],kata_kunci!$B:$H,4,FALSE)</f>
        <v>#N/A</v>
      </c>
      <c r="F1431" s="53" t="e">
        <f>VLOOKUP(Table13[[#This Row],[kbli5]],Table1[[#All],[kbli5]:[digital_hijau]],5,)</f>
        <v>#N/A</v>
      </c>
      <c r="G1431" s="53" t="e">
        <f>VLOOKUP(Table13[[#This Row],[kbli5]],Table1[[#All],[kbli5]:[digital_hijau]],6,)</f>
        <v>#N/A</v>
      </c>
      <c r="H1431" s="54" t="e">
        <f>VLOOKUP(Table13[[#This Row],[kbli5]],kata_kunci!$B:$H,3,FALSE)</f>
        <v>#N/A</v>
      </c>
      <c r="I1431" s="84" t="e">
        <f>VLOOKUP(Table13[[#This Row],[kbli5]],kata_kunci!$B:$H,5,FALSE)</f>
        <v>#N/A</v>
      </c>
      <c r="J1431" s="84" t="e">
        <f>VLOOKUP(Table13[[#This Row],[kbli5]],kata_kunci!$B:$H,6,FALSE)</f>
        <v>#N/A</v>
      </c>
      <c r="K1431" s="84" t="e">
        <f>VLOOKUP(Table13[[#This Row],[kbli5]],kata_kunci!$B:$H,7,FALSE)</f>
        <v>#N/A</v>
      </c>
    </row>
    <row r="1432" spans="1:11" ht="45.75" thickBot="1" x14ac:dyDescent="0.3">
      <c r="A1432" s="53" t="s">
        <v>46</v>
      </c>
      <c r="B1432" s="40">
        <v>85692</v>
      </c>
      <c r="C1432" s="41" t="s">
        <v>1628</v>
      </c>
      <c r="D1432" s="30" t="e">
        <f>VLOOKUP(Table13[[#This Row],[kbli5]],Table1[[#All],[kbli5]:[digital_hijau]],3,)</f>
        <v>#N/A</v>
      </c>
      <c r="E1432" s="53" t="e">
        <f>VLOOKUP(Table13[[#This Row],[kbli5]],kata_kunci!$B:$H,4,FALSE)</f>
        <v>#N/A</v>
      </c>
      <c r="F1432" s="53" t="e">
        <f>VLOOKUP(Table13[[#This Row],[kbli5]],Table1[[#All],[kbli5]:[digital_hijau]],5,)</f>
        <v>#N/A</v>
      </c>
      <c r="G1432" s="53" t="e">
        <f>VLOOKUP(Table13[[#This Row],[kbli5]],Table1[[#All],[kbli5]:[digital_hijau]],6,)</f>
        <v>#N/A</v>
      </c>
      <c r="H1432" s="54" t="e">
        <f>VLOOKUP(Table13[[#This Row],[kbli5]],kata_kunci!$B:$H,3,FALSE)</f>
        <v>#N/A</v>
      </c>
      <c r="I1432" s="84" t="e">
        <f>VLOOKUP(Table13[[#This Row],[kbli5]],kata_kunci!$B:$H,5,FALSE)</f>
        <v>#N/A</v>
      </c>
      <c r="J1432" s="84" t="e">
        <f>VLOOKUP(Table13[[#This Row],[kbli5]],kata_kunci!$B:$H,6,FALSE)</f>
        <v>#N/A</v>
      </c>
      <c r="K1432" s="84" t="e">
        <f>VLOOKUP(Table13[[#This Row],[kbli5]],kata_kunci!$B:$H,7,FALSE)</f>
        <v>#N/A</v>
      </c>
    </row>
    <row r="1433" spans="1:11" ht="30.75" thickBot="1" x14ac:dyDescent="0.3">
      <c r="A1433" s="53" t="s">
        <v>46</v>
      </c>
      <c r="B1433" s="40">
        <v>85693</v>
      </c>
      <c r="C1433" s="41" t="s">
        <v>1629</v>
      </c>
      <c r="D1433" s="30" t="e">
        <f>VLOOKUP(Table13[[#This Row],[kbli5]],Table1[[#All],[kbli5]:[digital_hijau]],3,)</f>
        <v>#N/A</v>
      </c>
      <c r="E1433" s="53" t="e">
        <f>VLOOKUP(Table13[[#This Row],[kbli5]],kata_kunci!$B:$H,4,FALSE)</f>
        <v>#N/A</v>
      </c>
      <c r="F1433" s="53" t="e">
        <f>VLOOKUP(Table13[[#This Row],[kbli5]],Table1[[#All],[kbli5]:[digital_hijau]],5,)</f>
        <v>#N/A</v>
      </c>
      <c r="G1433" s="53" t="e">
        <f>VLOOKUP(Table13[[#This Row],[kbli5]],Table1[[#All],[kbli5]:[digital_hijau]],6,)</f>
        <v>#N/A</v>
      </c>
      <c r="H1433" s="54" t="e">
        <f>VLOOKUP(Table13[[#This Row],[kbli5]],kata_kunci!$B:$H,3,FALSE)</f>
        <v>#N/A</v>
      </c>
      <c r="I1433" s="84" t="e">
        <f>VLOOKUP(Table13[[#This Row],[kbli5]],kata_kunci!$B:$H,5,FALSE)</f>
        <v>#N/A</v>
      </c>
      <c r="J1433" s="84" t="e">
        <f>VLOOKUP(Table13[[#This Row],[kbli5]],kata_kunci!$B:$H,6,FALSE)</f>
        <v>#N/A</v>
      </c>
      <c r="K1433" s="84" t="e">
        <f>VLOOKUP(Table13[[#This Row],[kbli5]],kata_kunci!$B:$H,7,FALSE)</f>
        <v>#N/A</v>
      </c>
    </row>
    <row r="1434" spans="1:11" ht="30.75" thickBot="1" x14ac:dyDescent="0.3">
      <c r="A1434" s="53" t="s">
        <v>46</v>
      </c>
      <c r="B1434" s="40">
        <v>85694</v>
      </c>
      <c r="C1434" s="41" t="s">
        <v>1630</v>
      </c>
      <c r="D1434" s="30" t="e">
        <f>VLOOKUP(Table13[[#This Row],[kbli5]],Table1[[#All],[kbli5]:[digital_hijau]],3,)</f>
        <v>#N/A</v>
      </c>
      <c r="E1434" s="53" t="e">
        <f>VLOOKUP(Table13[[#This Row],[kbli5]],kata_kunci!$B:$H,4,FALSE)</f>
        <v>#N/A</v>
      </c>
      <c r="F1434" s="53" t="e">
        <f>VLOOKUP(Table13[[#This Row],[kbli5]],Table1[[#All],[kbli5]:[digital_hijau]],5,)</f>
        <v>#N/A</v>
      </c>
      <c r="G1434" s="53" t="e">
        <f>VLOOKUP(Table13[[#This Row],[kbli5]],Table1[[#All],[kbli5]:[digital_hijau]],6,)</f>
        <v>#N/A</v>
      </c>
      <c r="H1434" s="54" t="e">
        <f>VLOOKUP(Table13[[#This Row],[kbli5]],kata_kunci!$B:$H,3,FALSE)</f>
        <v>#N/A</v>
      </c>
      <c r="I1434" s="84" t="e">
        <f>VLOOKUP(Table13[[#This Row],[kbli5]],kata_kunci!$B:$H,5,FALSE)</f>
        <v>#N/A</v>
      </c>
      <c r="J1434" s="84" t="e">
        <f>VLOOKUP(Table13[[#This Row],[kbli5]],kata_kunci!$B:$H,6,FALSE)</f>
        <v>#N/A</v>
      </c>
      <c r="K1434" s="84" t="e">
        <f>VLOOKUP(Table13[[#This Row],[kbli5]],kata_kunci!$B:$H,7,FALSE)</f>
        <v>#N/A</v>
      </c>
    </row>
    <row r="1435" spans="1:11" ht="30.75" thickBot="1" x14ac:dyDescent="0.3">
      <c r="A1435" s="53" t="s">
        <v>46</v>
      </c>
      <c r="B1435" s="40">
        <v>85699</v>
      </c>
      <c r="C1435" s="41" t="s">
        <v>1631</v>
      </c>
      <c r="D1435" s="30" t="e">
        <f>VLOOKUP(Table13[[#This Row],[kbli5]],Table1[[#All],[kbli5]:[digital_hijau]],3,)</f>
        <v>#N/A</v>
      </c>
      <c r="E1435" s="53" t="e">
        <f>VLOOKUP(Table13[[#This Row],[kbli5]],kata_kunci!$B:$H,4,FALSE)</f>
        <v>#N/A</v>
      </c>
      <c r="F1435" s="53" t="e">
        <f>VLOOKUP(Table13[[#This Row],[kbli5]],Table1[[#All],[kbli5]:[digital_hijau]],5,)</f>
        <v>#N/A</v>
      </c>
      <c r="G1435" s="53" t="e">
        <f>VLOOKUP(Table13[[#This Row],[kbli5]],Table1[[#All],[kbli5]:[digital_hijau]],6,)</f>
        <v>#N/A</v>
      </c>
      <c r="H1435" s="54" t="e">
        <f>VLOOKUP(Table13[[#This Row],[kbli5]],kata_kunci!$B:$H,3,FALSE)</f>
        <v>#N/A</v>
      </c>
      <c r="I1435" s="84" t="e">
        <f>VLOOKUP(Table13[[#This Row],[kbli5]],kata_kunci!$B:$H,5,FALSE)</f>
        <v>#N/A</v>
      </c>
      <c r="J1435" s="84" t="e">
        <f>VLOOKUP(Table13[[#This Row],[kbli5]],kata_kunci!$B:$H,6,FALSE)</f>
        <v>#N/A</v>
      </c>
      <c r="K1435" s="84" t="e">
        <f>VLOOKUP(Table13[[#This Row],[kbli5]],kata_kunci!$B:$H,7,FALSE)</f>
        <v>#N/A</v>
      </c>
    </row>
    <row r="1436" spans="1:11" ht="30.75" thickBot="1" x14ac:dyDescent="0.3">
      <c r="A1436" s="53" t="s">
        <v>86</v>
      </c>
      <c r="B1436" s="40">
        <v>86101</v>
      </c>
      <c r="C1436" s="41" t="s">
        <v>87</v>
      </c>
      <c r="D1436" s="30" t="str">
        <f>VLOOKUP(Table13[[#This Row],[kbli5]],Table1[[#All],[kbli5]:[digital_hijau]],3,)</f>
        <v>RS pemerintah; RSUD; RS Bhayangkara;</v>
      </c>
      <c r="E1436" s="53" t="e">
        <f>VLOOKUP(Table13[[#This Row],[kbli5]],kata_kunci!$B:$H,4,FALSE)</f>
        <v>#N/A</v>
      </c>
      <c r="F1436" s="53" t="str">
        <f>VLOOKUP(Table13[[#This Row],[kbli5]],Table1[[#All],[kbli5]:[digital_hijau]],5,)</f>
        <v>Esensial</v>
      </c>
      <c r="G1436" s="53">
        <f>VLOOKUP(Table13[[#This Row],[kbli5]],Table1[[#All],[kbli5]:[digital_hijau]],6,)</f>
        <v>0</v>
      </c>
      <c r="H1436" s="54" t="e">
        <f>VLOOKUP(Table13[[#This Row],[kbli5]],kata_kunci!$B:$H,3,FALSE)</f>
        <v>#N/A</v>
      </c>
      <c r="I1436" s="84" t="e">
        <f>VLOOKUP(Table13[[#This Row],[kbli5]],kata_kunci!$B:$H,5,FALSE)</f>
        <v>#N/A</v>
      </c>
      <c r="J1436" s="84" t="e">
        <f>VLOOKUP(Table13[[#This Row],[kbli5]],kata_kunci!$B:$H,6,FALSE)</f>
        <v>#N/A</v>
      </c>
      <c r="K1436" s="84" t="e">
        <f>VLOOKUP(Table13[[#This Row],[kbli5]],kata_kunci!$B:$H,7,FALSE)</f>
        <v>#N/A</v>
      </c>
    </row>
    <row r="1437" spans="1:11" ht="15.75" thickBot="1" x14ac:dyDescent="0.3">
      <c r="A1437" s="53" t="s">
        <v>86</v>
      </c>
      <c r="B1437" s="40">
        <v>86102</v>
      </c>
      <c r="C1437" s="41" t="s">
        <v>88</v>
      </c>
      <c r="D1437" s="30" t="str">
        <f>VLOOKUP(Table13[[#This Row],[kbli5]],Table1[[#All],[kbli5]:[digital_hijau]],3,)</f>
        <v>Puskesmas Kecamatan;</v>
      </c>
      <c r="E1437" s="53" t="e">
        <f>VLOOKUP(Table13[[#This Row],[kbli5]],kata_kunci!$B:$H,4,FALSE)</f>
        <v>#N/A</v>
      </c>
      <c r="F1437" s="53" t="str">
        <f>VLOOKUP(Table13[[#This Row],[kbli5]],Table1[[#All],[kbli5]:[digital_hijau]],5,)</f>
        <v>Esensial</v>
      </c>
      <c r="G1437" s="53">
        <f>VLOOKUP(Table13[[#This Row],[kbli5]],Table1[[#All],[kbli5]:[digital_hijau]],6,)</f>
        <v>0</v>
      </c>
      <c r="H1437" s="54" t="e">
        <f>VLOOKUP(Table13[[#This Row],[kbli5]],kata_kunci!$B:$H,3,FALSE)</f>
        <v>#N/A</v>
      </c>
      <c r="I1437" s="84" t="e">
        <f>VLOOKUP(Table13[[#This Row],[kbli5]],kata_kunci!$B:$H,5,FALSE)</f>
        <v>#N/A</v>
      </c>
      <c r="J1437" s="84" t="e">
        <f>VLOOKUP(Table13[[#This Row],[kbli5]],kata_kunci!$B:$H,6,FALSE)</f>
        <v>#N/A</v>
      </c>
      <c r="K1437" s="84" t="e">
        <f>VLOOKUP(Table13[[#This Row],[kbli5]],kata_kunci!$B:$H,7,FALSE)</f>
        <v>#N/A</v>
      </c>
    </row>
    <row r="1438" spans="1:11" ht="30.75" thickBot="1" x14ac:dyDescent="0.3">
      <c r="A1438" s="53" t="s">
        <v>86</v>
      </c>
      <c r="B1438" s="40">
        <v>86103</v>
      </c>
      <c r="C1438" s="41" t="s">
        <v>89</v>
      </c>
      <c r="D1438" s="30" t="str">
        <f>VLOOKUP(Table13[[#This Row],[kbli5]],Table1[[#All],[kbli5]:[digital_hijau]],3,)</f>
        <v>RS Swasta. RS Awal Bros; Eka Hospital; RS Anisa;</v>
      </c>
      <c r="E1438" s="53" t="e">
        <f>VLOOKUP(Table13[[#This Row],[kbli5]],kata_kunci!$B:$H,4,FALSE)</f>
        <v>#N/A</v>
      </c>
      <c r="F1438" s="53" t="str">
        <f>VLOOKUP(Table13[[#This Row],[kbli5]],Table1[[#All],[kbli5]:[digital_hijau]],5,)</f>
        <v>Esensial</v>
      </c>
      <c r="G1438" s="53">
        <f>VLOOKUP(Table13[[#This Row],[kbli5]],Table1[[#All],[kbli5]:[digital_hijau]],6,)</f>
        <v>0</v>
      </c>
      <c r="H1438" s="54" t="e">
        <f>VLOOKUP(Table13[[#This Row],[kbli5]],kata_kunci!$B:$H,3,FALSE)</f>
        <v>#N/A</v>
      </c>
      <c r="I1438" s="84" t="e">
        <f>VLOOKUP(Table13[[#This Row],[kbli5]],kata_kunci!$B:$H,5,FALSE)</f>
        <v>#N/A</v>
      </c>
      <c r="J1438" s="84" t="e">
        <f>VLOOKUP(Table13[[#This Row],[kbli5]],kata_kunci!$B:$H,6,FALSE)</f>
        <v>#N/A</v>
      </c>
      <c r="K1438" s="84" t="e">
        <f>VLOOKUP(Table13[[#This Row],[kbli5]],kata_kunci!$B:$H,7,FALSE)</f>
        <v>#N/A</v>
      </c>
    </row>
    <row r="1439" spans="1:11" ht="30.75" thickBot="1" x14ac:dyDescent="0.3">
      <c r="A1439" s="53" t="s">
        <v>86</v>
      </c>
      <c r="B1439" s="40">
        <v>86104</v>
      </c>
      <c r="C1439" s="41" t="s">
        <v>1632</v>
      </c>
      <c r="D1439" s="30" t="e">
        <f>VLOOKUP(Table13[[#This Row],[kbli5]],Table1[[#All],[kbli5]:[digital_hijau]],3,)</f>
        <v>#N/A</v>
      </c>
      <c r="E1439" s="53" t="e">
        <f>VLOOKUP(Table13[[#This Row],[kbli5]],kata_kunci!$B:$H,4,FALSE)</f>
        <v>#N/A</v>
      </c>
      <c r="F1439" s="53" t="e">
        <f>VLOOKUP(Table13[[#This Row],[kbli5]],Table1[[#All],[kbli5]:[digital_hijau]],5,)</f>
        <v>#N/A</v>
      </c>
      <c r="G1439" s="53" t="e">
        <f>VLOOKUP(Table13[[#This Row],[kbli5]],Table1[[#All],[kbli5]:[digital_hijau]],6,)</f>
        <v>#N/A</v>
      </c>
      <c r="H1439" s="54" t="e">
        <f>VLOOKUP(Table13[[#This Row],[kbli5]],kata_kunci!$B:$H,3,FALSE)</f>
        <v>#N/A</v>
      </c>
      <c r="I1439" s="84" t="e">
        <f>VLOOKUP(Table13[[#This Row],[kbli5]],kata_kunci!$B:$H,5,FALSE)</f>
        <v>#N/A</v>
      </c>
      <c r="J1439" s="84" t="e">
        <f>VLOOKUP(Table13[[#This Row],[kbli5]],kata_kunci!$B:$H,6,FALSE)</f>
        <v>#N/A</v>
      </c>
      <c r="K1439" s="84" t="e">
        <f>VLOOKUP(Table13[[#This Row],[kbli5]],kata_kunci!$B:$H,7,FALSE)</f>
        <v>#N/A</v>
      </c>
    </row>
    <row r="1440" spans="1:11" ht="26.25" thickBot="1" x14ac:dyDescent="0.3">
      <c r="A1440" s="53" t="s">
        <v>86</v>
      </c>
      <c r="B1440" s="40">
        <v>86105</v>
      </c>
      <c r="C1440" s="41" t="s">
        <v>90</v>
      </c>
      <c r="D1440" s="30" t="str">
        <f>VLOOKUP(Table13[[#This Row],[kbli5]],Table1[[#All],[kbli5]:[digital_hijau]],3,)</f>
        <v>Klinik Swasta; Klinik Aisyiah; Klinik Siaga Medika;</v>
      </c>
      <c r="E1440" s="53" t="e">
        <f>VLOOKUP(Table13[[#This Row],[kbli5]],kata_kunci!$B:$H,4,FALSE)</f>
        <v>#N/A</v>
      </c>
      <c r="F1440" s="53" t="str">
        <f>VLOOKUP(Table13[[#This Row],[kbli5]],Table1[[#All],[kbli5]:[digital_hijau]],5,)</f>
        <v>Esensial</v>
      </c>
      <c r="G1440" s="53">
        <f>VLOOKUP(Table13[[#This Row],[kbli5]],Table1[[#All],[kbli5]:[digital_hijau]],6,)</f>
        <v>0</v>
      </c>
      <c r="H1440" s="54" t="e">
        <f>VLOOKUP(Table13[[#This Row],[kbli5]],kata_kunci!$B:$H,3,FALSE)</f>
        <v>#N/A</v>
      </c>
      <c r="I1440" s="84" t="e">
        <f>VLOOKUP(Table13[[#This Row],[kbli5]],kata_kunci!$B:$H,5,FALSE)</f>
        <v>#N/A</v>
      </c>
      <c r="J1440" s="84" t="e">
        <f>VLOOKUP(Table13[[#This Row],[kbli5]],kata_kunci!$B:$H,6,FALSE)</f>
        <v>#N/A</v>
      </c>
      <c r="K1440" s="84" t="e">
        <f>VLOOKUP(Table13[[#This Row],[kbli5]],kata_kunci!$B:$H,7,FALSE)</f>
        <v>#N/A</v>
      </c>
    </row>
    <row r="1441" spans="1:11" ht="30.75" thickBot="1" x14ac:dyDescent="0.3">
      <c r="A1441" s="53" t="s">
        <v>86</v>
      </c>
      <c r="B1441" s="40">
        <v>86109</v>
      </c>
      <c r="C1441" s="41" t="s">
        <v>1633</v>
      </c>
      <c r="D1441" s="30" t="e">
        <f>VLOOKUP(Table13[[#This Row],[kbli5]],Table1[[#All],[kbli5]:[digital_hijau]],3,)</f>
        <v>#N/A</v>
      </c>
      <c r="E1441" s="53" t="e">
        <f>VLOOKUP(Table13[[#This Row],[kbli5]],kata_kunci!$B:$H,4,FALSE)</f>
        <v>#N/A</v>
      </c>
      <c r="F1441" s="53" t="e">
        <f>VLOOKUP(Table13[[#This Row],[kbli5]],Table1[[#All],[kbli5]:[digital_hijau]],5,)</f>
        <v>#N/A</v>
      </c>
      <c r="G1441" s="53" t="e">
        <f>VLOOKUP(Table13[[#This Row],[kbli5]],Table1[[#All],[kbli5]:[digital_hijau]],6,)</f>
        <v>#N/A</v>
      </c>
      <c r="H1441" s="54" t="e">
        <f>VLOOKUP(Table13[[#This Row],[kbli5]],kata_kunci!$B:$H,3,FALSE)</f>
        <v>#N/A</v>
      </c>
      <c r="I1441" s="84" t="e">
        <f>VLOOKUP(Table13[[#This Row],[kbli5]],kata_kunci!$B:$H,5,FALSE)</f>
        <v>#N/A</v>
      </c>
      <c r="J1441" s="84" t="e">
        <f>VLOOKUP(Table13[[#This Row],[kbli5]],kata_kunci!$B:$H,6,FALSE)</f>
        <v>#N/A</v>
      </c>
      <c r="K1441" s="84" t="e">
        <f>VLOOKUP(Table13[[#This Row],[kbli5]],kata_kunci!$B:$H,7,FALSE)</f>
        <v>#N/A</v>
      </c>
    </row>
    <row r="1442" spans="1:11" ht="15.75" thickBot="1" x14ac:dyDescent="0.3">
      <c r="A1442" s="53" t="s">
        <v>86</v>
      </c>
      <c r="B1442" s="40">
        <v>86201</v>
      </c>
      <c r="C1442" s="41" t="s">
        <v>91</v>
      </c>
      <c r="D1442" s="30" t="str">
        <f>VLOOKUP(Table13[[#This Row],[kbli5]],Table1[[#All],[kbli5]:[digital_hijau]],3,)</f>
        <v xml:space="preserve">Praktik dokter umum; </v>
      </c>
      <c r="E1442" s="53" t="e">
        <f>VLOOKUP(Table13[[#This Row],[kbli5]],kata_kunci!$B:$H,4,FALSE)</f>
        <v>#N/A</v>
      </c>
      <c r="F1442" s="53" t="str">
        <f>VLOOKUP(Table13[[#This Row],[kbli5]],Table1[[#All],[kbli5]:[digital_hijau]],5,)</f>
        <v>Esensial</v>
      </c>
      <c r="G1442" s="53">
        <f>VLOOKUP(Table13[[#This Row],[kbli5]],Table1[[#All],[kbli5]:[digital_hijau]],6,)</f>
        <v>0</v>
      </c>
      <c r="H1442" s="54" t="e">
        <f>VLOOKUP(Table13[[#This Row],[kbli5]],kata_kunci!$B:$H,3,FALSE)</f>
        <v>#N/A</v>
      </c>
      <c r="I1442" s="84" t="e">
        <f>VLOOKUP(Table13[[#This Row],[kbli5]],kata_kunci!$B:$H,5,FALSE)</f>
        <v>#N/A</v>
      </c>
      <c r="J1442" s="84" t="e">
        <f>VLOOKUP(Table13[[#This Row],[kbli5]],kata_kunci!$B:$H,6,FALSE)</f>
        <v>#N/A</v>
      </c>
      <c r="K1442" s="84" t="e">
        <f>VLOOKUP(Table13[[#This Row],[kbli5]],kata_kunci!$B:$H,7,FALSE)</f>
        <v>#N/A</v>
      </c>
    </row>
    <row r="1443" spans="1:11" ht="30.75" thickBot="1" x14ac:dyDescent="0.3">
      <c r="A1443" s="53" t="s">
        <v>86</v>
      </c>
      <c r="B1443" s="40">
        <v>86202</v>
      </c>
      <c r="C1443" s="41" t="s">
        <v>92</v>
      </c>
      <c r="D1443" s="30" t="str">
        <f>VLOOKUP(Table13[[#This Row],[kbli5]],Table1[[#All],[kbli5]:[digital_hijau]],3,)</f>
        <v>praktik dokter Dasril Efendi Penyakit Dalam; Praktik Dokter Hotber Spesialis Anak;</v>
      </c>
      <c r="E1443" s="53" t="e">
        <f>VLOOKUP(Table13[[#This Row],[kbli5]],kata_kunci!$B:$H,4,FALSE)</f>
        <v>#N/A</v>
      </c>
      <c r="F1443" s="53" t="str">
        <f>VLOOKUP(Table13[[#This Row],[kbli5]],Table1[[#All],[kbli5]:[digital_hijau]],5,)</f>
        <v>Esensial</v>
      </c>
      <c r="G1443" s="53">
        <f>VLOOKUP(Table13[[#This Row],[kbli5]],Table1[[#All],[kbli5]:[digital_hijau]],6,)</f>
        <v>0</v>
      </c>
      <c r="H1443" s="54" t="e">
        <f>VLOOKUP(Table13[[#This Row],[kbli5]],kata_kunci!$B:$H,3,FALSE)</f>
        <v>#N/A</v>
      </c>
      <c r="I1443" s="84" t="e">
        <f>VLOOKUP(Table13[[#This Row],[kbli5]],kata_kunci!$B:$H,5,FALSE)</f>
        <v>#N/A</v>
      </c>
      <c r="J1443" s="84" t="e">
        <f>VLOOKUP(Table13[[#This Row],[kbli5]],kata_kunci!$B:$H,6,FALSE)</f>
        <v>#N/A</v>
      </c>
      <c r="K1443" s="84" t="e">
        <f>VLOOKUP(Table13[[#This Row],[kbli5]],kata_kunci!$B:$H,7,FALSE)</f>
        <v>#N/A</v>
      </c>
    </row>
    <row r="1444" spans="1:11" ht="30.75" thickBot="1" x14ac:dyDescent="0.3">
      <c r="A1444" s="53" t="s">
        <v>86</v>
      </c>
      <c r="B1444" s="40">
        <v>86203</v>
      </c>
      <c r="C1444" s="41" t="s">
        <v>93</v>
      </c>
      <c r="D1444" s="30" t="e">
        <f>VLOOKUP(Table13[[#This Row],[kbli5]],Table1[[#All],[kbli5]:[digital_hijau]],3,)</f>
        <v>#N/A</v>
      </c>
      <c r="E1444" s="53" t="e">
        <f>VLOOKUP(Table13[[#This Row],[kbli5]],kata_kunci!$B:$H,4,FALSE)</f>
        <v>#N/A</v>
      </c>
      <c r="F1444" s="53" t="e">
        <f>VLOOKUP(Table13[[#This Row],[kbli5]],Table1[[#All],[kbli5]:[digital_hijau]],5,)</f>
        <v>#N/A</v>
      </c>
      <c r="G1444" s="53" t="e">
        <f>VLOOKUP(Table13[[#This Row],[kbli5]],Table1[[#All],[kbli5]:[digital_hijau]],6,)</f>
        <v>#N/A</v>
      </c>
      <c r="H1444" s="54" t="e">
        <f>VLOOKUP(Table13[[#This Row],[kbli5]],kata_kunci!$B:$H,3,FALSE)</f>
        <v>#N/A</v>
      </c>
      <c r="I1444" s="84" t="e">
        <f>VLOOKUP(Table13[[#This Row],[kbli5]],kata_kunci!$B:$H,5,FALSE)</f>
        <v>#N/A</v>
      </c>
      <c r="J1444" s="84" t="e">
        <f>VLOOKUP(Table13[[#This Row],[kbli5]],kata_kunci!$B:$H,6,FALSE)</f>
        <v>#N/A</v>
      </c>
      <c r="K1444" s="84" t="e">
        <f>VLOOKUP(Table13[[#This Row],[kbli5]],kata_kunci!$B:$H,7,FALSE)</f>
        <v>#N/A</v>
      </c>
    </row>
    <row r="1445" spans="1:11" ht="45.75" thickBot="1" x14ac:dyDescent="0.3">
      <c r="A1445" s="53" t="s">
        <v>86</v>
      </c>
      <c r="B1445" s="40">
        <v>86910</v>
      </c>
      <c r="C1445" s="41" t="s">
        <v>1634</v>
      </c>
      <c r="D1445" s="30" t="e">
        <f>VLOOKUP(Table13[[#This Row],[kbli5]],Table1[[#All],[kbli5]:[digital_hijau]],3,)</f>
        <v>#N/A</v>
      </c>
      <c r="E1445" s="53" t="e">
        <f>VLOOKUP(Table13[[#This Row],[kbli5]],kata_kunci!$B:$H,4,FALSE)</f>
        <v>#N/A</v>
      </c>
      <c r="F1445" s="53" t="e">
        <f>VLOOKUP(Table13[[#This Row],[kbli5]],Table1[[#All],[kbli5]:[digital_hijau]],5,)</f>
        <v>#N/A</v>
      </c>
      <c r="G1445" s="35" t="s">
        <v>2090</v>
      </c>
      <c r="H1445" s="89" t="e">
        <f>VLOOKUP(Table13[[#This Row],[kbli5]],kata_kunci!$B:$H,3,FALSE)</f>
        <v>#N/A</v>
      </c>
      <c r="I1445" s="84" t="e">
        <f>VLOOKUP(Table13[[#This Row],[kbli5]],kata_kunci!$B:$H,5,FALSE)</f>
        <v>#N/A</v>
      </c>
      <c r="J1445" s="84" t="e">
        <f>VLOOKUP(Table13[[#This Row],[kbli5]],kata_kunci!$B:$H,6,FALSE)</f>
        <v>#N/A</v>
      </c>
      <c r="K1445" s="84" t="e">
        <f>VLOOKUP(Table13[[#This Row],[kbli5]],kata_kunci!$B:$H,7,FALSE)</f>
        <v>#N/A</v>
      </c>
    </row>
    <row r="1446" spans="1:11" ht="45.75" thickBot="1" x14ac:dyDescent="0.3">
      <c r="A1446" s="53" t="s">
        <v>86</v>
      </c>
      <c r="B1446" s="40">
        <v>86991</v>
      </c>
      <c r="C1446" s="41" t="s">
        <v>1635</v>
      </c>
      <c r="D1446" s="30" t="e">
        <f>VLOOKUP(Table13[[#This Row],[kbli5]],Table1[[#All],[kbli5]:[digital_hijau]],3,)</f>
        <v>#N/A</v>
      </c>
      <c r="E1446" s="53" t="e">
        <f>VLOOKUP(Table13[[#This Row],[kbli5]],kata_kunci!$B:$H,4,FALSE)</f>
        <v>#N/A</v>
      </c>
      <c r="F1446" s="53" t="e">
        <f>VLOOKUP(Table13[[#This Row],[kbli5]],Table1[[#All],[kbli5]:[digital_hijau]],5,)</f>
        <v>#N/A</v>
      </c>
      <c r="G1446" s="53" t="e">
        <f>VLOOKUP(Table13[[#This Row],[kbli5]],Table1[[#All],[kbli5]:[digital_hijau]],6,)</f>
        <v>#N/A</v>
      </c>
      <c r="H1446" s="54" t="e">
        <f>VLOOKUP(Table13[[#This Row],[kbli5]],kata_kunci!$B:$H,3,FALSE)</f>
        <v>#N/A</v>
      </c>
      <c r="I1446" s="84" t="e">
        <f>VLOOKUP(Table13[[#This Row],[kbli5]],kata_kunci!$B:$H,5,FALSE)</f>
        <v>#N/A</v>
      </c>
      <c r="J1446" s="84" t="e">
        <f>VLOOKUP(Table13[[#This Row],[kbli5]],kata_kunci!$B:$H,6,FALSE)</f>
        <v>#N/A</v>
      </c>
      <c r="K1446" s="84" t="e">
        <f>VLOOKUP(Table13[[#This Row],[kbli5]],kata_kunci!$B:$H,7,FALSE)</f>
        <v>#N/A</v>
      </c>
    </row>
    <row r="1447" spans="1:11" ht="30.75" thickBot="1" x14ac:dyDescent="0.3">
      <c r="A1447" s="53" t="s">
        <v>86</v>
      </c>
      <c r="B1447" s="40">
        <v>86992</v>
      </c>
      <c r="C1447" s="41" t="s">
        <v>1636</v>
      </c>
      <c r="D1447" s="30" t="str">
        <f>VLOOKUP(Table13[[#This Row],[kbli5]],Table1[[#All],[kbli5]:[digital_hijau]],3,)</f>
        <v>Urut sehat; bekam; shinse;</v>
      </c>
      <c r="E1447" s="53" t="e">
        <f>VLOOKUP(Table13[[#This Row],[kbli5]],kata_kunci!$B:$H,4,FALSE)</f>
        <v>#N/A</v>
      </c>
      <c r="F1447" s="53" t="str">
        <f>VLOOKUP(Table13[[#This Row],[kbli5]],Table1[[#All],[kbli5]:[digital_hijau]],5,)</f>
        <v>Umum Ditemukan</v>
      </c>
      <c r="G1447" s="53">
        <f>VLOOKUP(Table13[[#This Row],[kbli5]],Table1[[#All],[kbli5]:[digital_hijau]],6,)</f>
        <v>0</v>
      </c>
      <c r="H1447" s="54" t="e">
        <f>VLOOKUP(Table13[[#This Row],[kbli5]],kata_kunci!$B:$H,3,FALSE)</f>
        <v>#N/A</v>
      </c>
      <c r="I1447" s="84" t="e">
        <f>VLOOKUP(Table13[[#This Row],[kbli5]],kata_kunci!$B:$H,5,FALSE)</f>
        <v>#N/A</v>
      </c>
      <c r="J1447" s="84" t="e">
        <f>VLOOKUP(Table13[[#This Row],[kbli5]],kata_kunci!$B:$H,6,FALSE)</f>
        <v>#N/A</v>
      </c>
      <c r="K1447" s="84" t="e">
        <f>VLOOKUP(Table13[[#This Row],[kbli5]],kata_kunci!$B:$H,7,FALSE)</f>
        <v>#N/A</v>
      </c>
    </row>
    <row r="1448" spans="1:11" ht="30.75" thickBot="1" x14ac:dyDescent="0.3">
      <c r="A1448" s="53" t="s">
        <v>86</v>
      </c>
      <c r="B1448" s="40">
        <v>86993</v>
      </c>
      <c r="C1448" s="41" t="s">
        <v>94</v>
      </c>
      <c r="D1448" s="30" t="str">
        <f>VLOOKUP(Table13[[#This Row],[kbli5]],Table1[[#All],[kbli5]:[digital_hijau]],3,)</f>
        <v xml:space="preserve">Aktv Penunjang Kesehatan; Lab Prodia; Lab Pramitha; </v>
      </c>
      <c r="E1448" s="53" t="e">
        <f>VLOOKUP(Table13[[#This Row],[kbli5]],kata_kunci!$B:$H,4,FALSE)</f>
        <v>#N/A</v>
      </c>
      <c r="F1448" s="53" t="str">
        <f>VLOOKUP(Table13[[#This Row],[kbli5]],Table1[[#All],[kbli5]:[digital_hijau]],5,)</f>
        <v>Esensial</v>
      </c>
      <c r="G1448" s="53">
        <f>VLOOKUP(Table13[[#This Row],[kbli5]],Table1[[#All],[kbli5]:[digital_hijau]],6,)</f>
        <v>0</v>
      </c>
      <c r="H1448" s="54" t="e">
        <f>VLOOKUP(Table13[[#This Row],[kbli5]],kata_kunci!$B:$H,3,FALSE)</f>
        <v>#N/A</v>
      </c>
      <c r="I1448" s="84" t="e">
        <f>VLOOKUP(Table13[[#This Row],[kbli5]],kata_kunci!$B:$H,5,FALSE)</f>
        <v>#N/A</v>
      </c>
      <c r="J1448" s="84" t="e">
        <f>VLOOKUP(Table13[[#This Row],[kbli5]],kata_kunci!$B:$H,6,FALSE)</f>
        <v>#N/A</v>
      </c>
      <c r="K1448" s="84" t="e">
        <f>VLOOKUP(Table13[[#This Row],[kbli5]],kata_kunci!$B:$H,7,FALSE)</f>
        <v>#N/A</v>
      </c>
    </row>
    <row r="1449" spans="1:11" ht="45.75" thickBot="1" x14ac:dyDescent="0.3">
      <c r="A1449" s="53" t="s">
        <v>86</v>
      </c>
      <c r="B1449" s="40">
        <v>86994</v>
      </c>
      <c r="C1449" s="41" t="s">
        <v>1637</v>
      </c>
      <c r="D1449" s="30" t="e">
        <f>VLOOKUP(Table13[[#This Row],[kbli5]],Table1[[#All],[kbli5]:[digital_hijau]],3,)</f>
        <v>#N/A</v>
      </c>
      <c r="E1449" s="53" t="e">
        <f>VLOOKUP(Table13[[#This Row],[kbli5]],kata_kunci!$B:$H,4,FALSE)</f>
        <v>#N/A</v>
      </c>
      <c r="F1449" s="53" t="e">
        <f>VLOOKUP(Table13[[#This Row],[kbli5]],Table1[[#All],[kbli5]:[digital_hijau]],5,)</f>
        <v>#N/A</v>
      </c>
      <c r="G1449" s="53" t="e">
        <f>VLOOKUP(Table13[[#This Row],[kbli5]],Table1[[#All],[kbli5]:[digital_hijau]],6,)</f>
        <v>#N/A</v>
      </c>
      <c r="H1449" s="54" t="e">
        <f>VLOOKUP(Table13[[#This Row],[kbli5]],kata_kunci!$B:$H,3,FALSE)</f>
        <v>#N/A</v>
      </c>
      <c r="I1449" s="84" t="e">
        <f>VLOOKUP(Table13[[#This Row],[kbli5]],kata_kunci!$B:$H,5,FALSE)</f>
        <v>#N/A</v>
      </c>
      <c r="J1449" s="84" t="e">
        <f>VLOOKUP(Table13[[#This Row],[kbli5]],kata_kunci!$B:$H,6,FALSE)</f>
        <v>#N/A</v>
      </c>
      <c r="K1449" s="84" t="e">
        <f>VLOOKUP(Table13[[#This Row],[kbli5]],kata_kunci!$B:$H,7,FALSE)</f>
        <v>#N/A</v>
      </c>
    </row>
    <row r="1450" spans="1:11" ht="15.75" thickBot="1" x14ac:dyDescent="0.3">
      <c r="A1450" s="53" t="s">
        <v>86</v>
      </c>
      <c r="B1450" s="40">
        <v>86995</v>
      </c>
      <c r="C1450" s="41" t="s">
        <v>1638</v>
      </c>
      <c r="D1450" s="30" t="e">
        <f>VLOOKUP(Table13[[#This Row],[kbli5]],Table1[[#All],[kbli5]:[digital_hijau]],3,)</f>
        <v>#N/A</v>
      </c>
      <c r="E1450" s="53" t="e">
        <f>VLOOKUP(Table13[[#This Row],[kbli5]],kata_kunci!$B:$H,4,FALSE)</f>
        <v>#N/A</v>
      </c>
      <c r="F1450" s="53" t="e">
        <f>VLOOKUP(Table13[[#This Row],[kbli5]],Table1[[#All],[kbli5]:[digital_hijau]],5,)</f>
        <v>#N/A</v>
      </c>
      <c r="G1450" s="53" t="e">
        <f>VLOOKUP(Table13[[#This Row],[kbli5]],Table1[[#All],[kbli5]:[digital_hijau]],6,)</f>
        <v>#N/A</v>
      </c>
      <c r="H1450" s="54" t="e">
        <f>VLOOKUP(Table13[[#This Row],[kbli5]],kata_kunci!$B:$H,3,FALSE)</f>
        <v>#N/A</v>
      </c>
      <c r="I1450" s="84" t="e">
        <f>VLOOKUP(Table13[[#This Row],[kbli5]],kata_kunci!$B:$H,5,FALSE)</f>
        <v>#N/A</v>
      </c>
      <c r="J1450" s="84" t="e">
        <f>VLOOKUP(Table13[[#This Row],[kbli5]],kata_kunci!$B:$H,6,FALSE)</f>
        <v>#N/A</v>
      </c>
      <c r="K1450" s="84" t="e">
        <f>VLOOKUP(Table13[[#This Row],[kbli5]],kata_kunci!$B:$H,7,FALSE)</f>
        <v>#N/A</v>
      </c>
    </row>
    <row r="1451" spans="1:11" ht="45.75" thickBot="1" x14ac:dyDescent="0.3">
      <c r="A1451" s="53" t="s">
        <v>86</v>
      </c>
      <c r="B1451" s="40">
        <v>87101</v>
      </c>
      <c r="C1451" s="41" t="s">
        <v>1639</v>
      </c>
      <c r="D1451" s="30" t="e">
        <f>VLOOKUP(Table13[[#This Row],[kbli5]],Table1[[#All],[kbli5]:[digital_hijau]],3,)</f>
        <v>#N/A</v>
      </c>
      <c r="E1451" s="53" t="e">
        <f>VLOOKUP(Table13[[#This Row],[kbli5]],kata_kunci!$B:$H,4,FALSE)</f>
        <v>#N/A</v>
      </c>
      <c r="F1451" s="53" t="e">
        <f>VLOOKUP(Table13[[#This Row],[kbli5]],Table1[[#All],[kbli5]:[digital_hijau]],5,)</f>
        <v>#N/A</v>
      </c>
      <c r="G1451" s="53" t="e">
        <f>VLOOKUP(Table13[[#This Row],[kbli5]],Table1[[#All],[kbli5]:[digital_hijau]],6,)</f>
        <v>#N/A</v>
      </c>
      <c r="H1451" s="54" t="e">
        <f>VLOOKUP(Table13[[#This Row],[kbli5]],kata_kunci!$B:$H,3,FALSE)</f>
        <v>#N/A</v>
      </c>
      <c r="I1451" s="84" t="e">
        <f>VLOOKUP(Table13[[#This Row],[kbli5]],kata_kunci!$B:$H,5,FALSE)</f>
        <v>#N/A</v>
      </c>
      <c r="J1451" s="84" t="e">
        <f>VLOOKUP(Table13[[#This Row],[kbli5]],kata_kunci!$B:$H,6,FALSE)</f>
        <v>#N/A</v>
      </c>
      <c r="K1451" s="84" t="e">
        <f>VLOOKUP(Table13[[#This Row],[kbli5]],kata_kunci!$B:$H,7,FALSE)</f>
        <v>#N/A</v>
      </c>
    </row>
    <row r="1452" spans="1:11" ht="45.75" thickBot="1" x14ac:dyDescent="0.3">
      <c r="A1452" s="53" t="s">
        <v>86</v>
      </c>
      <c r="B1452" s="40">
        <v>87102</v>
      </c>
      <c r="C1452" s="41" t="s">
        <v>1639</v>
      </c>
      <c r="D1452" s="30" t="e">
        <f>VLOOKUP(Table13[[#This Row],[kbli5]],Table1[[#All],[kbli5]:[digital_hijau]],3,)</f>
        <v>#N/A</v>
      </c>
      <c r="E1452" s="53" t="e">
        <f>VLOOKUP(Table13[[#This Row],[kbli5]],kata_kunci!$B:$H,4,FALSE)</f>
        <v>#N/A</v>
      </c>
      <c r="F1452" s="53" t="e">
        <f>VLOOKUP(Table13[[#This Row],[kbli5]],Table1[[#All],[kbli5]:[digital_hijau]],5,)</f>
        <v>#N/A</v>
      </c>
      <c r="G1452" s="53" t="e">
        <f>VLOOKUP(Table13[[#This Row],[kbli5]],Table1[[#All],[kbli5]:[digital_hijau]],6,)</f>
        <v>#N/A</v>
      </c>
      <c r="H1452" s="54" t="e">
        <f>VLOOKUP(Table13[[#This Row],[kbli5]],kata_kunci!$B:$H,3,FALSE)</f>
        <v>#N/A</v>
      </c>
      <c r="I1452" s="84" t="e">
        <f>VLOOKUP(Table13[[#This Row],[kbli5]],kata_kunci!$B:$H,5,FALSE)</f>
        <v>#N/A</v>
      </c>
      <c r="J1452" s="84" t="e">
        <f>VLOOKUP(Table13[[#This Row],[kbli5]],kata_kunci!$B:$H,6,FALSE)</f>
        <v>#N/A</v>
      </c>
      <c r="K1452" s="84" t="e">
        <f>VLOOKUP(Table13[[#This Row],[kbli5]],kata_kunci!$B:$H,7,FALSE)</f>
        <v>#N/A</v>
      </c>
    </row>
    <row r="1453" spans="1:11" ht="45.75" thickBot="1" x14ac:dyDescent="0.3">
      <c r="A1453" s="53" t="s">
        <v>86</v>
      </c>
      <c r="B1453" s="40">
        <v>87201</v>
      </c>
      <c r="C1453" s="41" t="s">
        <v>1640</v>
      </c>
      <c r="D1453" s="30" t="e">
        <f>VLOOKUP(Table13[[#This Row],[kbli5]],Table1[[#All],[kbli5]:[digital_hijau]],3,)</f>
        <v>#N/A</v>
      </c>
      <c r="E1453" s="53" t="e">
        <f>VLOOKUP(Table13[[#This Row],[kbli5]],kata_kunci!$B:$H,4,FALSE)</f>
        <v>#N/A</v>
      </c>
      <c r="F1453" s="53" t="e">
        <f>VLOOKUP(Table13[[#This Row],[kbli5]],Table1[[#All],[kbli5]:[digital_hijau]],5,)</f>
        <v>#N/A</v>
      </c>
      <c r="G1453" s="53" t="e">
        <f>VLOOKUP(Table13[[#This Row],[kbli5]],Table1[[#All],[kbli5]:[digital_hijau]],6,)</f>
        <v>#N/A</v>
      </c>
      <c r="H1453" s="54" t="e">
        <f>VLOOKUP(Table13[[#This Row],[kbli5]],kata_kunci!$B:$H,3,FALSE)</f>
        <v>#N/A</v>
      </c>
      <c r="I1453" s="84" t="e">
        <f>VLOOKUP(Table13[[#This Row],[kbli5]],kata_kunci!$B:$H,5,FALSE)</f>
        <v>#N/A</v>
      </c>
      <c r="J1453" s="84" t="e">
        <f>VLOOKUP(Table13[[#This Row],[kbli5]],kata_kunci!$B:$H,6,FALSE)</f>
        <v>#N/A</v>
      </c>
      <c r="K1453" s="84" t="e">
        <f>VLOOKUP(Table13[[#This Row],[kbli5]],kata_kunci!$B:$H,7,FALSE)</f>
        <v>#N/A</v>
      </c>
    </row>
    <row r="1454" spans="1:11" ht="45.75" thickBot="1" x14ac:dyDescent="0.3">
      <c r="A1454" s="53" t="s">
        <v>86</v>
      </c>
      <c r="B1454" s="40">
        <v>87202</v>
      </c>
      <c r="C1454" s="41" t="s">
        <v>1641</v>
      </c>
      <c r="D1454" s="30" t="e">
        <f>VLOOKUP(Table13[[#This Row],[kbli5]],Table1[[#All],[kbli5]:[digital_hijau]],3,)</f>
        <v>#N/A</v>
      </c>
      <c r="E1454" s="53" t="e">
        <f>VLOOKUP(Table13[[#This Row],[kbli5]],kata_kunci!$B:$H,4,FALSE)</f>
        <v>#N/A</v>
      </c>
      <c r="F1454" s="53" t="e">
        <f>VLOOKUP(Table13[[#This Row],[kbli5]],Table1[[#All],[kbli5]:[digital_hijau]],5,)</f>
        <v>#N/A</v>
      </c>
      <c r="G1454" s="53" t="e">
        <f>VLOOKUP(Table13[[#This Row],[kbli5]],Table1[[#All],[kbli5]:[digital_hijau]],6,)</f>
        <v>#N/A</v>
      </c>
      <c r="H1454" s="54" t="e">
        <f>VLOOKUP(Table13[[#This Row],[kbli5]],kata_kunci!$B:$H,3,FALSE)</f>
        <v>#N/A</v>
      </c>
      <c r="I1454" s="84" t="e">
        <f>VLOOKUP(Table13[[#This Row],[kbli5]],kata_kunci!$B:$H,5,FALSE)</f>
        <v>#N/A</v>
      </c>
      <c r="J1454" s="84" t="e">
        <f>VLOOKUP(Table13[[#This Row],[kbli5]],kata_kunci!$B:$H,6,FALSE)</f>
        <v>#N/A</v>
      </c>
      <c r="K1454" s="84" t="e">
        <f>VLOOKUP(Table13[[#This Row],[kbli5]],kata_kunci!$B:$H,7,FALSE)</f>
        <v>#N/A</v>
      </c>
    </row>
    <row r="1455" spans="1:11" ht="45.75" thickBot="1" x14ac:dyDescent="0.3">
      <c r="A1455" s="53" t="s">
        <v>86</v>
      </c>
      <c r="B1455" s="40">
        <v>87301</v>
      </c>
      <c r="C1455" s="41" t="s">
        <v>1642</v>
      </c>
      <c r="D1455" s="30" t="e">
        <f>VLOOKUP(Table13[[#This Row],[kbli5]],Table1[[#All],[kbli5]:[digital_hijau]],3,)</f>
        <v>#N/A</v>
      </c>
      <c r="E1455" s="53" t="e">
        <f>VLOOKUP(Table13[[#This Row],[kbli5]],kata_kunci!$B:$H,4,FALSE)</f>
        <v>#N/A</v>
      </c>
      <c r="F1455" s="53" t="e">
        <f>VLOOKUP(Table13[[#This Row],[kbli5]],Table1[[#All],[kbli5]:[digital_hijau]],5,)</f>
        <v>#N/A</v>
      </c>
      <c r="G1455" s="53" t="e">
        <f>VLOOKUP(Table13[[#This Row],[kbli5]],Table1[[#All],[kbli5]:[digital_hijau]],6,)</f>
        <v>#N/A</v>
      </c>
      <c r="H1455" s="54" t="e">
        <f>VLOOKUP(Table13[[#This Row],[kbli5]],kata_kunci!$B:$H,3,FALSE)</f>
        <v>#N/A</v>
      </c>
      <c r="I1455" s="84" t="e">
        <f>VLOOKUP(Table13[[#This Row],[kbli5]],kata_kunci!$B:$H,5,FALSE)</f>
        <v>#N/A</v>
      </c>
      <c r="J1455" s="84" t="e">
        <f>VLOOKUP(Table13[[#This Row],[kbli5]],kata_kunci!$B:$H,6,FALSE)</f>
        <v>#N/A</v>
      </c>
      <c r="K1455" s="84" t="e">
        <f>VLOOKUP(Table13[[#This Row],[kbli5]],kata_kunci!$B:$H,7,FALSE)</f>
        <v>#N/A</v>
      </c>
    </row>
    <row r="1456" spans="1:11" ht="45.75" thickBot="1" x14ac:dyDescent="0.3">
      <c r="A1456" s="53" t="s">
        <v>86</v>
      </c>
      <c r="B1456" s="40">
        <v>87302</v>
      </c>
      <c r="C1456" s="41" t="s">
        <v>1643</v>
      </c>
      <c r="D1456" s="30" t="e">
        <f>VLOOKUP(Table13[[#This Row],[kbli5]],Table1[[#All],[kbli5]:[digital_hijau]],3,)</f>
        <v>#N/A</v>
      </c>
      <c r="E1456" s="53" t="e">
        <f>VLOOKUP(Table13[[#This Row],[kbli5]],kata_kunci!$B:$H,4,FALSE)</f>
        <v>#N/A</v>
      </c>
      <c r="F1456" s="53" t="e">
        <f>VLOOKUP(Table13[[#This Row],[kbli5]],Table1[[#All],[kbli5]:[digital_hijau]],5,)</f>
        <v>#N/A</v>
      </c>
      <c r="G1456" s="53" t="e">
        <f>VLOOKUP(Table13[[#This Row],[kbli5]],Table1[[#All],[kbli5]:[digital_hijau]],6,)</f>
        <v>#N/A</v>
      </c>
      <c r="H1456" s="54" t="e">
        <f>VLOOKUP(Table13[[#This Row],[kbli5]],kata_kunci!$B:$H,3,FALSE)</f>
        <v>#N/A</v>
      </c>
      <c r="I1456" s="84" t="e">
        <f>VLOOKUP(Table13[[#This Row],[kbli5]],kata_kunci!$B:$H,5,FALSE)</f>
        <v>#N/A</v>
      </c>
      <c r="J1456" s="84" t="e">
        <f>VLOOKUP(Table13[[#This Row],[kbli5]],kata_kunci!$B:$H,6,FALSE)</f>
        <v>#N/A</v>
      </c>
      <c r="K1456" s="84" t="e">
        <f>VLOOKUP(Table13[[#This Row],[kbli5]],kata_kunci!$B:$H,7,FALSE)</f>
        <v>#N/A</v>
      </c>
    </row>
    <row r="1457" spans="1:11" ht="45.75" thickBot="1" x14ac:dyDescent="0.3">
      <c r="A1457" s="53" t="s">
        <v>86</v>
      </c>
      <c r="B1457" s="40">
        <v>87303</v>
      </c>
      <c r="C1457" s="41" t="s">
        <v>1644</v>
      </c>
      <c r="D1457" s="30" t="e">
        <f>VLOOKUP(Table13[[#This Row],[kbli5]],Table1[[#All],[kbli5]:[digital_hijau]],3,)</f>
        <v>#N/A</v>
      </c>
      <c r="E1457" s="53" t="e">
        <f>VLOOKUP(Table13[[#This Row],[kbli5]],kata_kunci!$B:$H,4,FALSE)</f>
        <v>#N/A</v>
      </c>
      <c r="F1457" s="53" t="e">
        <f>VLOOKUP(Table13[[#This Row],[kbli5]],Table1[[#All],[kbli5]:[digital_hijau]],5,)</f>
        <v>#N/A</v>
      </c>
      <c r="G1457" s="53" t="e">
        <f>VLOOKUP(Table13[[#This Row],[kbli5]],Table1[[#All],[kbli5]:[digital_hijau]],6,)</f>
        <v>#N/A</v>
      </c>
      <c r="H1457" s="54" t="e">
        <f>VLOOKUP(Table13[[#This Row],[kbli5]],kata_kunci!$B:$H,3,FALSE)</f>
        <v>#N/A</v>
      </c>
      <c r="I1457" s="84" t="e">
        <f>VLOOKUP(Table13[[#This Row],[kbli5]],kata_kunci!$B:$H,5,FALSE)</f>
        <v>#N/A</v>
      </c>
      <c r="J1457" s="84" t="e">
        <f>VLOOKUP(Table13[[#This Row],[kbli5]],kata_kunci!$B:$H,6,FALSE)</f>
        <v>#N/A</v>
      </c>
      <c r="K1457" s="84" t="e">
        <f>VLOOKUP(Table13[[#This Row],[kbli5]],kata_kunci!$B:$H,7,FALSE)</f>
        <v>#N/A</v>
      </c>
    </row>
    <row r="1458" spans="1:11" ht="45.75" thickBot="1" x14ac:dyDescent="0.3">
      <c r="A1458" s="53" t="s">
        <v>86</v>
      </c>
      <c r="B1458" s="40">
        <v>87910</v>
      </c>
      <c r="C1458" s="41" t="s">
        <v>1645</v>
      </c>
      <c r="D1458" s="30" t="e">
        <f>VLOOKUP(Table13[[#This Row],[kbli5]],Table1[[#All],[kbli5]:[digital_hijau]],3,)</f>
        <v>#N/A</v>
      </c>
      <c r="E1458" s="53" t="e">
        <f>VLOOKUP(Table13[[#This Row],[kbli5]],kata_kunci!$B:$H,4,FALSE)</f>
        <v>#N/A</v>
      </c>
      <c r="F1458" s="53" t="e">
        <f>VLOOKUP(Table13[[#This Row],[kbli5]],Table1[[#All],[kbli5]:[digital_hijau]],5,)</f>
        <v>#N/A</v>
      </c>
      <c r="G1458" s="35" t="s">
        <v>2090</v>
      </c>
      <c r="H1458" s="89" t="e">
        <f>VLOOKUP(Table13[[#This Row],[kbli5]],kata_kunci!$B:$H,3,FALSE)</f>
        <v>#N/A</v>
      </c>
      <c r="I1458" s="84" t="e">
        <f>VLOOKUP(Table13[[#This Row],[kbli5]],kata_kunci!$B:$H,5,FALSE)</f>
        <v>#N/A</v>
      </c>
      <c r="J1458" s="84" t="e">
        <f>VLOOKUP(Table13[[#This Row],[kbli5]],kata_kunci!$B:$H,6,FALSE)</f>
        <v>#N/A</v>
      </c>
      <c r="K1458" s="84" t="e">
        <f>VLOOKUP(Table13[[#This Row],[kbli5]],kata_kunci!$B:$H,7,FALSE)</f>
        <v>#N/A</v>
      </c>
    </row>
    <row r="1459" spans="1:11" ht="45.75" thickBot="1" x14ac:dyDescent="0.3">
      <c r="A1459" s="53" t="s">
        <v>86</v>
      </c>
      <c r="B1459" s="40">
        <v>87991</v>
      </c>
      <c r="C1459" s="41" t="s">
        <v>1646</v>
      </c>
      <c r="D1459" s="30" t="e">
        <f>VLOOKUP(Table13[[#This Row],[kbli5]],Table1[[#All],[kbli5]:[digital_hijau]],3,)</f>
        <v>#N/A</v>
      </c>
      <c r="E1459" s="53" t="e">
        <f>VLOOKUP(Table13[[#This Row],[kbli5]],kata_kunci!$B:$H,4,FALSE)</f>
        <v>#N/A</v>
      </c>
      <c r="F1459" s="53" t="e">
        <f>VLOOKUP(Table13[[#This Row],[kbli5]],Table1[[#All],[kbli5]:[digital_hijau]],5,)</f>
        <v>#N/A</v>
      </c>
      <c r="G1459" s="53" t="e">
        <f>VLOOKUP(Table13[[#This Row],[kbli5]],Table1[[#All],[kbli5]:[digital_hijau]],6,)</f>
        <v>#N/A</v>
      </c>
      <c r="H1459" s="54" t="e">
        <f>VLOOKUP(Table13[[#This Row],[kbli5]],kata_kunci!$B:$H,3,FALSE)</f>
        <v>#N/A</v>
      </c>
      <c r="I1459" s="84" t="e">
        <f>VLOOKUP(Table13[[#This Row],[kbli5]],kata_kunci!$B:$H,5,FALSE)</f>
        <v>#N/A</v>
      </c>
      <c r="J1459" s="84" t="e">
        <f>VLOOKUP(Table13[[#This Row],[kbli5]],kata_kunci!$B:$H,6,FALSE)</f>
        <v>#N/A</v>
      </c>
      <c r="K1459" s="84" t="e">
        <f>VLOOKUP(Table13[[#This Row],[kbli5]],kata_kunci!$B:$H,7,FALSE)</f>
        <v>#N/A</v>
      </c>
    </row>
    <row r="1460" spans="1:11" ht="45.75" thickBot="1" x14ac:dyDescent="0.3">
      <c r="A1460" s="53" t="s">
        <v>86</v>
      </c>
      <c r="B1460" s="40">
        <v>87992</v>
      </c>
      <c r="C1460" s="41" t="s">
        <v>1647</v>
      </c>
      <c r="D1460" s="30" t="e">
        <f>VLOOKUP(Table13[[#This Row],[kbli5]],Table1[[#All],[kbli5]:[digital_hijau]],3,)</f>
        <v>#N/A</v>
      </c>
      <c r="E1460" s="53" t="e">
        <f>VLOOKUP(Table13[[#This Row],[kbli5]],kata_kunci!$B:$H,4,FALSE)</f>
        <v>#N/A</v>
      </c>
      <c r="F1460" s="53" t="e">
        <f>VLOOKUP(Table13[[#This Row],[kbli5]],Table1[[#All],[kbli5]:[digital_hijau]],5,)</f>
        <v>#N/A</v>
      </c>
      <c r="G1460" s="53" t="e">
        <f>VLOOKUP(Table13[[#This Row],[kbli5]],Table1[[#All],[kbli5]:[digital_hijau]],6,)</f>
        <v>#N/A</v>
      </c>
      <c r="H1460" s="54" t="e">
        <f>VLOOKUP(Table13[[#This Row],[kbli5]],kata_kunci!$B:$H,3,FALSE)</f>
        <v>#N/A</v>
      </c>
      <c r="I1460" s="84" t="e">
        <f>VLOOKUP(Table13[[#This Row],[kbli5]],kata_kunci!$B:$H,5,FALSE)</f>
        <v>#N/A</v>
      </c>
      <c r="J1460" s="84" t="e">
        <f>VLOOKUP(Table13[[#This Row],[kbli5]],kata_kunci!$B:$H,6,FALSE)</f>
        <v>#N/A</v>
      </c>
      <c r="K1460" s="84" t="e">
        <f>VLOOKUP(Table13[[#This Row],[kbli5]],kata_kunci!$B:$H,7,FALSE)</f>
        <v>#N/A</v>
      </c>
    </row>
    <row r="1461" spans="1:11" ht="30.75" thickBot="1" x14ac:dyDescent="0.3">
      <c r="A1461" s="53" t="s">
        <v>86</v>
      </c>
      <c r="B1461" s="40">
        <v>87993</v>
      </c>
      <c r="C1461" s="41" t="s">
        <v>1648</v>
      </c>
      <c r="D1461" s="30" t="e">
        <f>VLOOKUP(Table13[[#This Row],[kbli5]],Table1[[#All],[kbli5]:[digital_hijau]],3,)</f>
        <v>#N/A</v>
      </c>
      <c r="E1461" s="53" t="e">
        <f>VLOOKUP(Table13[[#This Row],[kbli5]],kata_kunci!$B:$H,4,FALSE)</f>
        <v>#N/A</v>
      </c>
      <c r="F1461" s="53" t="e">
        <f>VLOOKUP(Table13[[#This Row],[kbli5]],Table1[[#All],[kbli5]:[digital_hijau]],5,)</f>
        <v>#N/A</v>
      </c>
      <c r="G1461" s="53" t="e">
        <f>VLOOKUP(Table13[[#This Row],[kbli5]],Table1[[#All],[kbli5]:[digital_hijau]],6,)</f>
        <v>#N/A</v>
      </c>
      <c r="H1461" s="54" t="e">
        <f>VLOOKUP(Table13[[#This Row],[kbli5]],kata_kunci!$B:$H,3,FALSE)</f>
        <v>#N/A</v>
      </c>
      <c r="I1461" s="84" t="e">
        <f>VLOOKUP(Table13[[#This Row],[kbli5]],kata_kunci!$B:$H,5,FALSE)</f>
        <v>#N/A</v>
      </c>
      <c r="J1461" s="84" t="e">
        <f>VLOOKUP(Table13[[#This Row],[kbli5]],kata_kunci!$B:$H,6,FALSE)</f>
        <v>#N/A</v>
      </c>
      <c r="K1461" s="84" t="e">
        <f>VLOOKUP(Table13[[#This Row],[kbli5]],kata_kunci!$B:$H,7,FALSE)</f>
        <v>#N/A</v>
      </c>
    </row>
    <row r="1462" spans="1:11" ht="45.75" thickBot="1" x14ac:dyDescent="0.3">
      <c r="A1462" s="53" t="s">
        <v>86</v>
      </c>
      <c r="B1462" s="40">
        <v>88101</v>
      </c>
      <c r="C1462" s="41" t="s">
        <v>1649</v>
      </c>
      <c r="D1462" s="30" t="e">
        <f>VLOOKUP(Table13[[#This Row],[kbli5]],Table1[[#All],[kbli5]:[digital_hijau]],3,)</f>
        <v>#N/A</v>
      </c>
      <c r="E1462" s="53" t="e">
        <f>VLOOKUP(Table13[[#This Row],[kbli5]],kata_kunci!$B:$H,4,FALSE)</f>
        <v>#N/A</v>
      </c>
      <c r="F1462" s="53" t="e">
        <f>VLOOKUP(Table13[[#This Row],[kbli5]],Table1[[#All],[kbli5]:[digital_hijau]],5,)</f>
        <v>#N/A</v>
      </c>
      <c r="G1462" s="53" t="e">
        <f>VLOOKUP(Table13[[#This Row],[kbli5]],Table1[[#All],[kbli5]:[digital_hijau]],6,)</f>
        <v>#N/A</v>
      </c>
      <c r="H1462" s="54" t="e">
        <f>VLOOKUP(Table13[[#This Row],[kbli5]],kata_kunci!$B:$H,3,FALSE)</f>
        <v>#N/A</v>
      </c>
      <c r="I1462" s="84" t="e">
        <f>VLOOKUP(Table13[[#This Row],[kbli5]],kata_kunci!$B:$H,5,FALSE)</f>
        <v>#N/A</v>
      </c>
      <c r="J1462" s="84" t="e">
        <f>VLOOKUP(Table13[[#This Row],[kbli5]],kata_kunci!$B:$H,6,FALSE)</f>
        <v>#N/A</v>
      </c>
      <c r="K1462" s="84" t="e">
        <f>VLOOKUP(Table13[[#This Row],[kbli5]],kata_kunci!$B:$H,7,FALSE)</f>
        <v>#N/A</v>
      </c>
    </row>
    <row r="1463" spans="1:11" ht="45.75" thickBot="1" x14ac:dyDescent="0.3">
      <c r="A1463" s="53" t="s">
        <v>86</v>
      </c>
      <c r="B1463" s="40">
        <v>88102</v>
      </c>
      <c r="C1463" s="41" t="s">
        <v>1650</v>
      </c>
      <c r="D1463" s="30" t="e">
        <f>VLOOKUP(Table13[[#This Row],[kbli5]],Table1[[#All],[kbli5]:[digital_hijau]],3,)</f>
        <v>#N/A</v>
      </c>
      <c r="E1463" s="53" t="e">
        <f>VLOOKUP(Table13[[#This Row],[kbli5]],kata_kunci!$B:$H,4,FALSE)</f>
        <v>#N/A</v>
      </c>
      <c r="F1463" s="53" t="e">
        <f>VLOOKUP(Table13[[#This Row],[kbli5]],Table1[[#All],[kbli5]:[digital_hijau]],5,)</f>
        <v>#N/A</v>
      </c>
      <c r="G1463" s="53" t="e">
        <f>VLOOKUP(Table13[[#This Row],[kbli5]],Table1[[#All],[kbli5]:[digital_hijau]],6,)</f>
        <v>#N/A</v>
      </c>
      <c r="H1463" s="54" t="e">
        <f>VLOOKUP(Table13[[#This Row],[kbli5]],kata_kunci!$B:$H,3,FALSE)</f>
        <v>#N/A</v>
      </c>
      <c r="I1463" s="84" t="e">
        <f>VLOOKUP(Table13[[#This Row],[kbli5]],kata_kunci!$B:$H,5,FALSE)</f>
        <v>#N/A</v>
      </c>
      <c r="J1463" s="84" t="e">
        <f>VLOOKUP(Table13[[#This Row],[kbli5]],kata_kunci!$B:$H,6,FALSE)</f>
        <v>#N/A</v>
      </c>
      <c r="K1463" s="84" t="e">
        <f>VLOOKUP(Table13[[#This Row],[kbli5]],kata_kunci!$B:$H,7,FALSE)</f>
        <v>#N/A</v>
      </c>
    </row>
    <row r="1464" spans="1:11" ht="45.75" thickBot="1" x14ac:dyDescent="0.3">
      <c r="A1464" s="53" t="s">
        <v>86</v>
      </c>
      <c r="B1464" s="40">
        <v>88901</v>
      </c>
      <c r="C1464" s="41" t="s">
        <v>1651</v>
      </c>
      <c r="D1464" s="30" t="e">
        <f>VLOOKUP(Table13[[#This Row],[kbli5]],Table1[[#All],[kbli5]:[digital_hijau]],3,)</f>
        <v>#N/A</v>
      </c>
      <c r="E1464" s="53" t="e">
        <f>VLOOKUP(Table13[[#This Row],[kbli5]],kata_kunci!$B:$H,4,FALSE)</f>
        <v>#N/A</v>
      </c>
      <c r="F1464" s="53" t="e">
        <f>VLOOKUP(Table13[[#This Row],[kbli5]],Table1[[#All],[kbli5]:[digital_hijau]],5,)</f>
        <v>#N/A</v>
      </c>
      <c r="G1464" s="53" t="e">
        <f>VLOOKUP(Table13[[#This Row],[kbli5]],Table1[[#All],[kbli5]:[digital_hijau]],6,)</f>
        <v>#N/A</v>
      </c>
      <c r="H1464" s="54" t="e">
        <f>VLOOKUP(Table13[[#This Row],[kbli5]],kata_kunci!$B:$H,3,FALSE)</f>
        <v>#N/A</v>
      </c>
      <c r="I1464" s="84" t="e">
        <f>VLOOKUP(Table13[[#This Row],[kbli5]],kata_kunci!$B:$H,5,FALSE)</f>
        <v>#N/A</v>
      </c>
      <c r="J1464" s="84" t="e">
        <f>VLOOKUP(Table13[[#This Row],[kbli5]],kata_kunci!$B:$H,6,FALSE)</f>
        <v>#N/A</v>
      </c>
      <c r="K1464" s="84" t="e">
        <f>VLOOKUP(Table13[[#This Row],[kbli5]],kata_kunci!$B:$H,7,FALSE)</f>
        <v>#N/A</v>
      </c>
    </row>
    <row r="1465" spans="1:11" ht="45.75" thickBot="1" x14ac:dyDescent="0.3">
      <c r="A1465" s="53" t="s">
        <v>86</v>
      </c>
      <c r="B1465" s="40">
        <v>88902</v>
      </c>
      <c r="C1465" s="41" t="s">
        <v>1650</v>
      </c>
      <c r="D1465" s="30" t="e">
        <f>VLOOKUP(Table13[[#This Row],[kbli5]],Table1[[#All],[kbli5]:[digital_hijau]],3,)</f>
        <v>#N/A</v>
      </c>
      <c r="E1465" s="53" t="e">
        <f>VLOOKUP(Table13[[#This Row],[kbli5]],kata_kunci!$B:$H,4,FALSE)</f>
        <v>#N/A</v>
      </c>
      <c r="F1465" s="53" t="e">
        <f>VLOOKUP(Table13[[#This Row],[kbli5]],Table1[[#All],[kbli5]:[digital_hijau]],5,)</f>
        <v>#N/A</v>
      </c>
      <c r="G1465" s="53" t="e">
        <f>VLOOKUP(Table13[[#This Row],[kbli5]],Table1[[#All],[kbli5]:[digital_hijau]],6,)</f>
        <v>#N/A</v>
      </c>
      <c r="H1465" s="54" t="e">
        <f>VLOOKUP(Table13[[#This Row],[kbli5]],kata_kunci!$B:$H,3,FALSE)</f>
        <v>#N/A</v>
      </c>
      <c r="I1465" s="84" t="e">
        <f>VLOOKUP(Table13[[#This Row],[kbli5]],kata_kunci!$B:$H,5,FALSE)</f>
        <v>#N/A</v>
      </c>
      <c r="J1465" s="84" t="e">
        <f>VLOOKUP(Table13[[#This Row],[kbli5]],kata_kunci!$B:$H,6,FALSE)</f>
        <v>#N/A</v>
      </c>
      <c r="K1465" s="84" t="e">
        <f>VLOOKUP(Table13[[#This Row],[kbli5]],kata_kunci!$B:$H,7,FALSE)</f>
        <v>#N/A</v>
      </c>
    </row>
    <row r="1466" spans="1:11" ht="45.75" thickBot="1" x14ac:dyDescent="0.3">
      <c r="A1466" s="53" t="s">
        <v>86</v>
      </c>
      <c r="B1466" s="40">
        <v>88903</v>
      </c>
      <c r="C1466" s="41" t="s">
        <v>95</v>
      </c>
      <c r="D1466" s="30" t="str">
        <f>VLOOKUP(Table13[[#This Row],[kbli5]],Table1[[#All],[kbli5]:[digital_hijau]],3,)</f>
        <v>Baznaz;</v>
      </c>
      <c r="E1466" s="53" t="e">
        <f>VLOOKUP(Table13[[#This Row],[kbli5]],kata_kunci!$B:$H,4,FALSE)</f>
        <v>#N/A</v>
      </c>
      <c r="F1466" s="53" t="str">
        <f>VLOOKUP(Table13[[#This Row],[kbli5]],Table1[[#All],[kbli5]:[digital_hijau]],5,)</f>
        <v>Esensial</v>
      </c>
      <c r="G1466" s="53">
        <f>VLOOKUP(Table13[[#This Row],[kbli5]],Table1[[#All],[kbli5]:[digital_hijau]],6,)</f>
        <v>0</v>
      </c>
      <c r="H1466" s="54" t="e">
        <f>VLOOKUP(Table13[[#This Row],[kbli5]],kata_kunci!$B:$H,3,FALSE)</f>
        <v>#N/A</v>
      </c>
      <c r="I1466" s="84" t="e">
        <f>VLOOKUP(Table13[[#This Row],[kbli5]],kata_kunci!$B:$H,5,FALSE)</f>
        <v>#N/A</v>
      </c>
      <c r="J1466" s="84" t="e">
        <f>VLOOKUP(Table13[[#This Row],[kbli5]],kata_kunci!$B:$H,6,FALSE)</f>
        <v>#N/A</v>
      </c>
      <c r="K1466" s="84" t="e">
        <f>VLOOKUP(Table13[[#This Row],[kbli5]],kata_kunci!$B:$H,7,FALSE)</f>
        <v>#N/A</v>
      </c>
    </row>
    <row r="1467" spans="1:11" ht="45.75" thickBot="1" x14ac:dyDescent="0.3">
      <c r="A1467" s="53" t="s">
        <v>86</v>
      </c>
      <c r="B1467" s="40">
        <v>88904</v>
      </c>
      <c r="C1467" s="41" t="s">
        <v>1652</v>
      </c>
      <c r="D1467" s="30" t="e">
        <f>VLOOKUP(Table13[[#This Row],[kbli5]],Table1[[#All],[kbli5]:[digital_hijau]],3,)</f>
        <v>#N/A</v>
      </c>
      <c r="E1467" s="53" t="e">
        <f>VLOOKUP(Table13[[#This Row],[kbli5]],kata_kunci!$B:$H,4,FALSE)</f>
        <v>#N/A</v>
      </c>
      <c r="F1467" s="53" t="e">
        <f>VLOOKUP(Table13[[#This Row],[kbli5]],Table1[[#All],[kbli5]:[digital_hijau]],5,)</f>
        <v>#N/A</v>
      </c>
      <c r="G1467" s="53" t="e">
        <f>VLOOKUP(Table13[[#This Row],[kbli5]],Table1[[#All],[kbli5]:[digital_hijau]],6,)</f>
        <v>#N/A</v>
      </c>
      <c r="H1467" s="54" t="e">
        <f>VLOOKUP(Table13[[#This Row],[kbli5]],kata_kunci!$B:$H,3,FALSE)</f>
        <v>#N/A</v>
      </c>
      <c r="I1467" s="84" t="e">
        <f>VLOOKUP(Table13[[#This Row],[kbli5]],kata_kunci!$B:$H,5,FALSE)</f>
        <v>#N/A</v>
      </c>
      <c r="J1467" s="84" t="e">
        <f>VLOOKUP(Table13[[#This Row],[kbli5]],kata_kunci!$B:$H,6,FALSE)</f>
        <v>#N/A</v>
      </c>
      <c r="K1467" s="84" t="e">
        <f>VLOOKUP(Table13[[#This Row],[kbli5]],kata_kunci!$B:$H,7,FALSE)</f>
        <v>#N/A</v>
      </c>
    </row>
    <row r="1468" spans="1:11" ht="45.75" thickBot="1" x14ac:dyDescent="0.3">
      <c r="A1468" s="53" t="s">
        <v>86</v>
      </c>
      <c r="B1468" s="40">
        <v>88905</v>
      </c>
      <c r="C1468" s="41" t="s">
        <v>1653</v>
      </c>
      <c r="D1468" s="30" t="e">
        <f>VLOOKUP(Table13[[#This Row],[kbli5]],Table1[[#All],[kbli5]:[digital_hijau]],3,)</f>
        <v>#N/A</v>
      </c>
      <c r="E1468" s="53" t="e">
        <f>VLOOKUP(Table13[[#This Row],[kbli5]],kata_kunci!$B:$H,4,FALSE)</f>
        <v>#N/A</v>
      </c>
      <c r="F1468" s="53" t="e">
        <f>VLOOKUP(Table13[[#This Row],[kbli5]],Table1[[#All],[kbli5]:[digital_hijau]],5,)</f>
        <v>#N/A</v>
      </c>
      <c r="G1468" s="53" t="e">
        <f>VLOOKUP(Table13[[#This Row],[kbli5]],Table1[[#All],[kbli5]:[digital_hijau]],6,)</f>
        <v>#N/A</v>
      </c>
      <c r="H1468" s="54" t="e">
        <f>VLOOKUP(Table13[[#This Row],[kbli5]],kata_kunci!$B:$H,3,FALSE)</f>
        <v>#N/A</v>
      </c>
      <c r="I1468" s="84" t="e">
        <f>VLOOKUP(Table13[[#This Row],[kbli5]],kata_kunci!$B:$H,5,FALSE)</f>
        <v>#N/A</v>
      </c>
      <c r="J1468" s="84" t="e">
        <f>VLOOKUP(Table13[[#This Row],[kbli5]],kata_kunci!$B:$H,6,FALSE)</f>
        <v>#N/A</v>
      </c>
      <c r="K1468" s="84" t="e">
        <f>VLOOKUP(Table13[[#This Row],[kbli5]],kata_kunci!$B:$H,7,FALSE)</f>
        <v>#N/A</v>
      </c>
    </row>
    <row r="1469" spans="1:11" ht="30.75" thickBot="1" x14ac:dyDescent="0.3">
      <c r="A1469" s="53" t="s">
        <v>86</v>
      </c>
      <c r="B1469" s="40">
        <v>88906</v>
      </c>
      <c r="C1469" s="41" t="s">
        <v>96</v>
      </c>
      <c r="D1469" s="30" t="str">
        <f>VLOOKUP(Table13[[#This Row],[kbli5]],Table1[[#All],[kbli5]:[digital_hijau]],3,)</f>
        <v>KB (Belajar sambil bermain); playgroup; Alumna;</v>
      </c>
      <c r="E1469" s="53" t="e">
        <f>VLOOKUP(Table13[[#This Row],[kbli5]],kata_kunci!$B:$H,4,FALSE)</f>
        <v>#N/A</v>
      </c>
      <c r="F1469" s="53" t="str">
        <f>VLOOKUP(Table13[[#This Row],[kbli5]],Table1[[#All],[kbli5]:[digital_hijau]],5,)</f>
        <v>Esensial</v>
      </c>
      <c r="G1469" s="53">
        <f>VLOOKUP(Table13[[#This Row],[kbli5]],Table1[[#All],[kbli5]:[digital_hijau]],6,)</f>
        <v>0</v>
      </c>
      <c r="H1469" s="54" t="e">
        <f>VLOOKUP(Table13[[#This Row],[kbli5]],kata_kunci!$B:$H,3,FALSE)</f>
        <v>#N/A</v>
      </c>
      <c r="I1469" s="84" t="e">
        <f>VLOOKUP(Table13[[#This Row],[kbli5]],kata_kunci!$B:$H,5,FALSE)</f>
        <v>#N/A</v>
      </c>
      <c r="J1469" s="84" t="e">
        <f>VLOOKUP(Table13[[#This Row],[kbli5]],kata_kunci!$B:$H,6,FALSE)</f>
        <v>#N/A</v>
      </c>
      <c r="K1469" s="84" t="e">
        <f>VLOOKUP(Table13[[#This Row],[kbli5]],kata_kunci!$B:$H,7,FALSE)</f>
        <v>#N/A</v>
      </c>
    </row>
    <row r="1470" spans="1:11" ht="30.75" thickBot="1" x14ac:dyDescent="0.3">
      <c r="A1470" s="53" t="s">
        <v>86</v>
      </c>
      <c r="B1470" s="40">
        <v>88907</v>
      </c>
      <c r="C1470" s="41" t="s">
        <v>97</v>
      </c>
      <c r="D1470" s="30" t="str">
        <f>VLOOKUP(Table13[[#This Row],[kbli5]],Table1[[#All],[kbli5]:[digital_hijau]],3,)</f>
        <v>TPA (penitipan dan pengasuhan anak); Daycare;</v>
      </c>
      <c r="E1470" s="53" t="e">
        <f>VLOOKUP(Table13[[#This Row],[kbli5]],kata_kunci!$B:$H,4,FALSE)</f>
        <v>#N/A</v>
      </c>
      <c r="F1470" s="53" t="str">
        <f>VLOOKUP(Table13[[#This Row],[kbli5]],Table1[[#All],[kbli5]:[digital_hijau]],5,)</f>
        <v>Esensial</v>
      </c>
      <c r="G1470" s="53">
        <f>VLOOKUP(Table13[[#This Row],[kbli5]],Table1[[#All],[kbli5]:[digital_hijau]],6,)</f>
        <v>0</v>
      </c>
      <c r="H1470" s="54" t="e">
        <f>VLOOKUP(Table13[[#This Row],[kbli5]],kata_kunci!$B:$H,3,FALSE)</f>
        <v>#N/A</v>
      </c>
      <c r="I1470" s="84" t="e">
        <f>VLOOKUP(Table13[[#This Row],[kbli5]],kata_kunci!$B:$H,5,FALSE)</f>
        <v>#N/A</v>
      </c>
      <c r="J1470" s="84" t="e">
        <f>VLOOKUP(Table13[[#This Row],[kbli5]],kata_kunci!$B:$H,6,FALSE)</f>
        <v>#N/A</v>
      </c>
      <c r="K1470" s="84" t="e">
        <f>VLOOKUP(Table13[[#This Row],[kbli5]],kata_kunci!$B:$H,7,FALSE)</f>
        <v>#N/A</v>
      </c>
    </row>
    <row r="1471" spans="1:11" ht="30.75" thickBot="1" x14ac:dyDescent="0.3">
      <c r="A1471" s="53" t="s">
        <v>98</v>
      </c>
      <c r="B1471" s="40">
        <v>90111</v>
      </c>
      <c r="C1471" s="41" t="s">
        <v>99</v>
      </c>
      <c r="D1471" s="30" t="str">
        <f>VLOOKUP(Table13[[#This Row],[kbli5]],Table1[[#All],[kbli5]:[digital_hijau]],3,)</f>
        <v>Penyair; blogger independen;</v>
      </c>
      <c r="E1471" s="53" t="e">
        <f>VLOOKUP(Table13[[#This Row],[kbli5]],kata_kunci!$B:$H,4,FALSE)</f>
        <v>#N/A</v>
      </c>
      <c r="F1471" s="53" t="str">
        <f>VLOOKUP(Table13[[#This Row],[kbli5]],Table1[[#All],[kbli5]:[digital_hijau]],5,)</f>
        <v>Umum Ditemukan</v>
      </c>
      <c r="G1471" s="35" t="s">
        <v>2090</v>
      </c>
      <c r="H1471" s="89" t="e">
        <f>VLOOKUP(Table13[[#This Row],[kbli5]],kata_kunci!$B:$H,3,FALSE)</f>
        <v>#N/A</v>
      </c>
      <c r="I1471" s="84" t="e">
        <f>VLOOKUP(Table13[[#This Row],[kbli5]],kata_kunci!$B:$H,5,FALSE)</f>
        <v>#N/A</v>
      </c>
      <c r="J1471" s="84" t="e">
        <f>VLOOKUP(Table13[[#This Row],[kbli5]],kata_kunci!$B:$H,6,FALSE)</f>
        <v>#N/A</v>
      </c>
      <c r="K1471" s="84" t="e">
        <f>VLOOKUP(Table13[[#This Row],[kbli5]],kata_kunci!$B:$H,7,FALSE)</f>
        <v>#N/A</v>
      </c>
    </row>
    <row r="1472" spans="1:11" ht="30.75" thickBot="1" x14ac:dyDescent="0.3">
      <c r="A1472" s="53" t="s">
        <v>98</v>
      </c>
      <c r="B1472" s="40">
        <v>90112</v>
      </c>
      <c r="C1472" s="41" t="s">
        <v>100</v>
      </c>
      <c r="D1472" s="30" t="str">
        <f>VLOOKUP(Table13[[#This Row],[kbli5]],Table1[[#All],[kbli5]:[digital_hijau]],3,)</f>
        <v>komposer musik; pencipta lagu; musisi;</v>
      </c>
      <c r="E1472" s="53" t="e">
        <f>VLOOKUP(Table13[[#This Row],[kbli5]],kata_kunci!$B:$H,4,FALSE)</f>
        <v>#N/A</v>
      </c>
      <c r="F1472" s="53" t="str">
        <f>VLOOKUP(Table13[[#This Row],[kbli5]],Table1[[#All],[kbli5]:[digital_hijau]],5,)</f>
        <v>Umum Ditemukan</v>
      </c>
      <c r="G1472" s="53">
        <f>VLOOKUP(Table13[[#This Row],[kbli5]],Table1[[#All],[kbli5]:[digital_hijau]],6,)</f>
        <v>0</v>
      </c>
      <c r="H1472" s="54" t="e">
        <f>VLOOKUP(Table13[[#This Row],[kbli5]],kata_kunci!$B:$H,3,FALSE)</f>
        <v>#N/A</v>
      </c>
      <c r="I1472" s="84" t="e">
        <f>VLOOKUP(Table13[[#This Row],[kbli5]],kata_kunci!$B:$H,5,FALSE)</f>
        <v>#N/A</v>
      </c>
      <c r="J1472" s="84" t="e">
        <f>VLOOKUP(Table13[[#This Row],[kbli5]],kata_kunci!$B:$H,6,FALSE)</f>
        <v>#N/A</v>
      </c>
      <c r="K1472" s="84" t="e">
        <f>VLOOKUP(Table13[[#This Row],[kbli5]],kata_kunci!$B:$H,7,FALSE)</f>
        <v>#N/A</v>
      </c>
    </row>
    <row r="1473" spans="1:11" ht="30.75" thickBot="1" x14ac:dyDescent="0.3">
      <c r="A1473" s="53" t="s">
        <v>98</v>
      </c>
      <c r="B1473" s="40">
        <v>90113</v>
      </c>
      <c r="C1473" s="41" t="s">
        <v>1654</v>
      </c>
      <c r="D1473" s="30" t="e">
        <f>VLOOKUP(Table13[[#This Row],[kbli5]],Table1[[#All],[kbli5]:[digital_hijau]],3,)</f>
        <v>#N/A</v>
      </c>
      <c r="E1473" s="53" t="e">
        <f>VLOOKUP(Table13[[#This Row],[kbli5]],kata_kunci!$B:$H,4,FALSE)</f>
        <v>#N/A</v>
      </c>
      <c r="F1473" s="53" t="e">
        <f>VLOOKUP(Table13[[#This Row],[kbli5]],Table1[[#All],[kbli5]:[digital_hijau]],5,)</f>
        <v>#N/A</v>
      </c>
      <c r="G1473" s="35" t="s">
        <v>2090</v>
      </c>
      <c r="H1473" s="89" t="e">
        <f>VLOOKUP(Table13[[#This Row],[kbli5]],kata_kunci!$B:$H,3,FALSE)</f>
        <v>#N/A</v>
      </c>
      <c r="I1473" s="84" t="e">
        <f>VLOOKUP(Table13[[#This Row],[kbli5]],kata_kunci!$B:$H,5,FALSE)</f>
        <v>#N/A</v>
      </c>
      <c r="J1473" s="84" t="e">
        <f>VLOOKUP(Table13[[#This Row],[kbli5]],kata_kunci!$B:$H,6,FALSE)</f>
        <v>#N/A</v>
      </c>
      <c r="K1473" s="84" t="e">
        <f>VLOOKUP(Table13[[#This Row],[kbli5]],kata_kunci!$B:$H,7,FALSE)</f>
        <v>#N/A</v>
      </c>
    </row>
    <row r="1474" spans="1:11" ht="30.75" thickBot="1" x14ac:dyDescent="0.3">
      <c r="A1474" s="53" t="s">
        <v>98</v>
      </c>
      <c r="B1474" s="40">
        <v>90120</v>
      </c>
      <c r="C1474" s="41" t="s">
        <v>101</v>
      </c>
      <c r="D1474" s="30" t="str">
        <f>VLOOKUP(Table13[[#This Row],[kbli5]],Table1[[#All],[kbli5]:[digital_hijau]],3,)</f>
        <v>pelukis; pematung; kartunis; pensketsa; karya seni digital;</v>
      </c>
      <c r="E1474" s="53" t="e">
        <f>VLOOKUP(Table13[[#This Row],[kbli5]],kata_kunci!$B:$H,4,FALSE)</f>
        <v>#N/A</v>
      </c>
      <c r="F1474" s="53" t="str">
        <f>VLOOKUP(Table13[[#This Row],[kbli5]],Table1[[#All],[kbli5]:[digital_hijau]],5,)</f>
        <v>Umum Ditemukan</v>
      </c>
      <c r="G1474" s="53">
        <f>VLOOKUP(Table13[[#This Row],[kbli5]],Table1[[#All],[kbli5]:[digital_hijau]],6,)</f>
        <v>0</v>
      </c>
      <c r="H1474" s="54" t="e">
        <f>VLOOKUP(Table13[[#This Row],[kbli5]],kata_kunci!$B:$H,3,FALSE)</f>
        <v>#N/A</v>
      </c>
      <c r="I1474" s="84" t="e">
        <f>VLOOKUP(Table13[[#This Row],[kbli5]],kata_kunci!$B:$H,5,FALSE)</f>
        <v>#N/A</v>
      </c>
      <c r="J1474" s="84" t="e">
        <f>VLOOKUP(Table13[[#This Row],[kbli5]],kata_kunci!$B:$H,6,FALSE)</f>
        <v>#N/A</v>
      </c>
      <c r="K1474" s="84" t="e">
        <f>VLOOKUP(Table13[[#This Row],[kbli5]],kata_kunci!$B:$H,7,FALSE)</f>
        <v>#N/A</v>
      </c>
    </row>
    <row r="1475" spans="1:11" ht="30.75" thickBot="1" x14ac:dyDescent="0.3">
      <c r="A1475" s="53" t="s">
        <v>98</v>
      </c>
      <c r="B1475" s="40">
        <v>90130</v>
      </c>
      <c r="C1475" s="41" t="s">
        <v>102</v>
      </c>
      <c r="D1475" s="30" t="str">
        <f>VLOOKUP(Table13[[#This Row],[kbli5]],Table1[[#All],[kbli5]:[digital_hijau]],3,)</f>
        <v xml:space="preserve">Aktv penciptaan karya seni lainnya; fashion stylist; koreografer; </v>
      </c>
      <c r="E1475" s="53" t="e">
        <f>VLOOKUP(Table13[[#This Row],[kbli5]],kata_kunci!$B:$H,4,FALSE)</f>
        <v>#N/A</v>
      </c>
      <c r="F1475" s="53" t="str">
        <f>VLOOKUP(Table13[[#This Row],[kbli5]],Table1[[#All],[kbli5]:[digital_hijau]],5,)</f>
        <v>Umum Ditemukan</v>
      </c>
      <c r="G1475" s="53">
        <f>VLOOKUP(Table13[[#This Row],[kbli5]],Table1[[#All],[kbli5]:[digital_hijau]],6,)</f>
        <v>0</v>
      </c>
      <c r="H1475" s="54" t="e">
        <f>VLOOKUP(Table13[[#This Row],[kbli5]],kata_kunci!$B:$H,3,FALSE)</f>
        <v>#N/A</v>
      </c>
      <c r="I1475" s="84" t="e">
        <f>VLOOKUP(Table13[[#This Row],[kbli5]],kata_kunci!$B:$H,5,FALSE)</f>
        <v>#N/A</v>
      </c>
      <c r="J1475" s="84" t="e">
        <f>VLOOKUP(Table13[[#This Row],[kbli5]],kata_kunci!$B:$H,6,FALSE)</f>
        <v>#N/A</v>
      </c>
      <c r="K1475" s="84" t="e">
        <f>VLOOKUP(Table13[[#This Row],[kbli5]],kata_kunci!$B:$H,7,FALSE)</f>
        <v>#N/A</v>
      </c>
    </row>
    <row r="1476" spans="1:11" ht="90" thickBot="1" x14ac:dyDescent="0.3">
      <c r="A1476" s="53" t="s">
        <v>98</v>
      </c>
      <c r="B1476" s="40">
        <v>90200</v>
      </c>
      <c r="C1476" s="41" t="s">
        <v>103</v>
      </c>
      <c r="D1476" s="30" t="str">
        <f>VLOOKUP(Table13[[#This Row],[kbli5]],Table1[[#All],[kbli5]:[digital_hijau]],3,)</f>
        <v>sirkus; stand up comedian; band; orkestra; penari; musisi (orgen tunggal); teater; opera; foto model; influencer; konten creator; youtuber pembuat vlog/konten; wayang; musikalisasi puisi; affiliator (shopee/tiktok/lainnya); pemain kompang; silat untuk penyambutan; band;</v>
      </c>
      <c r="E1476" s="53" t="e">
        <f>VLOOKUP(Table13[[#This Row],[kbli5]],kata_kunci!$B:$H,4,FALSE)</f>
        <v>#N/A</v>
      </c>
      <c r="F1476" s="53" t="str">
        <f>VLOOKUP(Table13[[#This Row],[kbli5]],Table1[[#All],[kbli5]:[digital_hijau]],5,)</f>
        <v>Umum Ditemukan</v>
      </c>
      <c r="G1476" s="35" t="s">
        <v>2090</v>
      </c>
      <c r="H1476" s="89" t="e">
        <f>VLOOKUP(Table13[[#This Row],[kbli5]],kata_kunci!$B:$H,3,FALSE)</f>
        <v>#N/A</v>
      </c>
      <c r="I1476" s="84" t="e">
        <f>VLOOKUP(Table13[[#This Row],[kbli5]],kata_kunci!$B:$H,5,FALSE)</f>
        <v>#N/A</v>
      </c>
      <c r="J1476" s="84" t="e">
        <f>VLOOKUP(Table13[[#This Row],[kbli5]],kata_kunci!$B:$H,6,FALSE)</f>
        <v>#N/A</v>
      </c>
      <c r="K1476" s="84" t="e">
        <f>VLOOKUP(Table13[[#This Row],[kbli5]],kata_kunci!$B:$H,7,FALSE)</f>
        <v>#N/A</v>
      </c>
    </row>
    <row r="1477" spans="1:11" ht="45.75" thickBot="1" x14ac:dyDescent="0.3">
      <c r="A1477" s="53" t="s">
        <v>98</v>
      </c>
      <c r="B1477" s="40">
        <v>90310</v>
      </c>
      <c r="C1477" s="41" t="s">
        <v>1655</v>
      </c>
      <c r="D1477" s="30" t="e">
        <f>VLOOKUP(Table13[[#This Row],[kbli5]],Table1[[#All],[kbli5]:[digital_hijau]],3,)</f>
        <v>#N/A</v>
      </c>
      <c r="E1477" s="53" t="e">
        <f>VLOOKUP(Table13[[#This Row],[kbli5]],kata_kunci!$B:$H,4,FALSE)</f>
        <v>#N/A</v>
      </c>
      <c r="F1477" s="53" t="e">
        <f>VLOOKUP(Table13[[#This Row],[kbli5]],Table1[[#All],[kbli5]:[digital_hijau]],5,)</f>
        <v>#N/A</v>
      </c>
      <c r="G1477" s="53" t="e">
        <f>VLOOKUP(Table13[[#This Row],[kbli5]],Table1[[#All],[kbli5]:[digital_hijau]],6,)</f>
        <v>#N/A</v>
      </c>
      <c r="H1477" s="54" t="e">
        <f>VLOOKUP(Table13[[#This Row],[kbli5]],kata_kunci!$B:$H,3,FALSE)</f>
        <v>#N/A</v>
      </c>
      <c r="I1477" s="84" t="e">
        <f>VLOOKUP(Table13[[#This Row],[kbli5]],kata_kunci!$B:$H,5,FALSE)</f>
        <v>#N/A</v>
      </c>
      <c r="J1477" s="84" t="e">
        <f>VLOOKUP(Table13[[#This Row],[kbli5]],kata_kunci!$B:$H,6,FALSE)</f>
        <v>#N/A</v>
      </c>
      <c r="K1477" s="84" t="e">
        <f>VLOOKUP(Table13[[#This Row],[kbli5]],kata_kunci!$B:$H,7,FALSE)</f>
        <v>#N/A</v>
      </c>
    </row>
    <row r="1478" spans="1:11" ht="45.75" thickBot="1" x14ac:dyDescent="0.3">
      <c r="A1478" s="53" t="s">
        <v>98</v>
      </c>
      <c r="B1478" s="40">
        <v>90391</v>
      </c>
      <c r="C1478" s="41" t="s">
        <v>104</v>
      </c>
      <c r="D1478" s="30" t="str">
        <f>VLOOKUP(Table13[[#This Row],[kbli5]],Table1[[#All],[kbli5]:[digital_hijau]],3,)</f>
        <v>vendor/promotor/EO kegiatan kesenian;</v>
      </c>
      <c r="E1478" s="53" t="e">
        <f>VLOOKUP(Table13[[#This Row],[kbli5]],kata_kunci!$B:$H,4,FALSE)</f>
        <v>#N/A</v>
      </c>
      <c r="F1478" s="53" t="str">
        <f>VLOOKUP(Table13[[#This Row],[kbli5]],Table1[[#All],[kbli5]:[digital_hijau]],5,)</f>
        <v>Umum Ditemukan</v>
      </c>
      <c r="G1478" s="53">
        <f>VLOOKUP(Table13[[#This Row],[kbli5]],Table1[[#All],[kbli5]:[digital_hijau]],6,)</f>
        <v>0</v>
      </c>
      <c r="H1478" s="54" t="e">
        <f>VLOOKUP(Table13[[#This Row],[kbli5]],kata_kunci!$B:$H,3,FALSE)</f>
        <v>#N/A</v>
      </c>
      <c r="I1478" s="84" t="e">
        <f>VLOOKUP(Table13[[#This Row],[kbli5]],kata_kunci!$B:$H,5,FALSE)</f>
        <v>#N/A</v>
      </c>
      <c r="J1478" s="84" t="e">
        <f>VLOOKUP(Table13[[#This Row],[kbli5]],kata_kunci!$B:$H,6,FALSE)</f>
        <v>#N/A</v>
      </c>
      <c r="K1478" s="84" t="e">
        <f>VLOOKUP(Table13[[#This Row],[kbli5]],kata_kunci!$B:$H,7,FALSE)</f>
        <v>#N/A</v>
      </c>
    </row>
    <row r="1479" spans="1:11" ht="45.75" thickBot="1" x14ac:dyDescent="0.3">
      <c r="A1479" s="53" t="s">
        <v>98</v>
      </c>
      <c r="B1479" s="40">
        <v>90399</v>
      </c>
      <c r="C1479" s="41" t="s">
        <v>105</v>
      </c>
      <c r="D1479" s="30" t="str">
        <f>VLOOKUP(Table13[[#This Row],[kbli5]],Table1[[#All],[kbli5]:[digital_hijau]],3,)</f>
        <v>sutradara &amp; produser seni pertunjukan; manager panggung; desainer panggung; penata suara; penata cahaya; penata layar;</v>
      </c>
      <c r="E1479" s="53" t="e">
        <f>VLOOKUP(Table13[[#This Row],[kbli5]],kata_kunci!$B:$H,4,FALSE)</f>
        <v>#N/A</v>
      </c>
      <c r="F1479" s="53" t="str">
        <f>VLOOKUP(Table13[[#This Row],[kbli5]],Table1[[#All],[kbli5]:[digital_hijau]],5,)</f>
        <v>Umum Ditemukan</v>
      </c>
      <c r="G1479" s="53">
        <f>VLOOKUP(Table13[[#This Row],[kbli5]],Table1[[#All],[kbli5]:[digital_hijau]],6,)</f>
        <v>0</v>
      </c>
      <c r="H1479" s="54" t="e">
        <f>VLOOKUP(Table13[[#This Row],[kbli5]],kata_kunci!$B:$H,3,FALSE)</f>
        <v>#N/A</v>
      </c>
      <c r="I1479" s="84" t="e">
        <f>VLOOKUP(Table13[[#This Row],[kbli5]],kata_kunci!$B:$H,5,FALSE)</f>
        <v>#N/A</v>
      </c>
      <c r="J1479" s="84" t="e">
        <f>VLOOKUP(Table13[[#This Row],[kbli5]],kata_kunci!$B:$H,6,FALSE)</f>
        <v>#N/A</v>
      </c>
      <c r="K1479" s="84" t="e">
        <f>VLOOKUP(Table13[[#This Row],[kbli5]],kata_kunci!$B:$H,7,FALSE)</f>
        <v>#N/A</v>
      </c>
    </row>
    <row r="1480" spans="1:11" ht="30.75" thickBot="1" x14ac:dyDescent="0.3">
      <c r="A1480" s="53" t="s">
        <v>98</v>
      </c>
      <c r="B1480" s="40">
        <v>91111</v>
      </c>
      <c r="C1480" s="41" t="s">
        <v>106</v>
      </c>
      <c r="D1480" s="30" t="str">
        <f>VLOOKUP(Table13[[#This Row],[kbli5]],Table1[[#All],[kbli5]:[digital_hijau]],3,)</f>
        <v>Perpustakaan Pemerintah; Perpustakaan Soeman HS;</v>
      </c>
      <c r="E1480" s="53" t="e">
        <f>VLOOKUP(Table13[[#This Row],[kbli5]],kata_kunci!$B:$H,4,FALSE)</f>
        <v>#N/A</v>
      </c>
      <c r="F1480" s="53" t="str">
        <f>VLOOKUP(Table13[[#This Row],[kbli5]],Table1[[#All],[kbli5]:[digital_hijau]],5,)</f>
        <v>Esensial</v>
      </c>
      <c r="G1480" s="53">
        <f>VLOOKUP(Table13[[#This Row],[kbli5]],Table1[[#All],[kbli5]:[digital_hijau]],6,)</f>
        <v>0</v>
      </c>
      <c r="H1480" s="54" t="e">
        <f>VLOOKUP(Table13[[#This Row],[kbli5]],kata_kunci!$B:$H,3,FALSE)</f>
        <v>#N/A</v>
      </c>
      <c r="I1480" s="84" t="e">
        <f>VLOOKUP(Table13[[#This Row],[kbli5]],kata_kunci!$B:$H,5,FALSE)</f>
        <v>#N/A</v>
      </c>
      <c r="J1480" s="84" t="e">
        <f>VLOOKUP(Table13[[#This Row],[kbli5]],kata_kunci!$B:$H,6,FALSE)</f>
        <v>#N/A</v>
      </c>
      <c r="K1480" s="84" t="e">
        <f>VLOOKUP(Table13[[#This Row],[kbli5]],kata_kunci!$B:$H,7,FALSE)</f>
        <v>#N/A</v>
      </c>
    </row>
    <row r="1481" spans="1:11" ht="30.75" thickBot="1" x14ac:dyDescent="0.3">
      <c r="A1481" s="53" t="s">
        <v>98</v>
      </c>
      <c r="B1481" s="40">
        <v>91112</v>
      </c>
      <c r="C1481" s="41" t="s">
        <v>1656</v>
      </c>
      <c r="D1481" s="30" t="e">
        <f>VLOOKUP(Table13[[#This Row],[kbli5]],Table1[[#All],[kbli5]:[digital_hijau]],3,)</f>
        <v>#N/A</v>
      </c>
      <c r="E1481" s="53" t="e">
        <f>VLOOKUP(Table13[[#This Row],[kbli5]],kata_kunci!$B:$H,4,FALSE)</f>
        <v>#N/A</v>
      </c>
      <c r="F1481" s="53" t="e">
        <f>VLOOKUP(Table13[[#This Row],[kbli5]],Table1[[#All],[kbli5]:[digital_hijau]],5,)</f>
        <v>#N/A</v>
      </c>
      <c r="G1481" s="53" t="e">
        <f>VLOOKUP(Table13[[#This Row],[kbli5]],Table1[[#All],[kbli5]:[digital_hijau]],6,)</f>
        <v>#N/A</v>
      </c>
      <c r="H1481" s="54" t="e">
        <f>VLOOKUP(Table13[[#This Row],[kbli5]],kata_kunci!$B:$H,3,FALSE)</f>
        <v>#N/A</v>
      </c>
      <c r="I1481" s="84" t="e">
        <f>VLOOKUP(Table13[[#This Row],[kbli5]],kata_kunci!$B:$H,5,FALSE)</f>
        <v>#N/A</v>
      </c>
      <c r="J1481" s="84" t="e">
        <f>VLOOKUP(Table13[[#This Row],[kbli5]],kata_kunci!$B:$H,6,FALSE)</f>
        <v>#N/A</v>
      </c>
      <c r="K1481" s="84" t="e">
        <f>VLOOKUP(Table13[[#This Row],[kbli5]],kata_kunci!$B:$H,7,FALSE)</f>
        <v>#N/A</v>
      </c>
    </row>
    <row r="1482" spans="1:11" ht="30.75" thickBot="1" x14ac:dyDescent="0.3">
      <c r="A1482" s="53" t="s">
        <v>98</v>
      </c>
      <c r="B1482" s="40">
        <v>91121</v>
      </c>
      <c r="C1482" s="41" t="s">
        <v>1657</v>
      </c>
      <c r="D1482" s="30" t="e">
        <f>VLOOKUP(Table13[[#This Row],[kbli5]],Table1[[#All],[kbli5]:[digital_hijau]],3,)</f>
        <v>#N/A</v>
      </c>
      <c r="E1482" s="53" t="e">
        <f>VLOOKUP(Table13[[#This Row],[kbli5]],kata_kunci!$B:$H,4,FALSE)</f>
        <v>#N/A</v>
      </c>
      <c r="F1482" s="53" t="e">
        <f>VLOOKUP(Table13[[#This Row],[kbli5]],Table1[[#All],[kbli5]:[digital_hijau]],5,)</f>
        <v>#N/A</v>
      </c>
      <c r="G1482" s="53" t="e">
        <f>VLOOKUP(Table13[[#This Row],[kbli5]],Table1[[#All],[kbli5]:[digital_hijau]],6,)</f>
        <v>#N/A</v>
      </c>
      <c r="H1482" s="54" t="e">
        <f>VLOOKUP(Table13[[#This Row],[kbli5]],kata_kunci!$B:$H,3,FALSE)</f>
        <v>#N/A</v>
      </c>
      <c r="I1482" s="84" t="e">
        <f>VLOOKUP(Table13[[#This Row],[kbli5]],kata_kunci!$B:$H,5,FALSE)</f>
        <v>#N/A</v>
      </c>
      <c r="J1482" s="84" t="e">
        <f>VLOOKUP(Table13[[#This Row],[kbli5]],kata_kunci!$B:$H,6,FALSE)</f>
        <v>#N/A</v>
      </c>
      <c r="K1482" s="84" t="e">
        <f>VLOOKUP(Table13[[#This Row],[kbli5]],kata_kunci!$B:$H,7,FALSE)</f>
        <v>#N/A</v>
      </c>
    </row>
    <row r="1483" spans="1:11" ht="30.75" thickBot="1" x14ac:dyDescent="0.3">
      <c r="A1483" s="53" t="s">
        <v>98</v>
      </c>
      <c r="B1483" s="40">
        <v>91122</v>
      </c>
      <c r="C1483" s="41" t="s">
        <v>1658</v>
      </c>
      <c r="D1483" s="30" t="e">
        <f>VLOOKUP(Table13[[#This Row],[kbli5]],Table1[[#All],[kbli5]:[digital_hijau]],3,)</f>
        <v>#N/A</v>
      </c>
      <c r="E1483" s="53" t="e">
        <f>VLOOKUP(Table13[[#This Row],[kbli5]],kata_kunci!$B:$H,4,FALSE)</f>
        <v>#N/A</v>
      </c>
      <c r="F1483" s="53" t="e">
        <f>VLOOKUP(Table13[[#This Row],[kbli5]],Table1[[#All],[kbli5]:[digital_hijau]],5,)</f>
        <v>#N/A</v>
      </c>
      <c r="G1483" s="53" t="e">
        <f>VLOOKUP(Table13[[#This Row],[kbli5]],Table1[[#All],[kbli5]:[digital_hijau]],6,)</f>
        <v>#N/A</v>
      </c>
      <c r="H1483" s="54" t="e">
        <f>VLOOKUP(Table13[[#This Row],[kbli5]],kata_kunci!$B:$H,3,FALSE)</f>
        <v>#N/A</v>
      </c>
      <c r="I1483" s="84" t="e">
        <f>VLOOKUP(Table13[[#This Row],[kbli5]],kata_kunci!$B:$H,5,FALSE)</f>
        <v>#N/A</v>
      </c>
      <c r="J1483" s="84" t="e">
        <f>VLOOKUP(Table13[[#This Row],[kbli5]],kata_kunci!$B:$H,6,FALSE)</f>
        <v>#N/A</v>
      </c>
      <c r="K1483" s="84" t="e">
        <f>VLOOKUP(Table13[[#This Row],[kbli5]],kata_kunci!$B:$H,7,FALSE)</f>
        <v>#N/A</v>
      </c>
    </row>
    <row r="1484" spans="1:11" ht="30.75" thickBot="1" x14ac:dyDescent="0.3">
      <c r="A1484" s="53" t="s">
        <v>98</v>
      </c>
      <c r="B1484" s="40">
        <v>91211</v>
      </c>
      <c r="C1484" s="41" t="s">
        <v>107</v>
      </c>
      <c r="D1484" s="30" t="str">
        <f>VLOOKUP(Table13[[#This Row],[kbli5]],Table1[[#All],[kbli5]:[digital_hijau]],3,)</f>
        <v>Museum Pemerintah; Istana Siak;</v>
      </c>
      <c r="E1484" s="53" t="e">
        <f>VLOOKUP(Table13[[#This Row],[kbli5]],kata_kunci!$B:$H,4,FALSE)</f>
        <v>#N/A</v>
      </c>
      <c r="F1484" s="53" t="str">
        <f>VLOOKUP(Table13[[#This Row],[kbli5]],Table1[[#All],[kbli5]:[digital_hijau]],5,)</f>
        <v>Esensial</v>
      </c>
      <c r="G1484" s="53">
        <f>VLOOKUP(Table13[[#This Row],[kbli5]],Table1[[#All],[kbli5]:[digital_hijau]],6,)</f>
        <v>0</v>
      </c>
      <c r="H1484" s="54" t="e">
        <f>VLOOKUP(Table13[[#This Row],[kbli5]],kata_kunci!$B:$H,3,FALSE)</f>
        <v>#N/A</v>
      </c>
      <c r="I1484" s="84" t="e">
        <f>VLOOKUP(Table13[[#This Row],[kbli5]],kata_kunci!$B:$H,5,FALSE)</f>
        <v>#N/A</v>
      </c>
      <c r="J1484" s="84" t="e">
        <f>VLOOKUP(Table13[[#This Row],[kbli5]],kata_kunci!$B:$H,6,FALSE)</f>
        <v>#N/A</v>
      </c>
      <c r="K1484" s="84" t="e">
        <f>VLOOKUP(Table13[[#This Row],[kbli5]],kata_kunci!$B:$H,7,FALSE)</f>
        <v>#N/A</v>
      </c>
    </row>
    <row r="1485" spans="1:11" ht="30.75" thickBot="1" x14ac:dyDescent="0.3">
      <c r="A1485" s="53" t="s">
        <v>98</v>
      </c>
      <c r="B1485" s="40">
        <v>91212</v>
      </c>
      <c r="C1485" s="41" t="s">
        <v>1659</v>
      </c>
      <c r="D1485" s="30" t="e">
        <f>VLOOKUP(Table13[[#This Row],[kbli5]],Table1[[#All],[kbli5]:[digital_hijau]],3,)</f>
        <v>#N/A</v>
      </c>
      <c r="E1485" s="53" t="e">
        <f>VLOOKUP(Table13[[#This Row],[kbli5]],kata_kunci!$B:$H,4,FALSE)</f>
        <v>#N/A</v>
      </c>
      <c r="F1485" s="53" t="e">
        <f>VLOOKUP(Table13[[#This Row],[kbli5]],Table1[[#All],[kbli5]:[digital_hijau]],5,)</f>
        <v>#N/A</v>
      </c>
      <c r="G1485" s="53" t="e">
        <f>VLOOKUP(Table13[[#This Row],[kbli5]],Table1[[#All],[kbli5]:[digital_hijau]],6,)</f>
        <v>#N/A</v>
      </c>
      <c r="H1485" s="54" t="e">
        <f>VLOOKUP(Table13[[#This Row],[kbli5]],kata_kunci!$B:$H,3,FALSE)</f>
        <v>#N/A</v>
      </c>
      <c r="I1485" s="84" t="e">
        <f>VLOOKUP(Table13[[#This Row],[kbli5]],kata_kunci!$B:$H,5,FALSE)</f>
        <v>#N/A</v>
      </c>
      <c r="J1485" s="84" t="e">
        <f>VLOOKUP(Table13[[#This Row],[kbli5]],kata_kunci!$B:$H,6,FALSE)</f>
        <v>#N/A</v>
      </c>
      <c r="K1485" s="84" t="e">
        <f>VLOOKUP(Table13[[#This Row],[kbli5]],kata_kunci!$B:$H,7,FALSE)</f>
        <v>#N/A</v>
      </c>
    </row>
    <row r="1486" spans="1:11" ht="45.75" thickBot="1" x14ac:dyDescent="0.3">
      <c r="A1486" s="53" t="s">
        <v>98</v>
      </c>
      <c r="B1486" s="40">
        <v>91221</v>
      </c>
      <c r="C1486" s="41" t="s">
        <v>108</v>
      </c>
      <c r="D1486" s="30" t="str">
        <f>VLOOKUP(Table13[[#This Row],[kbli5]],Table1[[#All],[kbli5]:[digital_hijau]],3,)</f>
        <v>Situs Bersejarah; Candi Muara Takus;</v>
      </c>
      <c r="E1486" s="53" t="e">
        <f>VLOOKUP(Table13[[#This Row],[kbli5]],kata_kunci!$B:$H,4,FALSE)</f>
        <v>#N/A</v>
      </c>
      <c r="F1486" s="53" t="str">
        <f>VLOOKUP(Table13[[#This Row],[kbli5]],Table1[[#All],[kbli5]:[digital_hijau]],5,)</f>
        <v>Esensial</v>
      </c>
      <c r="G1486" s="53">
        <f>VLOOKUP(Table13[[#This Row],[kbli5]],Table1[[#All],[kbli5]:[digital_hijau]],6,)</f>
        <v>0</v>
      </c>
      <c r="H1486" s="54" t="e">
        <f>VLOOKUP(Table13[[#This Row],[kbli5]],kata_kunci!$B:$H,3,FALSE)</f>
        <v>#N/A</v>
      </c>
      <c r="I1486" s="84" t="e">
        <f>VLOOKUP(Table13[[#This Row],[kbli5]],kata_kunci!$B:$H,5,FALSE)</f>
        <v>#N/A</v>
      </c>
      <c r="J1486" s="84" t="e">
        <f>VLOOKUP(Table13[[#This Row],[kbli5]],kata_kunci!$B:$H,6,FALSE)</f>
        <v>#N/A</v>
      </c>
      <c r="K1486" s="84" t="e">
        <f>VLOOKUP(Table13[[#This Row],[kbli5]],kata_kunci!$B:$H,7,FALSE)</f>
        <v>#N/A</v>
      </c>
    </row>
    <row r="1487" spans="1:11" ht="45.75" thickBot="1" x14ac:dyDescent="0.3">
      <c r="A1487" s="53" t="s">
        <v>98</v>
      </c>
      <c r="B1487" s="40">
        <v>91222</v>
      </c>
      <c r="C1487" s="41" t="s">
        <v>108</v>
      </c>
      <c r="D1487" s="30" t="e">
        <f>VLOOKUP(Table13[[#This Row],[kbli5]],Table1[[#All],[kbli5]:[digital_hijau]],3,)</f>
        <v>#N/A</v>
      </c>
      <c r="E1487" s="53" t="e">
        <f>VLOOKUP(Table13[[#This Row],[kbli5]],kata_kunci!$B:$H,4,FALSE)</f>
        <v>#N/A</v>
      </c>
      <c r="F1487" s="53" t="e">
        <f>VLOOKUP(Table13[[#This Row],[kbli5]],Table1[[#All],[kbli5]:[digital_hijau]],5,)</f>
        <v>#N/A</v>
      </c>
      <c r="G1487" s="53" t="e">
        <f>VLOOKUP(Table13[[#This Row],[kbli5]],Table1[[#All],[kbli5]:[digital_hijau]],6,)</f>
        <v>#N/A</v>
      </c>
      <c r="H1487" s="54" t="e">
        <f>VLOOKUP(Table13[[#This Row],[kbli5]],kata_kunci!$B:$H,3,FALSE)</f>
        <v>#N/A</v>
      </c>
      <c r="I1487" s="84" t="e">
        <f>VLOOKUP(Table13[[#This Row],[kbli5]],kata_kunci!$B:$H,5,FALSE)</f>
        <v>#N/A</v>
      </c>
      <c r="J1487" s="84" t="e">
        <f>VLOOKUP(Table13[[#This Row],[kbli5]],kata_kunci!$B:$H,6,FALSE)</f>
        <v>#N/A</v>
      </c>
      <c r="K1487" s="84" t="e">
        <f>VLOOKUP(Table13[[#This Row],[kbli5]],kata_kunci!$B:$H,7,FALSE)</f>
        <v>#N/A</v>
      </c>
    </row>
    <row r="1488" spans="1:11" ht="60.75" thickBot="1" x14ac:dyDescent="0.3">
      <c r="A1488" s="53" t="s">
        <v>98</v>
      </c>
      <c r="B1488" s="40">
        <v>91300</v>
      </c>
      <c r="C1488" s="41" t="s">
        <v>1660</v>
      </c>
      <c r="D1488" s="30" t="e">
        <f>VLOOKUP(Table13[[#This Row],[kbli5]],Table1[[#All],[kbli5]:[digital_hijau]],3,)</f>
        <v>#N/A</v>
      </c>
      <c r="E1488" s="53" t="e">
        <f>VLOOKUP(Table13[[#This Row],[kbli5]],kata_kunci!$B:$H,4,FALSE)</f>
        <v>#N/A</v>
      </c>
      <c r="F1488" s="53" t="e">
        <f>VLOOKUP(Table13[[#This Row],[kbli5]],Table1[[#All],[kbli5]:[digital_hijau]],5,)</f>
        <v>#N/A</v>
      </c>
      <c r="G1488" s="53" t="e">
        <f>VLOOKUP(Table13[[#This Row],[kbli5]],Table1[[#All],[kbli5]:[digital_hijau]],6,)</f>
        <v>#N/A</v>
      </c>
      <c r="H1488" s="54" t="e">
        <f>VLOOKUP(Table13[[#This Row],[kbli5]],kata_kunci!$B:$H,3,FALSE)</f>
        <v>#N/A</v>
      </c>
      <c r="I1488" s="84" t="e">
        <f>VLOOKUP(Table13[[#This Row],[kbli5]],kata_kunci!$B:$H,5,FALSE)</f>
        <v>#N/A</v>
      </c>
      <c r="J1488" s="84" t="e">
        <f>VLOOKUP(Table13[[#This Row],[kbli5]],kata_kunci!$B:$H,6,FALSE)</f>
        <v>#N/A</v>
      </c>
      <c r="K1488" s="84" t="e">
        <f>VLOOKUP(Table13[[#This Row],[kbli5]],kata_kunci!$B:$H,7,FALSE)</f>
        <v>#N/A</v>
      </c>
    </row>
    <row r="1489" spans="1:11" ht="30.75" thickBot="1" x14ac:dyDescent="0.3">
      <c r="A1489" s="53" t="s">
        <v>98</v>
      </c>
      <c r="B1489" s="40">
        <v>91410</v>
      </c>
      <c r="C1489" s="41" t="s">
        <v>1661</v>
      </c>
      <c r="D1489" s="30" t="e">
        <f>VLOOKUP(Table13[[#This Row],[kbli5]],Table1[[#All],[kbli5]:[digital_hijau]],3,)</f>
        <v>#N/A</v>
      </c>
      <c r="E1489" s="53" t="e">
        <f>VLOOKUP(Table13[[#This Row],[kbli5]],kata_kunci!$B:$H,4,FALSE)</f>
        <v>#N/A</v>
      </c>
      <c r="F1489" s="53" t="e">
        <f>VLOOKUP(Table13[[#This Row],[kbli5]],Table1[[#All],[kbli5]:[digital_hijau]],5,)</f>
        <v>#N/A</v>
      </c>
      <c r="G1489" s="53" t="e">
        <f>VLOOKUP(Table13[[#This Row],[kbli5]],Table1[[#All],[kbli5]:[digital_hijau]],6,)</f>
        <v>#N/A</v>
      </c>
      <c r="H1489" s="54" t="e">
        <f>VLOOKUP(Table13[[#This Row],[kbli5]],kata_kunci!$B:$H,3,FALSE)</f>
        <v>#N/A</v>
      </c>
      <c r="I1489" s="84" t="e">
        <f>VLOOKUP(Table13[[#This Row],[kbli5]],kata_kunci!$B:$H,5,FALSE)</f>
        <v>#N/A</v>
      </c>
      <c r="J1489" s="84" t="e">
        <f>VLOOKUP(Table13[[#This Row],[kbli5]],kata_kunci!$B:$H,6,FALSE)</f>
        <v>#N/A</v>
      </c>
      <c r="K1489" s="84" t="e">
        <f>VLOOKUP(Table13[[#This Row],[kbli5]],kata_kunci!$B:$H,7,FALSE)</f>
        <v>#N/A</v>
      </c>
    </row>
    <row r="1490" spans="1:11" ht="15.75" thickBot="1" x14ac:dyDescent="0.3">
      <c r="A1490" s="53" t="s">
        <v>98</v>
      </c>
      <c r="B1490" s="40">
        <v>91421</v>
      </c>
      <c r="C1490" s="41" t="s">
        <v>1662</v>
      </c>
      <c r="D1490" s="30" t="e">
        <f>VLOOKUP(Table13[[#This Row],[kbli5]],Table1[[#All],[kbli5]:[digital_hijau]],3,)</f>
        <v>#N/A</v>
      </c>
      <c r="E1490" s="53" t="e">
        <f>VLOOKUP(Table13[[#This Row],[kbli5]],kata_kunci!$B:$H,4,FALSE)</f>
        <v>#N/A</v>
      </c>
      <c r="F1490" s="53" t="e">
        <f>VLOOKUP(Table13[[#This Row],[kbli5]],Table1[[#All],[kbli5]:[digital_hijau]],5,)</f>
        <v>#N/A</v>
      </c>
      <c r="G1490" s="53" t="e">
        <f>VLOOKUP(Table13[[#This Row],[kbli5]],Table1[[#All],[kbli5]:[digital_hijau]],6,)</f>
        <v>#N/A</v>
      </c>
      <c r="H1490" s="54" t="e">
        <f>VLOOKUP(Table13[[#This Row],[kbli5]],kata_kunci!$B:$H,3,FALSE)</f>
        <v>#N/A</v>
      </c>
      <c r="I1490" s="84" t="e">
        <f>VLOOKUP(Table13[[#This Row],[kbli5]],kata_kunci!$B:$H,5,FALSE)</f>
        <v>#N/A</v>
      </c>
      <c r="J1490" s="84" t="e">
        <f>VLOOKUP(Table13[[#This Row],[kbli5]],kata_kunci!$B:$H,6,FALSE)</f>
        <v>#N/A</v>
      </c>
      <c r="K1490" s="84" t="e">
        <f>VLOOKUP(Table13[[#This Row],[kbli5]],kata_kunci!$B:$H,7,FALSE)</f>
        <v>#N/A</v>
      </c>
    </row>
    <row r="1491" spans="1:11" ht="15.75" thickBot="1" x14ac:dyDescent="0.3">
      <c r="A1491" s="53" t="s">
        <v>98</v>
      </c>
      <c r="B1491" s="40">
        <v>91422</v>
      </c>
      <c r="C1491" s="41" t="s">
        <v>1663</v>
      </c>
      <c r="D1491" s="30" t="e">
        <f>VLOOKUP(Table13[[#This Row],[kbli5]],Table1[[#All],[kbli5]:[digital_hijau]],3,)</f>
        <v>#N/A</v>
      </c>
      <c r="E1491" s="53" t="e">
        <f>VLOOKUP(Table13[[#This Row],[kbli5]],kata_kunci!$B:$H,4,FALSE)</f>
        <v>#N/A</v>
      </c>
      <c r="F1491" s="53" t="e">
        <f>VLOOKUP(Table13[[#This Row],[kbli5]],Table1[[#All],[kbli5]:[digital_hijau]],5,)</f>
        <v>#N/A</v>
      </c>
      <c r="G1491" s="53" t="e">
        <f>VLOOKUP(Table13[[#This Row],[kbli5]],Table1[[#All],[kbli5]:[digital_hijau]],6,)</f>
        <v>#N/A</v>
      </c>
      <c r="H1491" s="54" t="e">
        <f>VLOOKUP(Table13[[#This Row],[kbli5]],kata_kunci!$B:$H,3,FALSE)</f>
        <v>#N/A</v>
      </c>
      <c r="I1491" s="84" t="e">
        <f>VLOOKUP(Table13[[#This Row],[kbli5]],kata_kunci!$B:$H,5,FALSE)</f>
        <v>#N/A</v>
      </c>
      <c r="J1491" s="84" t="e">
        <f>VLOOKUP(Table13[[#This Row],[kbli5]],kata_kunci!$B:$H,6,FALSE)</f>
        <v>#N/A</v>
      </c>
      <c r="K1491" s="84" t="e">
        <f>VLOOKUP(Table13[[#This Row],[kbli5]],kata_kunci!$B:$H,7,FALSE)</f>
        <v>#N/A</v>
      </c>
    </row>
    <row r="1492" spans="1:11" ht="15.75" thickBot="1" x14ac:dyDescent="0.3">
      <c r="A1492" s="53" t="s">
        <v>98</v>
      </c>
      <c r="B1492" s="40">
        <v>91423</v>
      </c>
      <c r="C1492" s="41" t="s">
        <v>1664</v>
      </c>
      <c r="D1492" s="30" t="e">
        <f>VLOOKUP(Table13[[#This Row],[kbli5]],Table1[[#All],[kbli5]:[digital_hijau]],3,)</f>
        <v>#N/A</v>
      </c>
      <c r="E1492" s="53" t="e">
        <f>VLOOKUP(Table13[[#This Row],[kbli5]],kata_kunci!$B:$H,4,FALSE)</f>
        <v>#N/A</v>
      </c>
      <c r="F1492" s="53" t="e">
        <f>VLOOKUP(Table13[[#This Row],[kbli5]],Table1[[#All],[kbli5]:[digital_hijau]],5,)</f>
        <v>#N/A</v>
      </c>
      <c r="G1492" s="53" t="e">
        <f>VLOOKUP(Table13[[#This Row],[kbli5]],Table1[[#All],[kbli5]:[digital_hijau]],6,)</f>
        <v>#N/A</v>
      </c>
      <c r="H1492" s="54" t="e">
        <f>VLOOKUP(Table13[[#This Row],[kbli5]],kata_kunci!$B:$H,3,FALSE)</f>
        <v>#N/A</v>
      </c>
      <c r="I1492" s="84" t="e">
        <f>VLOOKUP(Table13[[#This Row],[kbli5]],kata_kunci!$B:$H,5,FALSE)</f>
        <v>#N/A</v>
      </c>
      <c r="J1492" s="84" t="e">
        <f>VLOOKUP(Table13[[#This Row],[kbli5]],kata_kunci!$B:$H,6,FALSE)</f>
        <v>#N/A</v>
      </c>
      <c r="K1492" s="84" t="e">
        <f>VLOOKUP(Table13[[#This Row],[kbli5]],kata_kunci!$B:$H,7,FALSE)</f>
        <v>#N/A</v>
      </c>
    </row>
    <row r="1493" spans="1:11" ht="15.75" thickBot="1" x14ac:dyDescent="0.3">
      <c r="A1493" s="53" t="s">
        <v>98</v>
      </c>
      <c r="B1493" s="40">
        <v>91424</v>
      </c>
      <c r="C1493" s="41" t="s">
        <v>1665</v>
      </c>
      <c r="D1493" s="30" t="e">
        <f>VLOOKUP(Table13[[#This Row],[kbli5]],Table1[[#All],[kbli5]:[digital_hijau]],3,)</f>
        <v>#N/A</v>
      </c>
      <c r="E1493" s="53" t="e">
        <f>VLOOKUP(Table13[[#This Row],[kbli5]],kata_kunci!$B:$H,4,FALSE)</f>
        <v>#N/A</v>
      </c>
      <c r="F1493" s="53" t="e">
        <f>VLOOKUP(Table13[[#This Row],[kbli5]],Table1[[#All],[kbli5]:[digital_hijau]],5,)</f>
        <v>#N/A</v>
      </c>
      <c r="G1493" s="53" t="e">
        <f>VLOOKUP(Table13[[#This Row],[kbli5]],Table1[[#All],[kbli5]:[digital_hijau]],6,)</f>
        <v>#N/A</v>
      </c>
      <c r="H1493" s="54" t="e">
        <f>VLOOKUP(Table13[[#This Row],[kbli5]],kata_kunci!$B:$H,3,FALSE)</f>
        <v>#N/A</v>
      </c>
      <c r="I1493" s="84" t="e">
        <f>VLOOKUP(Table13[[#This Row],[kbli5]],kata_kunci!$B:$H,5,FALSE)</f>
        <v>#N/A</v>
      </c>
      <c r="J1493" s="84" t="e">
        <f>VLOOKUP(Table13[[#This Row],[kbli5]],kata_kunci!$B:$H,6,FALSE)</f>
        <v>#N/A</v>
      </c>
      <c r="K1493" s="84" t="e">
        <f>VLOOKUP(Table13[[#This Row],[kbli5]],kata_kunci!$B:$H,7,FALSE)</f>
        <v>#N/A</v>
      </c>
    </row>
    <row r="1494" spans="1:11" ht="15.75" thickBot="1" x14ac:dyDescent="0.3">
      <c r="A1494" s="53" t="s">
        <v>98</v>
      </c>
      <c r="B1494" s="40">
        <v>91425</v>
      </c>
      <c r="C1494" s="41" t="s">
        <v>1666</v>
      </c>
      <c r="D1494" s="30" t="e">
        <f>VLOOKUP(Table13[[#This Row],[kbli5]],Table1[[#All],[kbli5]:[digital_hijau]],3,)</f>
        <v>#N/A</v>
      </c>
      <c r="E1494" s="53" t="e">
        <f>VLOOKUP(Table13[[#This Row],[kbli5]],kata_kunci!$B:$H,4,FALSE)</f>
        <v>#N/A</v>
      </c>
      <c r="F1494" s="53" t="e">
        <f>VLOOKUP(Table13[[#This Row],[kbli5]],Table1[[#All],[kbli5]:[digital_hijau]],5,)</f>
        <v>#N/A</v>
      </c>
      <c r="G1494" s="53" t="e">
        <f>VLOOKUP(Table13[[#This Row],[kbli5]],Table1[[#All],[kbli5]:[digital_hijau]],6,)</f>
        <v>#N/A</v>
      </c>
      <c r="H1494" s="54" t="e">
        <f>VLOOKUP(Table13[[#This Row],[kbli5]],kata_kunci!$B:$H,3,FALSE)</f>
        <v>#N/A</v>
      </c>
      <c r="I1494" s="84" t="e">
        <f>VLOOKUP(Table13[[#This Row],[kbli5]],kata_kunci!$B:$H,5,FALSE)</f>
        <v>#N/A</v>
      </c>
      <c r="J1494" s="84" t="e">
        <f>VLOOKUP(Table13[[#This Row],[kbli5]],kata_kunci!$B:$H,6,FALSE)</f>
        <v>#N/A</v>
      </c>
      <c r="K1494" s="84" t="e">
        <f>VLOOKUP(Table13[[#This Row],[kbli5]],kata_kunci!$B:$H,7,FALSE)</f>
        <v>#N/A</v>
      </c>
    </row>
    <row r="1495" spans="1:11" ht="15.75" thickBot="1" x14ac:dyDescent="0.3">
      <c r="A1495" s="53" t="s">
        <v>98</v>
      </c>
      <c r="B1495" s="40">
        <v>91426</v>
      </c>
      <c r="C1495" s="41" t="s">
        <v>1667</v>
      </c>
      <c r="D1495" s="30" t="e">
        <f>VLOOKUP(Table13[[#This Row],[kbli5]],Table1[[#All],[kbli5]:[digital_hijau]],3,)</f>
        <v>#N/A</v>
      </c>
      <c r="E1495" s="53" t="e">
        <f>VLOOKUP(Table13[[#This Row],[kbli5]],kata_kunci!$B:$H,4,FALSE)</f>
        <v>#N/A</v>
      </c>
      <c r="F1495" s="53" t="e">
        <f>VLOOKUP(Table13[[#This Row],[kbli5]],Table1[[#All],[kbli5]:[digital_hijau]],5,)</f>
        <v>#N/A</v>
      </c>
      <c r="G1495" s="53" t="e">
        <f>VLOOKUP(Table13[[#This Row],[kbli5]],Table1[[#All],[kbli5]:[digital_hijau]],6,)</f>
        <v>#N/A</v>
      </c>
      <c r="H1495" s="54" t="e">
        <f>VLOOKUP(Table13[[#This Row],[kbli5]],kata_kunci!$B:$H,3,FALSE)</f>
        <v>#N/A</v>
      </c>
      <c r="I1495" s="84" t="e">
        <f>VLOOKUP(Table13[[#This Row],[kbli5]],kata_kunci!$B:$H,5,FALSE)</f>
        <v>#N/A</v>
      </c>
      <c r="J1495" s="84" t="e">
        <f>VLOOKUP(Table13[[#This Row],[kbli5]],kata_kunci!$B:$H,6,FALSE)</f>
        <v>#N/A</v>
      </c>
      <c r="K1495" s="84" t="e">
        <f>VLOOKUP(Table13[[#This Row],[kbli5]],kata_kunci!$B:$H,7,FALSE)</f>
        <v>#N/A</v>
      </c>
    </row>
    <row r="1496" spans="1:11" ht="30.75" thickBot="1" x14ac:dyDescent="0.3">
      <c r="A1496" s="53" t="s">
        <v>98</v>
      </c>
      <c r="B1496" s="40">
        <v>91429</v>
      </c>
      <c r="C1496" s="41" t="s">
        <v>1668</v>
      </c>
      <c r="D1496" s="30" t="e">
        <f>VLOOKUP(Table13[[#This Row],[kbli5]],Table1[[#All],[kbli5]:[digital_hijau]],3,)</f>
        <v>#N/A</v>
      </c>
      <c r="E1496" s="53" t="e">
        <f>VLOOKUP(Table13[[#This Row],[kbli5]],kata_kunci!$B:$H,4,FALSE)</f>
        <v>#N/A</v>
      </c>
      <c r="F1496" s="53" t="e">
        <f>VLOOKUP(Table13[[#This Row],[kbli5]],Table1[[#All],[kbli5]:[digital_hijau]],5,)</f>
        <v>#N/A</v>
      </c>
      <c r="G1496" s="53" t="e">
        <f>VLOOKUP(Table13[[#This Row],[kbli5]],Table1[[#All],[kbli5]:[digital_hijau]],6,)</f>
        <v>#N/A</v>
      </c>
      <c r="H1496" s="54" t="e">
        <f>VLOOKUP(Table13[[#This Row],[kbli5]],kata_kunci!$B:$H,3,FALSE)</f>
        <v>#N/A</v>
      </c>
      <c r="I1496" s="84" t="e">
        <f>VLOOKUP(Table13[[#This Row],[kbli5]],kata_kunci!$B:$H,5,FALSE)</f>
        <v>#N/A</v>
      </c>
      <c r="J1496" s="84" t="e">
        <f>VLOOKUP(Table13[[#This Row],[kbli5]],kata_kunci!$B:$H,6,FALSE)</f>
        <v>#N/A</v>
      </c>
      <c r="K1496" s="84" t="e">
        <f>VLOOKUP(Table13[[#This Row],[kbli5]],kata_kunci!$B:$H,7,FALSE)</f>
        <v>#N/A</v>
      </c>
    </row>
    <row r="1497" spans="1:11" ht="30.75" thickBot="1" x14ac:dyDescent="0.3">
      <c r="A1497" s="53" t="s">
        <v>98</v>
      </c>
      <c r="B1497" s="40">
        <v>92000</v>
      </c>
      <c r="C1497" s="41" t="s">
        <v>1669</v>
      </c>
      <c r="D1497" s="30" t="e">
        <f>VLOOKUP(Table13[[#This Row],[kbli5]],Table1[[#All],[kbli5]:[digital_hijau]],3,)</f>
        <v>#N/A</v>
      </c>
      <c r="E1497" s="53" t="e">
        <f>VLOOKUP(Table13[[#This Row],[kbli5]],kata_kunci!$B:$H,4,FALSE)</f>
        <v>#N/A</v>
      </c>
      <c r="F1497" s="53" t="e">
        <f>VLOOKUP(Table13[[#This Row],[kbli5]],Table1[[#All],[kbli5]:[digital_hijau]],5,)</f>
        <v>#N/A</v>
      </c>
      <c r="G1497" s="53" t="e">
        <f>VLOOKUP(Table13[[#This Row],[kbli5]],Table1[[#All],[kbli5]:[digital_hijau]],6,)</f>
        <v>#N/A</v>
      </c>
      <c r="H1497" s="54" t="e">
        <f>VLOOKUP(Table13[[#This Row],[kbli5]],kata_kunci!$B:$H,3,FALSE)</f>
        <v>#N/A</v>
      </c>
      <c r="I1497" s="84" t="e">
        <f>VLOOKUP(Table13[[#This Row],[kbli5]],kata_kunci!$B:$H,5,FALSE)</f>
        <v>#N/A</v>
      </c>
      <c r="J1497" s="84" t="e">
        <f>VLOOKUP(Table13[[#This Row],[kbli5]],kata_kunci!$B:$H,6,FALSE)</f>
        <v>#N/A</v>
      </c>
      <c r="K1497" s="84" t="e">
        <f>VLOOKUP(Table13[[#This Row],[kbli5]],kata_kunci!$B:$H,7,FALSE)</f>
        <v>#N/A</v>
      </c>
    </row>
    <row r="1498" spans="1:11" ht="15.75" thickBot="1" x14ac:dyDescent="0.3">
      <c r="A1498" s="53" t="s">
        <v>98</v>
      </c>
      <c r="B1498" s="40">
        <v>93111</v>
      </c>
      <c r="C1498" s="41" t="s">
        <v>1670</v>
      </c>
      <c r="D1498" s="30" t="e">
        <f>VLOOKUP(Table13[[#This Row],[kbli5]],Table1[[#All],[kbli5]:[digital_hijau]],3,)</f>
        <v>#N/A</v>
      </c>
      <c r="E1498" s="53" t="e">
        <f>VLOOKUP(Table13[[#This Row],[kbli5]],kata_kunci!$B:$H,4,FALSE)</f>
        <v>#N/A</v>
      </c>
      <c r="F1498" s="53" t="e">
        <f>VLOOKUP(Table13[[#This Row],[kbli5]],Table1[[#All],[kbli5]:[digital_hijau]],5,)</f>
        <v>#N/A</v>
      </c>
      <c r="G1498" s="53" t="e">
        <f>VLOOKUP(Table13[[#This Row],[kbli5]],Table1[[#All],[kbli5]:[digital_hijau]],6,)</f>
        <v>#N/A</v>
      </c>
      <c r="H1498" s="54" t="e">
        <f>VLOOKUP(Table13[[#This Row],[kbli5]],kata_kunci!$B:$H,3,FALSE)</f>
        <v>#N/A</v>
      </c>
      <c r="I1498" s="84" t="e">
        <f>VLOOKUP(Table13[[#This Row],[kbli5]],kata_kunci!$B:$H,5,FALSE)</f>
        <v>#N/A</v>
      </c>
      <c r="J1498" s="84" t="e">
        <f>VLOOKUP(Table13[[#This Row],[kbli5]],kata_kunci!$B:$H,6,FALSE)</f>
        <v>#N/A</v>
      </c>
      <c r="K1498" s="84" t="e">
        <f>VLOOKUP(Table13[[#This Row],[kbli5]],kata_kunci!$B:$H,7,FALSE)</f>
        <v>#N/A</v>
      </c>
    </row>
    <row r="1499" spans="1:11" ht="15.75" thickBot="1" x14ac:dyDescent="0.3">
      <c r="A1499" s="53" t="s">
        <v>98</v>
      </c>
      <c r="B1499" s="40">
        <v>93112</v>
      </c>
      <c r="C1499" s="41" t="s">
        <v>1671</v>
      </c>
      <c r="D1499" s="30" t="e">
        <f>VLOOKUP(Table13[[#This Row],[kbli5]],Table1[[#All],[kbli5]:[digital_hijau]],3,)</f>
        <v>#N/A</v>
      </c>
      <c r="E1499" s="53" t="e">
        <f>VLOOKUP(Table13[[#This Row],[kbli5]],kata_kunci!$B:$H,4,FALSE)</f>
        <v>#N/A</v>
      </c>
      <c r="F1499" s="53" t="e">
        <f>VLOOKUP(Table13[[#This Row],[kbli5]],Table1[[#All],[kbli5]:[digital_hijau]],5,)</f>
        <v>#N/A</v>
      </c>
      <c r="G1499" s="53" t="e">
        <f>VLOOKUP(Table13[[#This Row],[kbli5]],Table1[[#All],[kbli5]:[digital_hijau]],6,)</f>
        <v>#N/A</v>
      </c>
      <c r="H1499" s="54" t="e">
        <f>VLOOKUP(Table13[[#This Row],[kbli5]],kata_kunci!$B:$H,3,FALSE)</f>
        <v>#N/A</v>
      </c>
      <c r="I1499" s="84" t="e">
        <f>VLOOKUP(Table13[[#This Row],[kbli5]],kata_kunci!$B:$H,5,FALSE)</f>
        <v>#N/A</v>
      </c>
      <c r="J1499" s="84" t="e">
        <f>VLOOKUP(Table13[[#This Row],[kbli5]],kata_kunci!$B:$H,6,FALSE)</f>
        <v>#N/A</v>
      </c>
      <c r="K1499" s="84" t="e">
        <f>VLOOKUP(Table13[[#This Row],[kbli5]],kata_kunci!$B:$H,7,FALSE)</f>
        <v>#N/A</v>
      </c>
    </row>
    <row r="1500" spans="1:11" ht="30.75" thickBot="1" x14ac:dyDescent="0.3">
      <c r="A1500" s="53" t="s">
        <v>98</v>
      </c>
      <c r="B1500" s="40">
        <v>93113</v>
      </c>
      <c r="C1500" s="41" t="s">
        <v>1672</v>
      </c>
      <c r="D1500" s="30" t="e">
        <f>VLOOKUP(Table13[[#This Row],[kbli5]],Table1[[#All],[kbli5]:[digital_hijau]],3,)</f>
        <v>#N/A</v>
      </c>
      <c r="E1500" s="53" t="e">
        <f>VLOOKUP(Table13[[#This Row],[kbli5]],kata_kunci!$B:$H,4,FALSE)</f>
        <v>#N/A</v>
      </c>
      <c r="F1500" s="53" t="e">
        <f>VLOOKUP(Table13[[#This Row],[kbli5]],Table1[[#All],[kbli5]:[digital_hijau]],5,)</f>
        <v>#N/A</v>
      </c>
      <c r="G1500" s="53" t="e">
        <f>VLOOKUP(Table13[[#This Row],[kbli5]],Table1[[#All],[kbli5]:[digital_hijau]],6,)</f>
        <v>#N/A</v>
      </c>
      <c r="H1500" s="54" t="e">
        <f>VLOOKUP(Table13[[#This Row],[kbli5]],kata_kunci!$B:$H,3,FALSE)</f>
        <v>#N/A</v>
      </c>
      <c r="I1500" s="84" t="e">
        <f>VLOOKUP(Table13[[#This Row],[kbli5]],kata_kunci!$B:$H,5,FALSE)</f>
        <v>#N/A</v>
      </c>
      <c r="J1500" s="84" t="e">
        <f>VLOOKUP(Table13[[#This Row],[kbli5]],kata_kunci!$B:$H,6,FALSE)</f>
        <v>#N/A</v>
      </c>
      <c r="K1500" s="84" t="e">
        <f>VLOOKUP(Table13[[#This Row],[kbli5]],kata_kunci!$B:$H,7,FALSE)</f>
        <v>#N/A</v>
      </c>
    </row>
    <row r="1501" spans="1:11" ht="15.75" thickBot="1" x14ac:dyDescent="0.3">
      <c r="A1501" s="53" t="s">
        <v>98</v>
      </c>
      <c r="B1501" s="40">
        <v>93114</v>
      </c>
      <c r="C1501" s="41" t="s">
        <v>1673</v>
      </c>
      <c r="D1501" s="30" t="e">
        <f>VLOOKUP(Table13[[#This Row],[kbli5]],Table1[[#All],[kbli5]:[digital_hijau]],3,)</f>
        <v>#N/A</v>
      </c>
      <c r="E1501" s="53" t="e">
        <f>VLOOKUP(Table13[[#This Row],[kbli5]],kata_kunci!$B:$H,4,FALSE)</f>
        <v>#N/A</v>
      </c>
      <c r="F1501" s="53" t="e">
        <f>VLOOKUP(Table13[[#This Row],[kbli5]],Table1[[#All],[kbli5]:[digital_hijau]],5,)</f>
        <v>#N/A</v>
      </c>
      <c r="G1501" s="53" t="e">
        <f>VLOOKUP(Table13[[#This Row],[kbli5]],Table1[[#All],[kbli5]:[digital_hijau]],6,)</f>
        <v>#N/A</v>
      </c>
      <c r="H1501" s="54" t="e">
        <f>VLOOKUP(Table13[[#This Row],[kbli5]],kata_kunci!$B:$H,3,FALSE)</f>
        <v>#N/A</v>
      </c>
      <c r="I1501" s="84" t="e">
        <f>VLOOKUP(Table13[[#This Row],[kbli5]],kata_kunci!$B:$H,5,FALSE)</f>
        <v>#N/A</v>
      </c>
      <c r="J1501" s="84" t="e">
        <f>VLOOKUP(Table13[[#This Row],[kbli5]],kata_kunci!$B:$H,6,FALSE)</f>
        <v>#N/A</v>
      </c>
      <c r="K1501" s="84" t="e">
        <f>VLOOKUP(Table13[[#This Row],[kbli5]],kata_kunci!$B:$H,7,FALSE)</f>
        <v>#N/A</v>
      </c>
    </row>
    <row r="1502" spans="1:11" ht="30.75" thickBot="1" x14ac:dyDescent="0.3">
      <c r="A1502" s="53" t="s">
        <v>98</v>
      </c>
      <c r="B1502" s="40">
        <v>93115</v>
      </c>
      <c r="C1502" s="41" t="s">
        <v>1674</v>
      </c>
      <c r="D1502" s="30" t="e">
        <f>VLOOKUP(Table13[[#This Row],[kbli5]],Table1[[#All],[kbli5]:[digital_hijau]],3,)</f>
        <v>#N/A</v>
      </c>
      <c r="E1502" s="53" t="e">
        <f>VLOOKUP(Table13[[#This Row],[kbli5]],kata_kunci!$B:$H,4,FALSE)</f>
        <v>#N/A</v>
      </c>
      <c r="F1502" s="53" t="e">
        <f>VLOOKUP(Table13[[#This Row],[kbli5]],Table1[[#All],[kbli5]:[digital_hijau]],5,)</f>
        <v>#N/A</v>
      </c>
      <c r="G1502" s="53" t="e">
        <f>VLOOKUP(Table13[[#This Row],[kbli5]],Table1[[#All],[kbli5]:[digital_hijau]],6,)</f>
        <v>#N/A</v>
      </c>
      <c r="H1502" s="54" t="e">
        <f>VLOOKUP(Table13[[#This Row],[kbli5]],kata_kunci!$B:$H,3,FALSE)</f>
        <v>#N/A</v>
      </c>
      <c r="I1502" s="84" t="e">
        <f>VLOOKUP(Table13[[#This Row],[kbli5]],kata_kunci!$B:$H,5,FALSE)</f>
        <v>#N/A</v>
      </c>
      <c r="J1502" s="84" t="e">
        <f>VLOOKUP(Table13[[#This Row],[kbli5]],kata_kunci!$B:$H,6,FALSE)</f>
        <v>#N/A</v>
      </c>
      <c r="K1502" s="84" t="e">
        <f>VLOOKUP(Table13[[#This Row],[kbli5]],kata_kunci!$B:$H,7,FALSE)</f>
        <v>#N/A</v>
      </c>
    </row>
    <row r="1503" spans="1:11" ht="45.75" thickBot="1" x14ac:dyDescent="0.3">
      <c r="A1503" s="53" t="s">
        <v>98</v>
      </c>
      <c r="B1503" s="40">
        <v>93116</v>
      </c>
      <c r="C1503" s="41" t="s">
        <v>1675</v>
      </c>
      <c r="D1503" s="30" t="e">
        <f>VLOOKUP(Table13[[#This Row],[kbli5]],Table1[[#All],[kbli5]:[digital_hijau]],3,)</f>
        <v>#N/A</v>
      </c>
      <c r="E1503" s="53" t="e">
        <f>VLOOKUP(Table13[[#This Row],[kbli5]],kata_kunci!$B:$H,4,FALSE)</f>
        <v>#N/A</v>
      </c>
      <c r="F1503" s="53" t="e">
        <f>VLOOKUP(Table13[[#This Row],[kbli5]],Table1[[#All],[kbli5]:[digital_hijau]],5,)</f>
        <v>#N/A</v>
      </c>
      <c r="G1503" s="53" t="e">
        <f>VLOOKUP(Table13[[#This Row],[kbli5]],Table1[[#All],[kbli5]:[digital_hijau]],6,)</f>
        <v>#N/A</v>
      </c>
      <c r="H1503" s="54" t="e">
        <f>VLOOKUP(Table13[[#This Row],[kbli5]],kata_kunci!$B:$H,3,FALSE)</f>
        <v>#N/A</v>
      </c>
      <c r="I1503" s="84" t="e">
        <f>VLOOKUP(Table13[[#This Row],[kbli5]],kata_kunci!$B:$H,5,FALSE)</f>
        <v>#N/A</v>
      </c>
      <c r="J1503" s="84" t="e">
        <f>VLOOKUP(Table13[[#This Row],[kbli5]],kata_kunci!$B:$H,6,FALSE)</f>
        <v>#N/A</v>
      </c>
      <c r="K1503" s="84" t="e">
        <f>VLOOKUP(Table13[[#This Row],[kbli5]],kata_kunci!$B:$H,7,FALSE)</f>
        <v>#N/A</v>
      </c>
    </row>
    <row r="1504" spans="1:11" ht="30.75" thickBot="1" x14ac:dyDescent="0.3">
      <c r="A1504" s="53" t="s">
        <v>98</v>
      </c>
      <c r="B1504" s="40">
        <v>93119</v>
      </c>
      <c r="C1504" s="41" t="s">
        <v>1676</v>
      </c>
      <c r="D1504" s="30" t="e">
        <f>VLOOKUP(Table13[[#This Row],[kbli5]],Table1[[#All],[kbli5]:[digital_hijau]],3,)</f>
        <v>#N/A</v>
      </c>
      <c r="E1504" s="53" t="e">
        <f>VLOOKUP(Table13[[#This Row],[kbli5]],kata_kunci!$B:$H,4,FALSE)</f>
        <v>#N/A</v>
      </c>
      <c r="F1504" s="53" t="e">
        <f>VLOOKUP(Table13[[#This Row],[kbli5]],Table1[[#All],[kbli5]:[digital_hijau]],5,)</f>
        <v>#N/A</v>
      </c>
      <c r="G1504" s="53" t="e">
        <f>VLOOKUP(Table13[[#This Row],[kbli5]],Table1[[#All],[kbli5]:[digital_hijau]],6,)</f>
        <v>#N/A</v>
      </c>
      <c r="H1504" s="54" t="e">
        <f>VLOOKUP(Table13[[#This Row],[kbli5]],kata_kunci!$B:$H,3,FALSE)</f>
        <v>#N/A</v>
      </c>
      <c r="I1504" s="84" t="e">
        <f>VLOOKUP(Table13[[#This Row],[kbli5]],kata_kunci!$B:$H,5,FALSE)</f>
        <v>#N/A</v>
      </c>
      <c r="J1504" s="84" t="e">
        <f>VLOOKUP(Table13[[#This Row],[kbli5]],kata_kunci!$B:$H,6,FALSE)</f>
        <v>#N/A</v>
      </c>
      <c r="K1504" s="84" t="e">
        <f>VLOOKUP(Table13[[#This Row],[kbli5]],kata_kunci!$B:$H,7,FALSE)</f>
        <v>#N/A</v>
      </c>
    </row>
    <row r="1505" spans="1:11" ht="15.75" thickBot="1" x14ac:dyDescent="0.3">
      <c r="A1505" s="53" t="s">
        <v>98</v>
      </c>
      <c r="B1505" s="40">
        <v>93121</v>
      </c>
      <c r="C1505" s="41" t="s">
        <v>1677</v>
      </c>
      <c r="D1505" s="30" t="e">
        <f>VLOOKUP(Table13[[#This Row],[kbli5]],Table1[[#All],[kbli5]:[digital_hijau]],3,)</f>
        <v>#N/A</v>
      </c>
      <c r="E1505" s="53" t="e">
        <f>VLOOKUP(Table13[[#This Row],[kbli5]],kata_kunci!$B:$H,4,FALSE)</f>
        <v>#N/A</v>
      </c>
      <c r="F1505" s="53" t="e">
        <f>VLOOKUP(Table13[[#This Row],[kbli5]],Table1[[#All],[kbli5]:[digital_hijau]],5,)</f>
        <v>#N/A</v>
      </c>
      <c r="G1505" s="53" t="e">
        <f>VLOOKUP(Table13[[#This Row],[kbli5]],Table1[[#All],[kbli5]:[digital_hijau]],6,)</f>
        <v>#N/A</v>
      </c>
      <c r="H1505" s="54" t="e">
        <f>VLOOKUP(Table13[[#This Row],[kbli5]],kata_kunci!$B:$H,3,FALSE)</f>
        <v>#N/A</v>
      </c>
      <c r="I1505" s="84" t="e">
        <f>VLOOKUP(Table13[[#This Row],[kbli5]],kata_kunci!$B:$H,5,FALSE)</f>
        <v>#N/A</v>
      </c>
      <c r="J1505" s="84" t="e">
        <f>VLOOKUP(Table13[[#This Row],[kbli5]],kata_kunci!$B:$H,6,FALSE)</f>
        <v>#N/A</v>
      </c>
      <c r="K1505" s="84" t="e">
        <f>VLOOKUP(Table13[[#This Row],[kbli5]],kata_kunci!$B:$H,7,FALSE)</f>
        <v>#N/A</v>
      </c>
    </row>
    <row r="1506" spans="1:11" ht="15.75" thickBot="1" x14ac:dyDescent="0.3">
      <c r="A1506" s="53" t="s">
        <v>98</v>
      </c>
      <c r="B1506" s="40">
        <v>93122</v>
      </c>
      <c r="C1506" s="41" t="s">
        <v>1678</v>
      </c>
      <c r="D1506" s="30" t="e">
        <f>VLOOKUP(Table13[[#This Row],[kbli5]],Table1[[#All],[kbli5]:[digital_hijau]],3,)</f>
        <v>#N/A</v>
      </c>
      <c r="E1506" s="53" t="e">
        <f>VLOOKUP(Table13[[#This Row],[kbli5]],kata_kunci!$B:$H,4,FALSE)</f>
        <v>#N/A</v>
      </c>
      <c r="F1506" s="53" t="e">
        <f>VLOOKUP(Table13[[#This Row],[kbli5]],Table1[[#All],[kbli5]:[digital_hijau]],5,)</f>
        <v>#N/A</v>
      </c>
      <c r="G1506" s="53" t="e">
        <f>VLOOKUP(Table13[[#This Row],[kbli5]],Table1[[#All],[kbli5]:[digital_hijau]],6,)</f>
        <v>#N/A</v>
      </c>
      <c r="H1506" s="54" t="e">
        <f>VLOOKUP(Table13[[#This Row],[kbli5]],kata_kunci!$B:$H,3,FALSE)</f>
        <v>#N/A</v>
      </c>
      <c r="I1506" s="84" t="e">
        <f>VLOOKUP(Table13[[#This Row],[kbli5]],kata_kunci!$B:$H,5,FALSE)</f>
        <v>#N/A</v>
      </c>
      <c r="J1506" s="84" t="e">
        <f>VLOOKUP(Table13[[#This Row],[kbli5]],kata_kunci!$B:$H,6,FALSE)</f>
        <v>#N/A</v>
      </c>
      <c r="K1506" s="84" t="e">
        <f>VLOOKUP(Table13[[#This Row],[kbli5]],kata_kunci!$B:$H,7,FALSE)</f>
        <v>#N/A</v>
      </c>
    </row>
    <row r="1507" spans="1:11" ht="15.75" thickBot="1" x14ac:dyDescent="0.3">
      <c r="A1507" s="53" t="s">
        <v>98</v>
      </c>
      <c r="B1507" s="40">
        <v>93123</v>
      </c>
      <c r="C1507" s="41" t="s">
        <v>1679</v>
      </c>
      <c r="D1507" s="30" t="e">
        <f>VLOOKUP(Table13[[#This Row],[kbli5]],Table1[[#All],[kbli5]:[digital_hijau]],3,)</f>
        <v>#N/A</v>
      </c>
      <c r="E1507" s="53" t="e">
        <f>VLOOKUP(Table13[[#This Row],[kbli5]],kata_kunci!$B:$H,4,FALSE)</f>
        <v>#N/A</v>
      </c>
      <c r="F1507" s="53" t="e">
        <f>VLOOKUP(Table13[[#This Row],[kbli5]],Table1[[#All],[kbli5]:[digital_hijau]],5,)</f>
        <v>#N/A</v>
      </c>
      <c r="G1507" s="53" t="e">
        <f>VLOOKUP(Table13[[#This Row],[kbli5]],Table1[[#All],[kbli5]:[digital_hijau]],6,)</f>
        <v>#N/A</v>
      </c>
      <c r="H1507" s="54" t="e">
        <f>VLOOKUP(Table13[[#This Row],[kbli5]],kata_kunci!$B:$H,3,FALSE)</f>
        <v>#N/A</v>
      </c>
      <c r="I1507" s="84" t="e">
        <f>VLOOKUP(Table13[[#This Row],[kbli5]],kata_kunci!$B:$H,5,FALSE)</f>
        <v>#N/A</v>
      </c>
      <c r="J1507" s="84" t="e">
        <f>VLOOKUP(Table13[[#This Row],[kbli5]],kata_kunci!$B:$H,6,FALSE)</f>
        <v>#N/A</v>
      </c>
      <c r="K1507" s="84" t="e">
        <f>VLOOKUP(Table13[[#This Row],[kbli5]],kata_kunci!$B:$H,7,FALSE)</f>
        <v>#N/A</v>
      </c>
    </row>
    <row r="1508" spans="1:11" ht="15.75" thickBot="1" x14ac:dyDescent="0.3">
      <c r="A1508" s="53" t="s">
        <v>98</v>
      </c>
      <c r="B1508" s="40">
        <v>93124</v>
      </c>
      <c r="C1508" s="41" t="s">
        <v>1680</v>
      </c>
      <c r="D1508" s="30" t="e">
        <f>VLOOKUP(Table13[[#This Row],[kbli5]],Table1[[#All],[kbli5]:[digital_hijau]],3,)</f>
        <v>#N/A</v>
      </c>
      <c r="E1508" s="53" t="e">
        <f>VLOOKUP(Table13[[#This Row],[kbli5]],kata_kunci!$B:$H,4,FALSE)</f>
        <v>#N/A</v>
      </c>
      <c r="F1508" s="53" t="e">
        <f>VLOOKUP(Table13[[#This Row],[kbli5]],Table1[[#All],[kbli5]:[digital_hijau]],5,)</f>
        <v>#N/A</v>
      </c>
      <c r="G1508" s="53" t="e">
        <f>VLOOKUP(Table13[[#This Row],[kbli5]],Table1[[#All],[kbli5]:[digital_hijau]],6,)</f>
        <v>#N/A</v>
      </c>
      <c r="H1508" s="54" t="e">
        <f>VLOOKUP(Table13[[#This Row],[kbli5]],kata_kunci!$B:$H,3,FALSE)</f>
        <v>#N/A</v>
      </c>
      <c r="I1508" s="84" t="e">
        <f>VLOOKUP(Table13[[#This Row],[kbli5]],kata_kunci!$B:$H,5,FALSE)</f>
        <v>#N/A</v>
      </c>
      <c r="J1508" s="84" t="e">
        <f>VLOOKUP(Table13[[#This Row],[kbli5]],kata_kunci!$B:$H,6,FALSE)</f>
        <v>#N/A</v>
      </c>
      <c r="K1508" s="84" t="e">
        <f>VLOOKUP(Table13[[#This Row],[kbli5]],kata_kunci!$B:$H,7,FALSE)</f>
        <v>#N/A</v>
      </c>
    </row>
    <row r="1509" spans="1:11" ht="15.75" thickBot="1" x14ac:dyDescent="0.3">
      <c r="A1509" s="53" t="s">
        <v>98</v>
      </c>
      <c r="B1509" s="40">
        <v>93125</v>
      </c>
      <c r="C1509" s="41" t="s">
        <v>1681</v>
      </c>
      <c r="D1509" s="30" t="e">
        <f>VLOOKUP(Table13[[#This Row],[kbli5]],Table1[[#All],[kbli5]:[digital_hijau]],3,)</f>
        <v>#N/A</v>
      </c>
      <c r="E1509" s="53" t="e">
        <f>VLOOKUP(Table13[[#This Row],[kbli5]],kata_kunci!$B:$H,4,FALSE)</f>
        <v>#N/A</v>
      </c>
      <c r="F1509" s="53" t="e">
        <f>VLOOKUP(Table13[[#This Row],[kbli5]],Table1[[#All],[kbli5]:[digital_hijau]],5,)</f>
        <v>#N/A</v>
      </c>
      <c r="G1509" s="53" t="e">
        <f>VLOOKUP(Table13[[#This Row],[kbli5]],Table1[[#All],[kbli5]:[digital_hijau]],6,)</f>
        <v>#N/A</v>
      </c>
      <c r="H1509" s="54" t="e">
        <f>VLOOKUP(Table13[[#This Row],[kbli5]],kata_kunci!$B:$H,3,FALSE)</f>
        <v>#N/A</v>
      </c>
      <c r="I1509" s="84" t="e">
        <f>VLOOKUP(Table13[[#This Row],[kbli5]],kata_kunci!$B:$H,5,FALSE)</f>
        <v>#N/A</v>
      </c>
      <c r="J1509" s="84" t="e">
        <f>VLOOKUP(Table13[[#This Row],[kbli5]],kata_kunci!$B:$H,6,FALSE)</f>
        <v>#N/A</v>
      </c>
      <c r="K1509" s="84" t="e">
        <f>VLOOKUP(Table13[[#This Row],[kbli5]],kata_kunci!$B:$H,7,FALSE)</f>
        <v>#N/A</v>
      </c>
    </row>
    <row r="1510" spans="1:11" ht="15.75" thickBot="1" x14ac:dyDescent="0.3">
      <c r="A1510" s="53" t="s">
        <v>98</v>
      </c>
      <c r="B1510" s="40">
        <v>93126</v>
      </c>
      <c r="C1510" s="41" t="s">
        <v>1682</v>
      </c>
      <c r="D1510" s="30" t="e">
        <f>VLOOKUP(Table13[[#This Row],[kbli5]],Table1[[#All],[kbli5]:[digital_hijau]],3,)</f>
        <v>#N/A</v>
      </c>
      <c r="E1510" s="53" t="e">
        <f>VLOOKUP(Table13[[#This Row],[kbli5]],kata_kunci!$B:$H,4,FALSE)</f>
        <v>#N/A</v>
      </c>
      <c r="F1510" s="53" t="e">
        <f>VLOOKUP(Table13[[#This Row],[kbli5]],Table1[[#All],[kbli5]:[digital_hijau]],5,)</f>
        <v>#N/A</v>
      </c>
      <c r="G1510" s="53" t="e">
        <f>VLOOKUP(Table13[[#This Row],[kbli5]],Table1[[#All],[kbli5]:[digital_hijau]],6,)</f>
        <v>#N/A</v>
      </c>
      <c r="H1510" s="54" t="e">
        <f>VLOOKUP(Table13[[#This Row],[kbli5]],kata_kunci!$B:$H,3,FALSE)</f>
        <v>#N/A</v>
      </c>
      <c r="I1510" s="84" t="e">
        <f>VLOOKUP(Table13[[#This Row],[kbli5]],kata_kunci!$B:$H,5,FALSE)</f>
        <v>#N/A</v>
      </c>
      <c r="J1510" s="84" t="e">
        <f>VLOOKUP(Table13[[#This Row],[kbli5]],kata_kunci!$B:$H,6,FALSE)</f>
        <v>#N/A</v>
      </c>
      <c r="K1510" s="84" t="e">
        <f>VLOOKUP(Table13[[#This Row],[kbli5]],kata_kunci!$B:$H,7,FALSE)</f>
        <v>#N/A</v>
      </c>
    </row>
    <row r="1511" spans="1:11" ht="30.75" thickBot="1" x14ac:dyDescent="0.3">
      <c r="A1511" s="53" t="s">
        <v>98</v>
      </c>
      <c r="B1511" s="40">
        <v>93127</v>
      </c>
      <c r="C1511" s="41" t="s">
        <v>1683</v>
      </c>
      <c r="D1511" s="30" t="e">
        <f>VLOOKUP(Table13[[#This Row],[kbli5]],Table1[[#All],[kbli5]:[digital_hijau]],3,)</f>
        <v>#N/A</v>
      </c>
      <c r="E1511" s="53" t="e">
        <f>VLOOKUP(Table13[[#This Row],[kbli5]],kata_kunci!$B:$H,4,FALSE)</f>
        <v>#N/A</v>
      </c>
      <c r="F1511" s="53" t="e">
        <f>VLOOKUP(Table13[[#This Row],[kbli5]],Table1[[#All],[kbli5]:[digital_hijau]],5,)</f>
        <v>#N/A</v>
      </c>
      <c r="G1511" s="53" t="e">
        <f>VLOOKUP(Table13[[#This Row],[kbli5]],Table1[[#All],[kbli5]:[digital_hijau]],6,)</f>
        <v>#N/A</v>
      </c>
      <c r="H1511" s="54" t="e">
        <f>VLOOKUP(Table13[[#This Row],[kbli5]],kata_kunci!$B:$H,3,FALSE)</f>
        <v>#N/A</v>
      </c>
      <c r="I1511" s="84" t="e">
        <f>VLOOKUP(Table13[[#This Row],[kbli5]],kata_kunci!$B:$H,5,FALSE)</f>
        <v>#N/A</v>
      </c>
      <c r="J1511" s="84" t="e">
        <f>VLOOKUP(Table13[[#This Row],[kbli5]],kata_kunci!$B:$H,6,FALSE)</f>
        <v>#N/A</v>
      </c>
      <c r="K1511" s="84" t="e">
        <f>VLOOKUP(Table13[[#This Row],[kbli5]],kata_kunci!$B:$H,7,FALSE)</f>
        <v>#N/A</v>
      </c>
    </row>
    <row r="1512" spans="1:11" ht="15.75" thickBot="1" x14ac:dyDescent="0.3">
      <c r="A1512" s="53" t="s">
        <v>98</v>
      </c>
      <c r="B1512" s="40">
        <v>93128</v>
      </c>
      <c r="C1512" s="41" t="s">
        <v>1684</v>
      </c>
      <c r="D1512" s="30" t="e">
        <f>VLOOKUP(Table13[[#This Row],[kbli5]],Table1[[#All],[kbli5]:[digital_hijau]],3,)</f>
        <v>#N/A</v>
      </c>
      <c r="E1512" s="53" t="e">
        <f>VLOOKUP(Table13[[#This Row],[kbli5]],kata_kunci!$B:$H,4,FALSE)</f>
        <v>#N/A</v>
      </c>
      <c r="F1512" s="53" t="e">
        <f>VLOOKUP(Table13[[#This Row],[kbli5]],Table1[[#All],[kbli5]:[digital_hijau]],5,)</f>
        <v>#N/A</v>
      </c>
      <c r="G1512" s="53" t="e">
        <f>VLOOKUP(Table13[[#This Row],[kbli5]],Table1[[#All],[kbli5]:[digital_hijau]],6,)</f>
        <v>#N/A</v>
      </c>
      <c r="H1512" s="54" t="e">
        <f>VLOOKUP(Table13[[#This Row],[kbli5]],kata_kunci!$B:$H,3,FALSE)</f>
        <v>#N/A</v>
      </c>
      <c r="I1512" s="84" t="e">
        <f>VLOOKUP(Table13[[#This Row],[kbli5]],kata_kunci!$B:$H,5,FALSE)</f>
        <v>#N/A</v>
      </c>
      <c r="J1512" s="84" t="e">
        <f>VLOOKUP(Table13[[#This Row],[kbli5]],kata_kunci!$B:$H,6,FALSE)</f>
        <v>#N/A</v>
      </c>
      <c r="K1512" s="84" t="e">
        <f>VLOOKUP(Table13[[#This Row],[kbli5]],kata_kunci!$B:$H,7,FALSE)</f>
        <v>#N/A</v>
      </c>
    </row>
    <row r="1513" spans="1:11" ht="15.75" thickBot="1" x14ac:dyDescent="0.3">
      <c r="A1513" s="53" t="s">
        <v>98</v>
      </c>
      <c r="B1513" s="40">
        <v>93129</v>
      </c>
      <c r="C1513" s="41" t="s">
        <v>1685</v>
      </c>
      <c r="D1513" s="30" t="e">
        <f>VLOOKUP(Table13[[#This Row],[kbli5]],Table1[[#All],[kbli5]:[digital_hijau]],3,)</f>
        <v>#N/A</v>
      </c>
      <c r="E1513" s="53" t="e">
        <f>VLOOKUP(Table13[[#This Row],[kbli5]],kata_kunci!$B:$H,4,FALSE)</f>
        <v>#N/A</v>
      </c>
      <c r="F1513" s="53" t="e">
        <f>VLOOKUP(Table13[[#This Row],[kbli5]],Table1[[#All],[kbli5]:[digital_hijau]],5,)</f>
        <v>#N/A</v>
      </c>
      <c r="G1513" s="53" t="e">
        <f>VLOOKUP(Table13[[#This Row],[kbli5]],Table1[[#All],[kbli5]:[digital_hijau]],6,)</f>
        <v>#N/A</v>
      </c>
      <c r="H1513" s="54" t="e">
        <f>VLOOKUP(Table13[[#This Row],[kbli5]],kata_kunci!$B:$H,3,FALSE)</f>
        <v>#N/A</v>
      </c>
      <c r="I1513" s="84" t="e">
        <f>VLOOKUP(Table13[[#This Row],[kbli5]],kata_kunci!$B:$H,5,FALSE)</f>
        <v>#N/A</v>
      </c>
      <c r="J1513" s="84" t="e">
        <f>VLOOKUP(Table13[[#This Row],[kbli5]],kata_kunci!$B:$H,6,FALSE)</f>
        <v>#N/A</v>
      </c>
      <c r="K1513" s="84" t="e">
        <f>VLOOKUP(Table13[[#This Row],[kbli5]],kata_kunci!$B:$H,7,FALSE)</f>
        <v>#N/A</v>
      </c>
    </row>
    <row r="1514" spans="1:11" ht="30.75" thickBot="1" x14ac:dyDescent="0.3">
      <c r="A1514" s="53" t="s">
        <v>98</v>
      </c>
      <c r="B1514" s="40">
        <v>93191</v>
      </c>
      <c r="C1514" s="41" t="s">
        <v>1686</v>
      </c>
      <c r="D1514" s="30" t="e">
        <f>VLOOKUP(Table13[[#This Row],[kbli5]],Table1[[#All],[kbli5]:[digital_hijau]],3,)</f>
        <v>#N/A</v>
      </c>
      <c r="E1514" s="53" t="e">
        <f>VLOOKUP(Table13[[#This Row],[kbli5]],kata_kunci!$B:$H,4,FALSE)</f>
        <v>#N/A</v>
      </c>
      <c r="F1514" s="53" t="e">
        <f>VLOOKUP(Table13[[#This Row],[kbli5]],Table1[[#All],[kbli5]:[digital_hijau]],5,)</f>
        <v>#N/A</v>
      </c>
      <c r="G1514" s="53" t="e">
        <f>VLOOKUP(Table13[[#This Row],[kbli5]],Table1[[#All],[kbli5]:[digital_hijau]],6,)</f>
        <v>#N/A</v>
      </c>
      <c r="H1514" s="54" t="e">
        <f>VLOOKUP(Table13[[#This Row],[kbli5]],kata_kunci!$B:$H,3,FALSE)</f>
        <v>#N/A</v>
      </c>
      <c r="I1514" s="84" t="e">
        <f>VLOOKUP(Table13[[#This Row],[kbli5]],kata_kunci!$B:$H,5,FALSE)</f>
        <v>#N/A</v>
      </c>
      <c r="J1514" s="84" t="e">
        <f>VLOOKUP(Table13[[#This Row],[kbli5]],kata_kunci!$B:$H,6,FALSE)</f>
        <v>#N/A</v>
      </c>
      <c r="K1514" s="84" t="e">
        <f>VLOOKUP(Table13[[#This Row],[kbli5]],kata_kunci!$B:$H,7,FALSE)</f>
        <v>#N/A</v>
      </c>
    </row>
    <row r="1515" spans="1:11" ht="30.75" thickBot="1" x14ac:dyDescent="0.3">
      <c r="A1515" s="53" t="s">
        <v>98</v>
      </c>
      <c r="B1515" s="40">
        <v>93192</v>
      </c>
      <c r="C1515" s="41" t="s">
        <v>1687</v>
      </c>
      <c r="D1515" s="30" t="e">
        <f>VLOOKUP(Table13[[#This Row],[kbli5]],Table1[[#All],[kbli5]:[digital_hijau]],3,)</f>
        <v>#N/A</v>
      </c>
      <c r="E1515" s="53" t="e">
        <f>VLOOKUP(Table13[[#This Row],[kbli5]],kata_kunci!$B:$H,4,FALSE)</f>
        <v>#N/A</v>
      </c>
      <c r="F1515" s="53" t="e">
        <f>VLOOKUP(Table13[[#This Row],[kbli5]],Table1[[#All],[kbli5]:[digital_hijau]],5,)</f>
        <v>#N/A</v>
      </c>
      <c r="G1515" s="53" t="e">
        <f>VLOOKUP(Table13[[#This Row],[kbli5]],Table1[[#All],[kbli5]:[digital_hijau]],6,)</f>
        <v>#N/A</v>
      </c>
      <c r="H1515" s="54" t="e">
        <f>VLOOKUP(Table13[[#This Row],[kbli5]],kata_kunci!$B:$H,3,FALSE)</f>
        <v>#N/A</v>
      </c>
      <c r="I1515" s="84" t="e">
        <f>VLOOKUP(Table13[[#This Row],[kbli5]],kata_kunci!$B:$H,5,FALSE)</f>
        <v>#N/A</v>
      </c>
      <c r="J1515" s="84" t="e">
        <f>VLOOKUP(Table13[[#This Row],[kbli5]],kata_kunci!$B:$H,6,FALSE)</f>
        <v>#N/A</v>
      </c>
      <c r="K1515" s="84" t="e">
        <f>VLOOKUP(Table13[[#This Row],[kbli5]],kata_kunci!$B:$H,7,FALSE)</f>
        <v>#N/A</v>
      </c>
    </row>
    <row r="1516" spans="1:11" ht="30.75" thickBot="1" x14ac:dyDescent="0.3">
      <c r="A1516" s="53" t="s">
        <v>98</v>
      </c>
      <c r="B1516" s="40">
        <v>93193</v>
      </c>
      <c r="C1516" s="41" t="s">
        <v>1688</v>
      </c>
      <c r="D1516" s="30" t="e">
        <f>VLOOKUP(Table13[[#This Row],[kbli5]],Table1[[#All],[kbli5]:[digital_hijau]],3,)</f>
        <v>#N/A</v>
      </c>
      <c r="E1516" s="53" t="e">
        <f>VLOOKUP(Table13[[#This Row],[kbli5]],kata_kunci!$B:$H,4,FALSE)</f>
        <v>#N/A</v>
      </c>
      <c r="F1516" s="53" t="e">
        <f>VLOOKUP(Table13[[#This Row],[kbli5]],Table1[[#All],[kbli5]:[digital_hijau]],5,)</f>
        <v>#N/A</v>
      </c>
      <c r="G1516" s="53" t="e">
        <f>VLOOKUP(Table13[[#This Row],[kbli5]],Table1[[#All],[kbli5]:[digital_hijau]],6,)</f>
        <v>#N/A</v>
      </c>
      <c r="H1516" s="54" t="e">
        <f>VLOOKUP(Table13[[#This Row],[kbli5]],kata_kunci!$B:$H,3,FALSE)</f>
        <v>#N/A</v>
      </c>
      <c r="I1516" s="84" t="e">
        <f>VLOOKUP(Table13[[#This Row],[kbli5]],kata_kunci!$B:$H,5,FALSE)</f>
        <v>#N/A</v>
      </c>
      <c r="J1516" s="84" t="e">
        <f>VLOOKUP(Table13[[#This Row],[kbli5]],kata_kunci!$B:$H,6,FALSE)</f>
        <v>#N/A</v>
      </c>
      <c r="K1516" s="84" t="e">
        <f>VLOOKUP(Table13[[#This Row],[kbli5]],kata_kunci!$B:$H,7,FALSE)</f>
        <v>#N/A</v>
      </c>
    </row>
    <row r="1517" spans="1:11" ht="30.75" thickBot="1" x14ac:dyDescent="0.3">
      <c r="A1517" s="53" t="s">
        <v>98</v>
      </c>
      <c r="B1517" s="40">
        <v>93194</v>
      </c>
      <c r="C1517" s="41" t="s">
        <v>1689</v>
      </c>
      <c r="D1517" s="30" t="e">
        <f>VLOOKUP(Table13[[#This Row],[kbli5]],Table1[[#All],[kbli5]:[digital_hijau]],3,)</f>
        <v>#N/A</v>
      </c>
      <c r="E1517" s="53" t="e">
        <f>VLOOKUP(Table13[[#This Row],[kbli5]],kata_kunci!$B:$H,4,FALSE)</f>
        <v>#N/A</v>
      </c>
      <c r="F1517" s="53" t="e">
        <f>VLOOKUP(Table13[[#This Row],[kbli5]],Table1[[#All],[kbli5]:[digital_hijau]],5,)</f>
        <v>#N/A</v>
      </c>
      <c r="G1517" s="53" t="e">
        <f>VLOOKUP(Table13[[#This Row],[kbli5]],Table1[[#All],[kbli5]:[digital_hijau]],6,)</f>
        <v>#N/A</v>
      </c>
      <c r="H1517" s="54" t="e">
        <f>VLOOKUP(Table13[[#This Row],[kbli5]],kata_kunci!$B:$H,3,FALSE)</f>
        <v>#N/A</v>
      </c>
      <c r="I1517" s="84" t="e">
        <f>VLOOKUP(Table13[[#This Row],[kbli5]],kata_kunci!$B:$H,5,FALSE)</f>
        <v>#N/A</v>
      </c>
      <c r="J1517" s="84" t="e">
        <f>VLOOKUP(Table13[[#This Row],[kbli5]],kata_kunci!$B:$H,6,FALSE)</f>
        <v>#N/A</v>
      </c>
      <c r="K1517" s="84" t="e">
        <f>VLOOKUP(Table13[[#This Row],[kbli5]],kata_kunci!$B:$H,7,FALSE)</f>
        <v>#N/A</v>
      </c>
    </row>
    <row r="1518" spans="1:11" ht="30.75" thickBot="1" x14ac:dyDescent="0.3">
      <c r="A1518" s="53" t="s">
        <v>98</v>
      </c>
      <c r="B1518" s="40">
        <v>93195</v>
      </c>
      <c r="C1518" s="41" t="s">
        <v>1690</v>
      </c>
      <c r="D1518" s="30" t="e">
        <f>VLOOKUP(Table13[[#This Row],[kbli5]],Table1[[#All],[kbli5]:[digital_hijau]],3,)</f>
        <v>#N/A</v>
      </c>
      <c r="E1518" s="53" t="e">
        <f>VLOOKUP(Table13[[#This Row],[kbli5]],kata_kunci!$B:$H,4,FALSE)</f>
        <v>#N/A</v>
      </c>
      <c r="F1518" s="53" t="e">
        <f>VLOOKUP(Table13[[#This Row],[kbli5]],Table1[[#All],[kbli5]:[digital_hijau]],5,)</f>
        <v>#N/A</v>
      </c>
      <c r="G1518" s="53" t="e">
        <f>VLOOKUP(Table13[[#This Row],[kbli5]],Table1[[#All],[kbli5]:[digital_hijau]],6,)</f>
        <v>#N/A</v>
      </c>
      <c r="H1518" s="54" t="e">
        <f>VLOOKUP(Table13[[#This Row],[kbli5]],kata_kunci!$B:$H,3,FALSE)</f>
        <v>#N/A</v>
      </c>
      <c r="I1518" s="84" t="e">
        <f>VLOOKUP(Table13[[#This Row],[kbli5]],kata_kunci!$B:$H,5,FALSE)</f>
        <v>#N/A</v>
      </c>
      <c r="J1518" s="84" t="e">
        <f>VLOOKUP(Table13[[#This Row],[kbli5]],kata_kunci!$B:$H,6,FALSE)</f>
        <v>#N/A</v>
      </c>
      <c r="K1518" s="84" t="e">
        <f>VLOOKUP(Table13[[#This Row],[kbli5]],kata_kunci!$B:$H,7,FALSE)</f>
        <v>#N/A</v>
      </c>
    </row>
    <row r="1519" spans="1:11" ht="30.75" thickBot="1" x14ac:dyDescent="0.3">
      <c r="A1519" s="53" t="s">
        <v>98</v>
      </c>
      <c r="B1519" s="40">
        <v>93196</v>
      </c>
      <c r="C1519" s="41" t="s">
        <v>1691</v>
      </c>
      <c r="D1519" s="30" t="e">
        <f>VLOOKUP(Table13[[#This Row],[kbli5]],Table1[[#All],[kbli5]:[digital_hijau]],3,)</f>
        <v>#N/A</v>
      </c>
      <c r="E1519" s="53" t="e">
        <f>VLOOKUP(Table13[[#This Row],[kbli5]],kata_kunci!$B:$H,4,FALSE)</f>
        <v>#N/A</v>
      </c>
      <c r="F1519" s="53" t="e">
        <f>VLOOKUP(Table13[[#This Row],[kbli5]],Table1[[#All],[kbli5]:[digital_hijau]],5,)</f>
        <v>#N/A</v>
      </c>
      <c r="G1519" s="53" t="e">
        <f>VLOOKUP(Table13[[#This Row],[kbli5]],Table1[[#All],[kbli5]:[digital_hijau]],6,)</f>
        <v>#N/A</v>
      </c>
      <c r="H1519" s="54" t="e">
        <f>VLOOKUP(Table13[[#This Row],[kbli5]],kata_kunci!$B:$H,3,FALSE)</f>
        <v>#N/A</v>
      </c>
      <c r="I1519" s="84" t="e">
        <f>VLOOKUP(Table13[[#This Row],[kbli5]],kata_kunci!$B:$H,5,FALSE)</f>
        <v>#N/A</v>
      </c>
      <c r="J1519" s="84" t="e">
        <f>VLOOKUP(Table13[[#This Row],[kbli5]],kata_kunci!$B:$H,6,FALSE)</f>
        <v>#N/A</v>
      </c>
      <c r="K1519" s="84" t="e">
        <f>VLOOKUP(Table13[[#This Row],[kbli5]],kata_kunci!$B:$H,7,FALSE)</f>
        <v>#N/A</v>
      </c>
    </row>
    <row r="1520" spans="1:11" ht="45.75" thickBot="1" x14ac:dyDescent="0.3">
      <c r="A1520" s="53" t="s">
        <v>98</v>
      </c>
      <c r="B1520" s="40">
        <v>93197</v>
      </c>
      <c r="C1520" s="41" t="s">
        <v>1692</v>
      </c>
      <c r="D1520" s="30" t="e">
        <f>VLOOKUP(Table13[[#This Row],[kbli5]],Table1[[#All],[kbli5]:[digital_hijau]],3,)</f>
        <v>#N/A</v>
      </c>
      <c r="E1520" s="53" t="e">
        <f>VLOOKUP(Table13[[#This Row],[kbli5]],kata_kunci!$B:$H,4,FALSE)</f>
        <v>#N/A</v>
      </c>
      <c r="F1520" s="53" t="e">
        <f>VLOOKUP(Table13[[#This Row],[kbli5]],Table1[[#All],[kbli5]:[digital_hijau]],5,)</f>
        <v>#N/A</v>
      </c>
      <c r="G1520" s="53" t="e">
        <f>VLOOKUP(Table13[[#This Row],[kbli5]],Table1[[#All],[kbli5]:[digital_hijau]],6,)</f>
        <v>#N/A</v>
      </c>
      <c r="H1520" s="54" t="e">
        <f>VLOOKUP(Table13[[#This Row],[kbli5]],kata_kunci!$B:$H,3,FALSE)</f>
        <v>#N/A</v>
      </c>
      <c r="I1520" s="84" t="e">
        <f>VLOOKUP(Table13[[#This Row],[kbli5]],kata_kunci!$B:$H,5,FALSE)</f>
        <v>#N/A</v>
      </c>
      <c r="J1520" s="84" t="e">
        <f>VLOOKUP(Table13[[#This Row],[kbli5]],kata_kunci!$B:$H,6,FALSE)</f>
        <v>#N/A</v>
      </c>
      <c r="K1520" s="84" t="e">
        <f>VLOOKUP(Table13[[#This Row],[kbli5]],kata_kunci!$B:$H,7,FALSE)</f>
        <v>#N/A</v>
      </c>
    </row>
    <row r="1521" spans="1:11" ht="45.75" thickBot="1" x14ac:dyDescent="0.3">
      <c r="A1521" s="53" t="s">
        <v>98</v>
      </c>
      <c r="B1521" s="40">
        <v>93199</v>
      </c>
      <c r="C1521" s="41" t="s">
        <v>1693</v>
      </c>
      <c r="D1521" s="30" t="e">
        <f>VLOOKUP(Table13[[#This Row],[kbli5]],Table1[[#All],[kbli5]:[digital_hijau]],3,)</f>
        <v>#N/A</v>
      </c>
      <c r="E1521" s="53" t="e">
        <f>VLOOKUP(Table13[[#This Row],[kbli5]],kata_kunci!$B:$H,4,FALSE)</f>
        <v>#N/A</v>
      </c>
      <c r="F1521" s="53" t="e">
        <f>VLOOKUP(Table13[[#This Row],[kbli5]],Table1[[#All],[kbli5]:[digital_hijau]],5,)</f>
        <v>#N/A</v>
      </c>
      <c r="G1521" s="53" t="e">
        <f>VLOOKUP(Table13[[#This Row],[kbli5]],Table1[[#All],[kbli5]:[digital_hijau]],6,)</f>
        <v>#N/A</v>
      </c>
      <c r="H1521" s="54" t="e">
        <f>VLOOKUP(Table13[[#This Row],[kbli5]],kata_kunci!$B:$H,3,FALSE)</f>
        <v>#N/A</v>
      </c>
      <c r="I1521" s="84" t="e">
        <f>VLOOKUP(Table13[[#This Row],[kbli5]],kata_kunci!$B:$H,5,FALSE)</f>
        <v>#N/A</v>
      </c>
      <c r="J1521" s="84" t="e">
        <f>VLOOKUP(Table13[[#This Row],[kbli5]],kata_kunci!$B:$H,6,FALSE)</f>
        <v>#N/A</v>
      </c>
      <c r="K1521" s="84" t="e">
        <f>VLOOKUP(Table13[[#This Row],[kbli5]],kata_kunci!$B:$H,7,FALSE)</f>
        <v>#N/A</v>
      </c>
    </row>
    <row r="1522" spans="1:11" ht="45.75" thickBot="1" x14ac:dyDescent="0.3">
      <c r="A1522" s="53" t="s">
        <v>98</v>
      </c>
      <c r="B1522" s="40">
        <v>93210</v>
      </c>
      <c r="C1522" s="41" t="s">
        <v>1694</v>
      </c>
      <c r="D1522" s="30" t="e">
        <f>VLOOKUP(Table13[[#This Row],[kbli5]],Table1[[#All],[kbli5]:[digital_hijau]],3,)</f>
        <v>#N/A</v>
      </c>
      <c r="E1522" s="53" t="e">
        <f>VLOOKUP(Table13[[#This Row],[kbli5]],kata_kunci!$B:$H,4,FALSE)</f>
        <v>#N/A</v>
      </c>
      <c r="F1522" s="53" t="e">
        <f>VLOOKUP(Table13[[#This Row],[kbli5]],Table1[[#All],[kbli5]:[digital_hijau]],5,)</f>
        <v>#N/A</v>
      </c>
      <c r="G1522" s="53" t="e">
        <f>VLOOKUP(Table13[[#This Row],[kbli5]],Table1[[#All],[kbli5]:[digital_hijau]],6,)</f>
        <v>#N/A</v>
      </c>
      <c r="H1522" s="54" t="e">
        <f>VLOOKUP(Table13[[#This Row],[kbli5]],kata_kunci!$B:$H,3,FALSE)</f>
        <v>#N/A</v>
      </c>
      <c r="I1522" s="84" t="e">
        <f>VLOOKUP(Table13[[#This Row],[kbli5]],kata_kunci!$B:$H,5,FALSE)</f>
        <v>#N/A</v>
      </c>
      <c r="J1522" s="84" t="e">
        <f>VLOOKUP(Table13[[#This Row],[kbli5]],kata_kunci!$B:$H,6,FALSE)</f>
        <v>#N/A</v>
      </c>
      <c r="K1522" s="84" t="e">
        <f>VLOOKUP(Table13[[#This Row],[kbli5]],kata_kunci!$B:$H,7,FALSE)</f>
        <v>#N/A</v>
      </c>
    </row>
    <row r="1523" spans="1:11" ht="15.75" thickBot="1" x14ac:dyDescent="0.3">
      <c r="A1523" s="53" t="s">
        <v>98</v>
      </c>
      <c r="B1523" s="40">
        <v>93291</v>
      </c>
      <c r="C1523" s="41" t="s">
        <v>1695</v>
      </c>
      <c r="D1523" s="30" t="e">
        <f>VLOOKUP(Table13[[#This Row],[kbli5]],Table1[[#All],[kbli5]:[digital_hijau]],3,)</f>
        <v>#N/A</v>
      </c>
      <c r="E1523" s="53" t="e">
        <f>VLOOKUP(Table13[[#This Row],[kbli5]],kata_kunci!$B:$H,4,FALSE)</f>
        <v>#N/A</v>
      </c>
      <c r="F1523" s="53" t="e">
        <f>VLOOKUP(Table13[[#This Row],[kbli5]],Table1[[#All],[kbli5]:[digital_hijau]],5,)</f>
        <v>#N/A</v>
      </c>
      <c r="G1523" s="53" t="e">
        <f>VLOOKUP(Table13[[#This Row],[kbli5]],Table1[[#All],[kbli5]:[digital_hijau]],6,)</f>
        <v>#N/A</v>
      </c>
      <c r="H1523" s="54" t="e">
        <f>VLOOKUP(Table13[[#This Row],[kbli5]],kata_kunci!$B:$H,3,FALSE)</f>
        <v>#N/A</v>
      </c>
      <c r="I1523" s="84" t="e">
        <f>VLOOKUP(Table13[[#This Row],[kbli5]],kata_kunci!$B:$H,5,FALSE)</f>
        <v>#N/A</v>
      </c>
      <c r="J1523" s="84" t="e">
        <f>VLOOKUP(Table13[[#This Row],[kbli5]],kata_kunci!$B:$H,6,FALSE)</f>
        <v>#N/A</v>
      </c>
      <c r="K1523" s="84" t="e">
        <f>VLOOKUP(Table13[[#This Row],[kbli5]],kata_kunci!$B:$H,7,FALSE)</f>
        <v>#N/A</v>
      </c>
    </row>
    <row r="1524" spans="1:11" ht="30.75" thickBot="1" x14ac:dyDescent="0.3">
      <c r="A1524" s="53" t="s">
        <v>98</v>
      </c>
      <c r="B1524" s="40">
        <v>93292</v>
      </c>
      <c r="C1524" s="41" t="s">
        <v>1696</v>
      </c>
      <c r="D1524" s="30" t="e">
        <f>VLOOKUP(Table13[[#This Row],[kbli5]],Table1[[#All],[kbli5]:[digital_hijau]],3,)</f>
        <v>#N/A</v>
      </c>
      <c r="E1524" s="53" t="e">
        <f>VLOOKUP(Table13[[#This Row],[kbli5]],kata_kunci!$B:$H,4,FALSE)</f>
        <v>#N/A</v>
      </c>
      <c r="F1524" s="53" t="e">
        <f>VLOOKUP(Table13[[#This Row],[kbli5]],Table1[[#All],[kbli5]:[digital_hijau]],5,)</f>
        <v>#N/A</v>
      </c>
      <c r="G1524" s="53" t="e">
        <f>VLOOKUP(Table13[[#This Row],[kbli5]],Table1[[#All],[kbli5]:[digital_hijau]],6,)</f>
        <v>#N/A</v>
      </c>
      <c r="H1524" s="54" t="e">
        <f>VLOOKUP(Table13[[#This Row],[kbli5]],kata_kunci!$B:$H,3,FALSE)</f>
        <v>#N/A</v>
      </c>
      <c r="I1524" s="84" t="e">
        <f>VLOOKUP(Table13[[#This Row],[kbli5]],kata_kunci!$B:$H,5,FALSE)</f>
        <v>#N/A</v>
      </c>
      <c r="J1524" s="84" t="e">
        <f>VLOOKUP(Table13[[#This Row],[kbli5]],kata_kunci!$B:$H,6,FALSE)</f>
        <v>#N/A</v>
      </c>
      <c r="K1524" s="84" t="e">
        <f>VLOOKUP(Table13[[#This Row],[kbli5]],kata_kunci!$B:$H,7,FALSE)</f>
        <v>#N/A</v>
      </c>
    </row>
    <row r="1525" spans="1:11" ht="30.75" thickBot="1" x14ac:dyDescent="0.3">
      <c r="A1525" s="53" t="s">
        <v>98</v>
      </c>
      <c r="B1525" s="40">
        <v>93293</v>
      </c>
      <c r="C1525" s="41" t="s">
        <v>1697</v>
      </c>
      <c r="D1525" s="30" t="e">
        <f>VLOOKUP(Table13[[#This Row],[kbli5]],Table1[[#All],[kbli5]:[digital_hijau]],3,)</f>
        <v>#N/A</v>
      </c>
      <c r="E1525" s="53" t="e">
        <f>VLOOKUP(Table13[[#This Row],[kbli5]],kata_kunci!$B:$H,4,FALSE)</f>
        <v>#N/A</v>
      </c>
      <c r="F1525" s="53" t="e">
        <f>VLOOKUP(Table13[[#This Row],[kbli5]],Table1[[#All],[kbli5]:[digital_hijau]],5,)</f>
        <v>#N/A</v>
      </c>
      <c r="G1525" s="53" t="e">
        <f>VLOOKUP(Table13[[#This Row],[kbli5]],Table1[[#All],[kbli5]:[digital_hijau]],6,)</f>
        <v>#N/A</v>
      </c>
      <c r="H1525" s="54" t="e">
        <f>VLOOKUP(Table13[[#This Row],[kbli5]],kata_kunci!$B:$H,3,FALSE)</f>
        <v>#N/A</v>
      </c>
      <c r="I1525" s="84" t="e">
        <f>VLOOKUP(Table13[[#This Row],[kbli5]],kata_kunci!$B:$H,5,FALSE)</f>
        <v>#N/A</v>
      </c>
      <c r="J1525" s="84" t="e">
        <f>VLOOKUP(Table13[[#This Row],[kbli5]],kata_kunci!$B:$H,6,FALSE)</f>
        <v>#N/A</v>
      </c>
      <c r="K1525" s="84" t="e">
        <f>VLOOKUP(Table13[[#This Row],[kbli5]],kata_kunci!$B:$H,7,FALSE)</f>
        <v>#N/A</v>
      </c>
    </row>
    <row r="1526" spans="1:11" ht="30.75" thickBot="1" x14ac:dyDescent="0.3">
      <c r="A1526" s="53" t="s">
        <v>98</v>
      </c>
      <c r="B1526" s="40">
        <v>93294</v>
      </c>
      <c r="C1526" s="41" t="s">
        <v>1698</v>
      </c>
      <c r="D1526" s="30" t="e">
        <f>VLOOKUP(Table13[[#This Row],[kbli5]],Table1[[#All],[kbli5]:[digital_hijau]],3,)</f>
        <v>#N/A</v>
      </c>
      <c r="E1526" s="53" t="e">
        <f>VLOOKUP(Table13[[#This Row],[kbli5]],kata_kunci!$B:$H,4,FALSE)</f>
        <v>#N/A</v>
      </c>
      <c r="F1526" s="53" t="e">
        <f>VLOOKUP(Table13[[#This Row],[kbli5]],Table1[[#All],[kbli5]:[digital_hijau]],5,)</f>
        <v>#N/A</v>
      </c>
      <c r="G1526" s="53" t="e">
        <f>VLOOKUP(Table13[[#This Row],[kbli5]],Table1[[#All],[kbli5]:[digital_hijau]],6,)</f>
        <v>#N/A</v>
      </c>
      <c r="H1526" s="54" t="e">
        <f>VLOOKUP(Table13[[#This Row],[kbli5]],kata_kunci!$B:$H,3,FALSE)</f>
        <v>#N/A</v>
      </c>
      <c r="I1526" s="84" t="e">
        <f>VLOOKUP(Table13[[#This Row],[kbli5]],kata_kunci!$B:$H,5,FALSE)</f>
        <v>#N/A</v>
      </c>
      <c r="J1526" s="84" t="e">
        <f>VLOOKUP(Table13[[#This Row],[kbli5]],kata_kunci!$B:$H,6,FALSE)</f>
        <v>#N/A</v>
      </c>
      <c r="K1526" s="84" t="e">
        <f>VLOOKUP(Table13[[#This Row],[kbli5]],kata_kunci!$B:$H,7,FALSE)</f>
        <v>#N/A</v>
      </c>
    </row>
    <row r="1527" spans="1:11" ht="15.75" thickBot="1" x14ac:dyDescent="0.3">
      <c r="A1527" s="53" t="s">
        <v>98</v>
      </c>
      <c r="B1527" s="40">
        <v>93295</v>
      </c>
      <c r="C1527" s="41" t="s">
        <v>1699</v>
      </c>
      <c r="D1527" s="30" t="e">
        <f>VLOOKUP(Table13[[#This Row],[kbli5]],Table1[[#All],[kbli5]:[digital_hijau]],3,)</f>
        <v>#N/A</v>
      </c>
      <c r="E1527" s="53" t="e">
        <f>VLOOKUP(Table13[[#This Row],[kbli5]],kata_kunci!$B:$H,4,FALSE)</f>
        <v>#N/A</v>
      </c>
      <c r="F1527" s="53" t="e">
        <f>VLOOKUP(Table13[[#This Row],[kbli5]],Table1[[#All],[kbli5]:[digital_hijau]],5,)</f>
        <v>#N/A</v>
      </c>
      <c r="G1527" s="53" t="e">
        <f>VLOOKUP(Table13[[#This Row],[kbli5]],Table1[[#All],[kbli5]:[digital_hijau]],6,)</f>
        <v>#N/A</v>
      </c>
      <c r="H1527" s="54" t="e">
        <f>VLOOKUP(Table13[[#This Row],[kbli5]],kata_kunci!$B:$H,3,FALSE)</f>
        <v>#N/A</v>
      </c>
      <c r="I1527" s="84" t="e">
        <f>VLOOKUP(Table13[[#This Row],[kbli5]],kata_kunci!$B:$H,5,FALSE)</f>
        <v>#N/A</v>
      </c>
      <c r="J1527" s="84" t="e">
        <f>VLOOKUP(Table13[[#This Row],[kbli5]],kata_kunci!$B:$H,6,FALSE)</f>
        <v>#N/A</v>
      </c>
      <c r="K1527" s="84" t="e">
        <f>VLOOKUP(Table13[[#This Row],[kbli5]],kata_kunci!$B:$H,7,FALSE)</f>
        <v>#N/A</v>
      </c>
    </row>
    <row r="1528" spans="1:11" ht="15.75" thickBot="1" x14ac:dyDescent="0.3">
      <c r="A1528" s="53" t="s">
        <v>98</v>
      </c>
      <c r="B1528" s="40">
        <v>93296</v>
      </c>
      <c r="C1528" s="41" t="s">
        <v>1700</v>
      </c>
      <c r="D1528" s="30" t="e">
        <f>VLOOKUP(Table13[[#This Row],[kbli5]],Table1[[#All],[kbli5]:[digital_hijau]],3,)</f>
        <v>#N/A</v>
      </c>
      <c r="E1528" s="53" t="e">
        <f>VLOOKUP(Table13[[#This Row],[kbli5]],kata_kunci!$B:$H,4,FALSE)</f>
        <v>#N/A</v>
      </c>
      <c r="F1528" s="53" t="e">
        <f>VLOOKUP(Table13[[#This Row],[kbli5]],Table1[[#All],[kbli5]:[digital_hijau]],5,)</f>
        <v>#N/A</v>
      </c>
      <c r="G1528" s="53" t="e">
        <f>VLOOKUP(Table13[[#This Row],[kbli5]],Table1[[#All],[kbli5]:[digital_hijau]],6,)</f>
        <v>#N/A</v>
      </c>
      <c r="H1528" s="54" t="e">
        <f>VLOOKUP(Table13[[#This Row],[kbli5]],kata_kunci!$B:$H,3,FALSE)</f>
        <v>#N/A</v>
      </c>
      <c r="I1528" s="84" t="e">
        <f>VLOOKUP(Table13[[#This Row],[kbli5]],kata_kunci!$B:$H,5,FALSE)</f>
        <v>#N/A</v>
      </c>
      <c r="J1528" s="84" t="e">
        <f>VLOOKUP(Table13[[#This Row],[kbli5]],kata_kunci!$B:$H,6,FALSE)</f>
        <v>#N/A</v>
      </c>
      <c r="K1528" s="84" t="e">
        <f>VLOOKUP(Table13[[#This Row],[kbli5]],kata_kunci!$B:$H,7,FALSE)</f>
        <v>#N/A</v>
      </c>
    </row>
    <row r="1529" spans="1:11" ht="15.75" thickBot="1" x14ac:dyDescent="0.3">
      <c r="A1529" s="53" t="s">
        <v>98</v>
      </c>
      <c r="B1529" s="40">
        <v>93297</v>
      </c>
      <c r="C1529" s="41" t="s">
        <v>1701</v>
      </c>
      <c r="D1529" s="30" t="e">
        <f>VLOOKUP(Table13[[#This Row],[kbli5]],Table1[[#All],[kbli5]:[digital_hijau]],3,)</f>
        <v>#N/A</v>
      </c>
      <c r="E1529" s="53" t="e">
        <f>VLOOKUP(Table13[[#This Row],[kbli5]],kata_kunci!$B:$H,4,FALSE)</f>
        <v>#N/A</v>
      </c>
      <c r="F1529" s="53" t="e">
        <f>VLOOKUP(Table13[[#This Row],[kbli5]],Table1[[#All],[kbli5]:[digital_hijau]],5,)</f>
        <v>#N/A</v>
      </c>
      <c r="G1529" s="53" t="e">
        <f>VLOOKUP(Table13[[#This Row],[kbli5]],Table1[[#All],[kbli5]:[digital_hijau]],6,)</f>
        <v>#N/A</v>
      </c>
      <c r="H1529" s="54" t="e">
        <f>VLOOKUP(Table13[[#This Row],[kbli5]],kata_kunci!$B:$H,3,FALSE)</f>
        <v>#N/A</v>
      </c>
      <c r="I1529" s="84" t="e">
        <f>VLOOKUP(Table13[[#This Row],[kbli5]],kata_kunci!$B:$H,5,FALSE)</f>
        <v>#N/A</v>
      </c>
      <c r="J1529" s="84" t="e">
        <f>VLOOKUP(Table13[[#This Row],[kbli5]],kata_kunci!$B:$H,6,FALSE)</f>
        <v>#N/A</v>
      </c>
      <c r="K1529" s="84" t="e">
        <f>VLOOKUP(Table13[[#This Row],[kbli5]],kata_kunci!$B:$H,7,FALSE)</f>
        <v>#N/A</v>
      </c>
    </row>
    <row r="1530" spans="1:11" ht="30.75" thickBot="1" x14ac:dyDescent="0.3">
      <c r="A1530" s="53" t="s">
        <v>98</v>
      </c>
      <c r="B1530" s="40">
        <v>93299</v>
      </c>
      <c r="C1530" s="41" t="s">
        <v>1702</v>
      </c>
      <c r="D1530" s="30" t="e">
        <f>VLOOKUP(Table13[[#This Row],[kbli5]],Table1[[#All],[kbli5]:[digital_hijau]],3,)</f>
        <v>#N/A</v>
      </c>
      <c r="E1530" s="53" t="e">
        <f>VLOOKUP(Table13[[#This Row],[kbli5]],kata_kunci!$B:$H,4,FALSE)</f>
        <v>#N/A</v>
      </c>
      <c r="F1530" s="53" t="e">
        <f>VLOOKUP(Table13[[#This Row],[kbli5]],Table1[[#All],[kbli5]:[digital_hijau]],5,)</f>
        <v>#N/A</v>
      </c>
      <c r="G1530" s="53" t="e">
        <f>VLOOKUP(Table13[[#This Row],[kbli5]],Table1[[#All],[kbli5]:[digital_hijau]],6,)</f>
        <v>#N/A</v>
      </c>
      <c r="H1530" s="54" t="e">
        <f>VLOOKUP(Table13[[#This Row],[kbli5]],kata_kunci!$B:$H,3,FALSE)</f>
        <v>#N/A</v>
      </c>
      <c r="I1530" s="84" t="e">
        <f>VLOOKUP(Table13[[#This Row],[kbli5]],kata_kunci!$B:$H,5,FALSE)</f>
        <v>#N/A</v>
      </c>
      <c r="J1530" s="84" t="e">
        <f>VLOOKUP(Table13[[#This Row],[kbli5]],kata_kunci!$B:$H,6,FALSE)</f>
        <v>#N/A</v>
      </c>
      <c r="K1530" s="84" t="e">
        <f>VLOOKUP(Table13[[#This Row],[kbli5]],kata_kunci!$B:$H,7,FALSE)</f>
        <v>#N/A</v>
      </c>
    </row>
    <row r="1531" spans="1:11" ht="64.5" thickBot="1" x14ac:dyDescent="0.3">
      <c r="A1531" s="53" t="s">
        <v>109</v>
      </c>
      <c r="B1531" s="40">
        <v>94110</v>
      </c>
      <c r="C1531" s="41" t="s">
        <v>1703</v>
      </c>
      <c r="D1531" s="30" t="str">
        <f>VLOOKUP(Table13[[#This Row],[kbli5]],Table1[[#All],[kbli5]:[digital_hijau]],3,)</f>
        <v>Aktv organisasi bisnis &amp; pengusaha; Kadin (Kamar Dagang dan Industri) Provinsi Riau; GAPKI (Gabungan Pengusaha Kelapa Sawit Indonesia) Cabang Riau; APINDO (Asosiasi Pengusaha Indonesia) Riau;</v>
      </c>
      <c r="E1531" s="53" t="e">
        <f>VLOOKUP(Table13[[#This Row],[kbli5]],kata_kunci!$B:$H,4,FALSE)</f>
        <v>#N/A</v>
      </c>
      <c r="F1531" s="53" t="str">
        <f>VLOOKUP(Table13[[#This Row],[kbli5]],Table1[[#All],[kbli5]:[digital_hijau]],5,)</f>
        <v>Esensial</v>
      </c>
      <c r="G1531" s="53">
        <f>VLOOKUP(Table13[[#This Row],[kbli5]],Table1[[#All],[kbli5]:[digital_hijau]],6,)</f>
        <v>0</v>
      </c>
      <c r="H1531" s="54" t="e">
        <f>VLOOKUP(Table13[[#This Row],[kbli5]],kata_kunci!$B:$H,3,FALSE)</f>
        <v>#N/A</v>
      </c>
      <c r="I1531" s="84" t="e">
        <f>VLOOKUP(Table13[[#This Row],[kbli5]],kata_kunci!$B:$H,5,FALSE)</f>
        <v>#N/A</v>
      </c>
      <c r="J1531" s="84" t="e">
        <f>VLOOKUP(Table13[[#This Row],[kbli5]],kata_kunci!$B:$H,6,FALSE)</f>
        <v>#N/A</v>
      </c>
      <c r="K1531" s="84" t="e">
        <f>VLOOKUP(Table13[[#This Row],[kbli5]],kata_kunci!$B:$H,7,FALSE)</f>
        <v>#N/A</v>
      </c>
    </row>
    <row r="1532" spans="1:11" ht="78" thickBot="1" x14ac:dyDescent="0.3">
      <c r="A1532" s="53" t="s">
        <v>109</v>
      </c>
      <c r="B1532" s="40">
        <v>94121</v>
      </c>
      <c r="C1532" s="41" t="s">
        <v>1704</v>
      </c>
      <c r="D1532" s="30" t="str">
        <f>VLOOKUP(Table13[[#This Row],[kbli5]],Table1[[#All],[kbli5]:[digital_hijau]],3,)</f>
        <v>Aktv organisasi IPS &amp; masyarakat; IDI (Ikatan Dokter Indonesia) Wilayah Riau;PWI (Persatuan Wartawan Indonesia) Riau; PGRI Provinsi Riau;</v>
      </c>
      <c r="E1532" s="53" t="str">
        <f>VLOOKUP(Table13[[#This Row],[kbli5]],kata_kunci!$B:$H,4,FALSE)</f>
        <v>Menghimpun;Membina;Mengembangkan;Mewakili;Mengadvokasi;Menyelenggarakan;Memfasilitasi;Menetapkan standar;Menyebarluaskan informasi;Mengoordinasikan anggota;</v>
      </c>
      <c r="F1532" s="53" t="str">
        <f>VLOOKUP(Table13[[#This Row],[kbli5]],Table1[[#All],[kbli5]:[digital_hijau]],5,)</f>
        <v>Esensial</v>
      </c>
      <c r="G1532" s="53">
        <f>VLOOKUP(Table13[[#This Row],[kbli5]],Table1[[#All],[kbli5]:[digital_hijau]],6,)</f>
        <v>0</v>
      </c>
      <c r="H1532" s="54" t="str">
        <f>VLOOKUP(Table13[[#This Row],[kbli5]],kata_kunci!$B:$H,3,FALSE)</f>
        <v>mencakup kegiatan organisasi keagamaan Islam yang bertujuan untuk pembinaan; pelayanan; pendidikan; dakwah; sosial; dan kegiatan keagamaan lainnya bagi masyarakat.;</v>
      </c>
      <c r="I1532" s="84" t="str">
        <f>VLOOKUP(Table13[[#This Row],[kbli5]],kata_kunci!$B:$H,5,FALSE)</f>
        <v>menyelenggarakan;mengelola;melaksanakan;membina;memfasilitasi;mengadakan;menjalankan kegiatan dakwah;memberikan pelayanan keagamaan;menyebarluaskan syiar Islam;</v>
      </c>
      <c r="J1532" s="84" t="str">
        <f>VLOOKUP(Table13[[#This Row],[kbli5]],kata_kunci!$B:$H,6,FALSE)</f>
        <v>Mengacu ke KBLI;</v>
      </c>
      <c r="K1532" s="84" t="str">
        <f>VLOOKUP(Table13[[#This Row],[kbli5]],kata_kunci!$B:$H,7,FALSE)</f>
        <v>Jasa organisasi profesi;Jasa pengembangan profesi;Seminar dan konferensi profesi;Publikasi ilmiah;Standar profesi;Kode etik profesi;Sertifikat keanggotaan;Jasa advokasi profesi;</v>
      </c>
    </row>
    <row r="1533" spans="1:11" ht="90.75" thickBot="1" x14ac:dyDescent="0.3">
      <c r="A1533" s="53" t="s">
        <v>109</v>
      </c>
      <c r="B1533" s="40">
        <v>94122</v>
      </c>
      <c r="C1533" s="41" t="s">
        <v>1705</v>
      </c>
      <c r="D1533" s="30" t="str">
        <f>VLOOKUP(Table13[[#This Row],[kbli5]],Table1[[#All],[kbli5]:[digital_hijau]],3,)</f>
        <v>Aktv organisasi IPA teknologi; Ikatan Statistisi Indonesia (ISI) Wilayah Riau; Persatuan Insinyur Indonesia (PII) Wilayah Riau; Himpunan Ahli Geofisika Indonesia cabang Riau; Ikatan Surveyor Indonesia wilayah Riau; Perhimpunan ahli lingkungan dan teknologi di Riau;</v>
      </c>
      <c r="E1533" s="53" t="str">
        <f>VLOOKUP(Table13[[#This Row],[kbli5]],kata_kunci!$B:$H,4,FALSE)</f>
        <v>Organisasi profesi;Asosiasi profesi;Perhimpunan profesi;Ikatan profesi;Himpunan profesi;Organisasi ilmiah;Organisasi teknologi;Organisasi insinyur;Organisasi statistisi;Organisasi matematikawan;Organisasi surveyor;Scientific association;Professional association;Technology association;</v>
      </c>
      <c r="F1533" s="53" t="str">
        <f>VLOOKUP(Table13[[#This Row],[kbli5]],Table1[[#All],[kbli5]:[digital_hijau]],5,)</f>
        <v>Esensial</v>
      </c>
      <c r="G1533" s="53">
        <f>VLOOKUP(Table13[[#This Row],[kbli5]],Table1[[#All],[kbli5]:[digital_hijau]],6,)</f>
        <v>0</v>
      </c>
      <c r="H1533" s="54" t="str">
        <f>VLOOKUP(Table13[[#This Row],[kbli5]],kata_kunci!$B:$H,3,FALSE)</f>
        <v>mencakup kegiatan organisasi keagamaan Kristen yang bergerak dalam bidang pelayanan ibadah; pembinaan jemaat; pendidikan keagamaan; sosial; dan kegiatan pelayanan masyarakat berbasis ajaran Kristen.;</v>
      </c>
      <c r="I1533" s="84" t="str">
        <f>VLOOKUP(Table13[[#This Row],[kbli5]],kata_kunci!$B:$H,5,FALSE)</f>
        <v>menyelenggarakan;mengelola;melaksanakan;membina;memfasilitasi;memberikan pelayanan rohani;mengadakan ibadah;menjalankan kegiatan sosial keagamaan;menyebarluaskan ajaran Kristen;</v>
      </c>
      <c r="J1533" s="84" t="str">
        <f>VLOOKUP(Table13[[#This Row],[kbli5]],kata_kunci!$B:$H,6,FALSE)</f>
        <v>Mengacu ke KBLI;</v>
      </c>
      <c r="K1533" s="84" t="str">
        <f>VLOOKUP(Table13[[#This Row],[kbli5]],kata_kunci!$B:$H,7,FALSE)</f>
        <v>Jasa organisasi profesi;Jasa pengembangan profesi;Seminar ilmiah;Konferensi teknologi;Pelatihan profesi;Sertifikasi profesi;Publikasi ilmiah;Standar profesi;Kode etik profesi;Jasa advokasi profesi;</v>
      </c>
    </row>
    <row r="1534" spans="1:11" ht="90.75" thickBot="1" x14ac:dyDescent="0.3">
      <c r="A1534" s="53" t="s">
        <v>109</v>
      </c>
      <c r="B1534" s="40">
        <v>94200</v>
      </c>
      <c r="C1534" s="41" t="s">
        <v>1706</v>
      </c>
      <c r="D1534" s="30" t="str">
        <f>VLOOKUP(Table13[[#This Row],[kbli5]],Table1[[#All],[kbli5]:[digital_hijau]],3,)</f>
        <v>Aktv organisasi buruh; DPD SPSI (Serikat Pekerja Seluruh Indonesia) Provinsi Riau; KORPRI unit Pemprov Riau / Pemko Pekanbaru; Federasi Serikat Pekerja Metal Indonesia (FSPMI) Provinsi Riau; Serikat Pekerja Kilang Minyak Putri Tujuh (SP-KMPT) di Dumai; Serikat Pekerja Riau Pulp (RAPP);</v>
      </c>
      <c r="E1534" s="53" t="str">
        <f>VLOOKUP(Table13[[#This Row],[kbli5]],kata_kunci!$B:$H,4,FALSE)</f>
        <v>Serikat pekerja;Serikat buruh;Federasi serikat pekerja;Konfederasi serikat pekerja;Organisasi buruh;Organisasi pekerja;Labour union;Trade union;Organisasi ketenagakerjaan;Perkumpulan pekerja;Asosiasi pekerja;</v>
      </c>
      <c r="F1534" s="53" t="str">
        <f>VLOOKUP(Table13[[#This Row],[kbli5]],Table1[[#All],[kbli5]:[digital_hijau]],5,)</f>
        <v>Esensial</v>
      </c>
      <c r="G1534" s="53">
        <f>VLOOKUP(Table13[[#This Row],[kbli5]],Table1[[#All],[kbli5]:[digital_hijau]],6,)</f>
        <v>0</v>
      </c>
      <c r="H1534" s="54" t="str">
        <f>VLOOKUP(Table13[[#This Row],[kbli5]],kata_kunci!$B:$H,3,FALSE)</f>
        <v>mencakup kegiatan organisasi yang bertujuan untuk mewakili; melindungi; dan memperjuangkan kepentingan pekerja/buruh dalam hubungan industrial; ketenagakerjaan; sosial; dan ekonomi;</v>
      </c>
      <c r="I1534" s="84" t="str">
        <f>VLOOKUP(Table13[[#This Row],[kbli5]],kata_kunci!$B:$H,5,FALSE)</f>
        <v>menyelenggarakan;mengelola;membina;mewakili;memperjuangkan;memberikan advokasi;melakukan mediasi;melindungi hak pekerja;memfasilitasi hubungan industrial;</v>
      </c>
      <c r="J1534" s="84" t="str">
        <f>VLOOKUP(Table13[[#This Row],[kbli5]],kata_kunci!$B:$H,6,FALSE)</f>
        <v>Mengacu ke KBLI;</v>
      </c>
      <c r="K1534" s="84" t="str">
        <f>VLOOKUP(Table13[[#This Row],[kbli5]],kata_kunci!$B:$H,7,FALSE)</f>
        <v>advokasi pekerja;perlindungan hak tenaga kerja;perjanjian kerja bersama (PKB);pembinaan hubungan industrial;pendidikan dan pelatihan pekerja;pelayanan organisasi anggota;</v>
      </c>
    </row>
    <row r="1535" spans="1:11" ht="64.5" thickBot="1" x14ac:dyDescent="0.3">
      <c r="A1535" s="53" t="s">
        <v>109</v>
      </c>
      <c r="B1535" s="40">
        <v>94910</v>
      </c>
      <c r="C1535" s="41" t="s">
        <v>1707</v>
      </c>
      <c r="D1535" s="30" t="str">
        <f>VLOOKUP(Table13[[#This Row],[kbli5]],Table1[[#All],[kbli5]:[digital_hijau]],3,)</f>
        <v>Aktv organisasi keagamaan; Pengurus Masjid Raya An-Nur Riau; Keuskupan/ Majelis Gereja di Pekanbaru; Jasa pemakaman keagamaan yayasan sosial di Riau;</v>
      </c>
      <c r="E1535" s="53" t="str">
        <f>VLOOKUP(Table13[[#This Row],[kbli5]],kata_kunci!$B:$H,4,FALSE)</f>
        <v>Organisasi keagamaan;Tempat ibadah;Masjid;Gereja;Pura;Vihara;Klenteng;Dakwah;Retreat keagamaan;Pembinaan umat;Pemakaman keagamaan;</v>
      </c>
      <c r="F1535" s="53" t="str">
        <f>VLOOKUP(Table13[[#This Row],[kbli5]],Table1[[#All],[kbli5]:[digital_hijau]],5,)</f>
        <v>Esensial</v>
      </c>
      <c r="G1535" s="53">
        <f>VLOOKUP(Table13[[#This Row],[kbli5]],Table1[[#All],[kbli5]:[digital_hijau]],6,)</f>
        <v>0</v>
      </c>
      <c r="H1535" s="54" t="str">
        <f>VLOOKUP(Table13[[#This Row],[kbli5]],kata_kunci!$B:$H,3,FALSE)</f>
        <v>kegiatan organisasi keagamaan yang bergerak dalam penyelenggaraan kegiatan agama dan penyebaran agama;</v>
      </c>
      <c r="I1535" s="84" t="str">
        <f>VLOOKUP(Table13[[#This Row],[kbli5]],kata_kunci!$B:$H,5,FALSE)</f>
        <v>Menyelenggarakan kegiatan keagamaan;Membina umat/jamaah;Mengelola organisasi keagamaan;Melayani kegiatan ibadah;Menyebarkan ajaran agama;Menyelenggarakan retreat keagamaan;Menyediakan layanan keagamaan;</v>
      </c>
      <c r="J1535" s="84" t="str">
        <f>VLOOKUP(Table13[[#This Row],[kbli5]],kata_kunci!$B:$H,6,FALSE)</f>
        <v>Mengacu ke KBLI;</v>
      </c>
      <c r="K1535" s="84" t="str">
        <f>VLOOKUP(Table13[[#This Row],[kbli5]],kata_kunci!$B:$H,7,FALSE)</f>
        <v>Jasa pelayanan keagamaan;Jasa penyelenggaraan kegiatan ibadah;Jasa pembinaan umat/jamaah;Jasa retreat keagamaan;Jasa pemakaman keagamaan;Layanan organisasi keagamaan;</v>
      </c>
    </row>
    <row r="1536" spans="1:11" ht="154.5" thickBot="1" x14ac:dyDescent="0.3">
      <c r="A1536" s="53" t="s">
        <v>109</v>
      </c>
      <c r="B1536" s="40">
        <v>94920</v>
      </c>
      <c r="C1536" s="41" t="s">
        <v>1708</v>
      </c>
      <c r="D1536" s="30" t="str">
        <f>VLOOKUP(Table13[[#This Row],[kbli5]],Table1[[#All],[kbli5]:[digital_hijau]],3,)</f>
        <v>Aktv organisasi politik; DPD Partai Golkar Riau; DPD PDI-P Riau, dll; Organisasi pemuda partai (seperti AMPG atau TMP Riau);</v>
      </c>
      <c r="E1536" s="53" t="str">
        <f>VLOOKUP(Table13[[#This Row],[kbli5]],kata_kunci!$B:$H,4,FALSE)</f>
        <v>Partai politik;Organisasi politik;Pendidikan politik;Kaderisasi;Kampanye politik;Sosialisasi politik;Advokasi politik;Pengurus partai;Sayap partai;Organisasi kepartaian;Musyawarah politik;Kegiatan politik;</v>
      </c>
      <c r="F1536" s="53" t="str">
        <f>VLOOKUP(Table13[[#This Row],[kbli5]],Table1[[#All],[kbli5]:[digital_hijau]],5,)</f>
        <v>Esensial</v>
      </c>
      <c r="G1536" s="53">
        <f>VLOOKUP(Table13[[#This Row],[kbli5]],Table1[[#All],[kbli5]:[digital_hijau]],6,)</f>
        <v>0</v>
      </c>
      <c r="H1536" s="54" t="str">
        <f>VLOOKUP(Table13[[#This Row],[kbli5]],kata_kunci!$B:$H,3,FALSE)</f>
        <v>kegiatan organisasi yang bergerak dalam bidang politik dan organisasi penunjang; seperti organisasi pemuda yang berhubungan dengan partai politik. Kegiatan utamanya meliputi penyebaran informasi politik; hubungan masyarakat; penggalangan dana; kaderisasi; dan upaya memengaruhi proses pengambilan keputusan publik melalui jalur politik.;</v>
      </c>
      <c r="I1536" s="84" t="str">
        <f>VLOOKUP(Table13[[#This Row],[kbli5]],kata_kunci!$B:$H,5,FALSE)</f>
        <v>Menyelenggarakan pendidikan politik;Melaksanakan kaderisasi anggota;Mengorganisasi kegiatan politik;Menggalang dukungan masyarakat;Melakukan sosialisasi program politik;Mengadvokasi kebijakan publik;Mengelola organisasi politik;Menyelenggarakan rapat dan musyawarah politik;Melakukan kampanye politik (sesuai peraturan);Mengembangkan partisipasi politik masyarakat;</v>
      </c>
      <c r="J1536" s="84" t="str">
        <f>VLOOKUP(Table13[[#This Row],[kbli5]],kata_kunci!$B:$H,6,FALSE)</f>
        <v>Mengacu ke KBLI;</v>
      </c>
      <c r="K1536" s="84" t="str">
        <f>VLOOKUP(Table13[[#This Row],[kbli5]],kata_kunci!$B:$H,7,FALSE)</f>
        <v>Jasa organisasi politik;Jasa pendidikan politik;Jasa kaderisasi politik;Jasa advokasi kebijakan;Jasa sosialisasi politik;Jasa pengelolaan organisasi politik;Layanan representasi kepentingan politik anggota;</v>
      </c>
    </row>
    <row r="1537" spans="1:11" ht="167.25" thickBot="1" x14ac:dyDescent="0.3">
      <c r="A1537" s="53" t="s">
        <v>109</v>
      </c>
      <c r="B1537" s="40">
        <v>94990</v>
      </c>
      <c r="C1537" s="41" t="s">
        <v>1709</v>
      </c>
      <c r="D1537" s="30" t="str">
        <f>VLOOKUP(Table13[[#This Row],[kbli5]],Table1[[#All],[kbli5]:[digital_hijau]],3,)</f>
        <v xml:space="preserve">Aktv organisasi lainnya; KNPI (Komite Nasional Pemuda Indonesia) Riau; LSM Lingkungan hidup seperti WALHI Riau atau Jikalahari; Komunitas hobi seperti Pekanbaru Photography Club; Klub Mobil (Lotov, PSF); </v>
      </c>
      <c r="E1537" s="53" t="str">
        <f>VLOOKUP(Table13[[#This Row],[kbli5]],kata_kunci!$B:$H,4,FALSE)</f>
        <v>LSM;Organisasi masyarakat (Ormas);KNPI;KOWANI;Organisasi pemuda;Organisasi lingkungan;Organisasi sosial;Komunitas;Relawan;Filantropi;Asosiasi konsumen;Klub hobi;Klub fotografi;Klub pecinta alam;Organisasi perlindungan hewan;Organisasi budaya dan seni;</v>
      </c>
      <c r="F1537" s="53" t="str">
        <f>VLOOKUP(Table13[[#This Row],[kbli5]],Table1[[#All],[kbli5]:[digital_hijau]],5,)</f>
        <v>Umum Ditemukan</v>
      </c>
      <c r="G1537" s="53">
        <f>VLOOKUP(Table13[[#This Row],[kbli5]],Table1[[#All],[kbli5]:[digital_hijau]],6,)</f>
        <v>0</v>
      </c>
      <c r="H1537" s="54" t="str">
        <f>VLOOKUP(Table13[[#This Row],[kbli5]],kata_kunci!$B:$H,3,FALSE)</f>
        <v>kegiatan organisasi keanggotaan yang bergerak di bidang sosial dan kemasyarakatan yang tidak termasuk organisasi keagamaan (94910) atau organisasi politik (94920). Termasuk LSM; organisasi kepemudaan; organisasi lingkungan; organisasi perlindungan konsumen; organisasi sosial; klub hobi; organisasi sukarelawan; dan berbagai organisasi kemasyarakatan lainnya;</v>
      </c>
      <c r="I1537" s="84" t="str">
        <f>VLOOKUP(Table13[[#This Row],[kbli5]],kata_kunci!$B:$H,5,FALSE)</f>
        <v>Menyelenggarakan kegiatan sosial;Menghimpun anggota;Melakukan advokasi masyarakat;Memberikan bantuan sosial;Mengelola organisasi kemasyarakatan;Menggalang partisipasi masyarakat;Melaksanakan kegiatan kepemudaan;Mengembangkan kegiatan lingkungan;Menyelenggarakan kegiatan sukarela;Membina komunitas;</v>
      </c>
      <c r="J1537" s="84" t="str">
        <f>VLOOKUP(Table13[[#This Row],[kbli5]],kata_kunci!$B:$H,6,FALSE)</f>
        <v>Mengacu ke KBLI;</v>
      </c>
      <c r="K1537" s="84" t="str">
        <f>VLOOKUP(Table13[[#This Row],[kbli5]],kata_kunci!$B:$H,7,FALSE)</f>
        <v>Jasa organisasi kemasyarakatan;Jasa advokasi masyarakat;Jasa pemberdayaan masyarakat;Jasa pembinaan anggota;Jasa kegiatan kepemudaan;Jasa perlindungan konsumen;Jasa kegiatan lingkungan hidup;Jasa kegiatan sukarelawan dan filantropi;</v>
      </c>
    </row>
    <row r="1538" spans="1:11" ht="129" thickBot="1" x14ac:dyDescent="0.3">
      <c r="A1538" s="53" t="s">
        <v>109</v>
      </c>
      <c r="B1538" s="40">
        <v>95101</v>
      </c>
      <c r="C1538" s="41" t="s">
        <v>1710</v>
      </c>
      <c r="D1538" s="30" t="str">
        <f>VLOOKUP(Table13[[#This Row],[kbli5]],Table1[[#All],[kbli5]:[digital_hijau]],3,)</f>
        <v>Reparasi &amp; pemeliharaan komputer; Servis Laptop di Jl. Tuanku Tambusai/Nangka (Pekanbaru). Jasa teknisi panggilan perbaikan server kantor di area perkantoran Sudirman;</v>
      </c>
      <c r="E1538" s="53" t="str">
        <f>VLOOKUP(Table13[[#This Row],[kbli5]],kata_kunci!$B:$H,4,FALSE)</f>
        <v>Servis komputer;Reparasi komputer;Servis laptop;Perbaikan printer;Maintenance komputer;Teknisi komputer;Instalasi komputer;Troubleshooting;Hardware komputer;Server;Scanner;Monitor;Keyboard;Mouse;Hard disk;ATM;POS (Point of Sale);</v>
      </c>
      <c r="F1538" s="53" t="str">
        <f>VLOOKUP(Table13[[#This Row],[kbli5]],Table1[[#All],[kbli5]:[digital_hijau]],5,)</f>
        <v>Umum Ditemukan</v>
      </c>
      <c r="G1538" s="53" t="str">
        <f>VLOOKUP(Table13[[#This Row],[kbli5]],Table1[[#All],[kbli5]:[digital_hijau]],6,)</f>
        <v>Industri digital;</v>
      </c>
      <c r="H1538" s="54" t="str">
        <f>VLOOKUP(Table13[[#This Row],[kbli5]],kata_kunci!$B:$H,3,FALSE)</f>
        <v>encakup kegiatan jasa reparasi; perbaikan; pemeliharaan; dan peningkatan kinerja komputer beserta peralatan pendukungnya. Kegiatan ini meliputi perbaikan perangkat keras (hardware); pemeliharaan rutin; penggantian komponen; instalasi perangkat pendukung; serta troubleshooting komputer dan perangkat sejenis.;</v>
      </c>
      <c r="I1538" s="84" t="str">
        <f>VLOOKUP(Table13[[#This Row],[kbli5]],kata_kunci!$B:$H,5,FALSE)</f>
        <v>Memperbaiki;Mereparasi;Memelihara;Menginstal;Mengganti komponen;Menguji perangkat;Mengonfigurasi;Mendiagnosis kerusakan;Melakukan troubleshooting;Mengoptimalkan kinerja perangkat;</v>
      </c>
      <c r="J1538" s="84" t="str">
        <f>VLOOKUP(Table13[[#This Row],[kbli5]],kata_kunci!$B:$H,6,FALSE)</f>
        <v>Mengacu ke KBLI;</v>
      </c>
      <c r="K1538" s="84" t="str">
        <f>VLOOKUP(Table13[[#This Row],[kbli5]],kata_kunci!$B:$H,7,FALSE)</f>
        <v>Jasa reparasi komputer;Jasa servis laptop;Jasa pemeliharaan komputer;Jasa perbaikan printer;Jasa instalasi perangkat komputer;Jasa troubleshooting perangkat TI;Jasa pemeliharaan server;Jasa perbaikan perangkat pendukung komputer;</v>
      </c>
    </row>
    <row r="1539" spans="1:11" ht="141.75" thickBot="1" x14ac:dyDescent="0.3">
      <c r="A1539" s="53" t="s">
        <v>109</v>
      </c>
      <c r="B1539" s="40">
        <v>95102</v>
      </c>
      <c r="C1539" s="41" t="s">
        <v>1711</v>
      </c>
      <c r="D1539" s="30" t="str">
        <f>VLOOKUP(Table13[[#This Row],[kbli5]],Table1[[#All],[kbli5]:[digital_hijau]],3,)</f>
        <v>Reparasi &amp; pemeliharaan alat komunikasi; Service Center HP Resmi/ non resmi (Samsung/ Oppo/ Xiaomi) di Mal Pekanbaru; Jasa perbaikan radio komunikasi (HT) untuk pekerja lapangan site kelapa sawit/migas;</v>
      </c>
      <c r="E1539" s="53" t="str">
        <f>VLOOKUP(Table13[[#This Row],[kbli5]],kata_kunci!$B:$H,4,FALSE)</f>
        <v/>
      </c>
      <c r="F1539" s="53" t="str">
        <f>VLOOKUP(Table13[[#This Row],[kbli5]],Table1[[#All],[kbli5]:[digital_hijau]],5,)</f>
        <v>Umum Ditemukan</v>
      </c>
      <c r="G1539" s="53">
        <f>VLOOKUP(Table13[[#This Row],[kbli5]],Table1[[#All],[kbli5]:[digital_hijau]],6,)</f>
        <v>0</v>
      </c>
      <c r="H1539" s="54" t="str">
        <f>VLOOKUP(Table13[[#This Row],[kbli5]],kata_kunci!$B:$H,3,FALSE)</f>
        <v>Mencakup kegiatan reparasi; perbaikan; dan pemeliharaan berbagai peralatan komunikasi; baik telekomunikasi nirkabel maupun kabel. Termasuk telepon seluler; tablet; modem; router; perangkat radio komunikasi; perangkat pemancar dan penerima radio; perangkat jaringan telekomunikasi; hingga peralatan transmisi komunikasi;</v>
      </c>
      <c r="I1539" s="84" t="str">
        <f>VLOOKUP(Table13[[#This Row],[kbli5]],kata_kunci!$B:$H,5,FALSE)</f>
        <v/>
      </c>
      <c r="J1539" s="84" t="str">
        <f>VLOOKUP(Table13[[#This Row],[kbli5]],kata_kunci!$B:$H,6,FALSE)</f>
        <v>Mengacu ke KBLI;</v>
      </c>
      <c r="K1539" s="84" t="str">
        <f>VLOOKUP(Table13[[#This Row],[kbli5]],kata_kunci!$B:$H,7,FALSE)</f>
        <v/>
      </c>
    </row>
    <row r="1540" spans="1:11" ht="129" thickBot="1" x14ac:dyDescent="0.3">
      <c r="A1540" s="53" t="s">
        <v>109</v>
      </c>
      <c r="B1540" s="40">
        <v>95210</v>
      </c>
      <c r="C1540" s="41" t="s">
        <v>1712</v>
      </c>
      <c r="D1540" s="30" t="str">
        <f>VLOOKUP(Table13[[#This Row],[kbli5]],Table1[[#All],[kbli5]:[digital_hijau]],3,)</f>
        <v>Reparasi &amp; pemeliharaan alat elektronik; Servis TV; Servis radio;</v>
      </c>
      <c r="E1540" s="53" t="str">
        <f>VLOOKUP(Table13[[#This Row],[kbli5]],kata_kunci!$B:$H,4,FALSE)</f>
        <v>Servis TV;Reparasi TV;Bengkel elektronik;Servis elektronik;Servis audio;Servis video;Servis speaker;Servis home theater;Servis radio;Servis DVD player;Servis Blu-ray player;Servis kamera video;Servis PlayStation;Servis Xbox;Servis game console;Pemasangan antena TV;</v>
      </c>
      <c r="F1540" s="53" t="str">
        <f>VLOOKUP(Table13[[#This Row],[kbli5]],Table1[[#All],[kbli5]:[digital_hijau]],5,)</f>
        <v>Umum Ditemukan</v>
      </c>
      <c r="G1540" s="53">
        <f>VLOOKUP(Table13[[#This Row],[kbli5]],Table1[[#All],[kbli5]:[digital_hijau]],6,)</f>
        <v>0</v>
      </c>
      <c r="H1540" s="54" t="str">
        <f>VLOOKUP(Table13[[#This Row],[kbli5]],kata_kunci!$B:$H,3,FALSE)</f>
        <v>Mencakup kegiatan jasa reparasi dan pemeliharaan alat elektronik konsumen; seperti televisi; radio penerima (termasuk pemasangan antena); pemutar audio dan video; kamera video rumah tangga; serta perangkat permainan video. KBLI ini tetap dipertahankan dalam KBLI 2025 dengan ruang lingkup yang sama.;</v>
      </c>
      <c r="I1540" s="84" t="str">
        <f>VLOOKUP(Table13[[#This Row],[kbli5]],kata_kunci!$B:$H,5,FALSE)</f>
        <v>Memperbaiki;Mereparasi;Memelihara;Menguji;Mengganti komponen;Menginstal;Mengkalibrasi;Mendiagnosis kerusakan;Melakukan troubleshooting;Merawat perangkat elektronik;</v>
      </c>
      <c r="J1540" s="84" t="str">
        <f>VLOOKUP(Table13[[#This Row],[kbli5]],kata_kunci!$B:$H,6,FALSE)</f>
        <v>Mengacu ke KBLI;</v>
      </c>
      <c r="K1540" s="84" t="str">
        <f>VLOOKUP(Table13[[#This Row],[kbli5]],kata_kunci!$B:$H,7,FALSE)</f>
        <v>Jasa reparasi televisi;Jasa servis radio;Jasa perbaikan perangkat audiovideo;Jasa servis home theater;Jasa perbaikan kamera video;Jasa reparasi konsol permainan video;Jasa pemasangan antena TV;Jasa pemeliharaan alat elektronik konsumen;</v>
      </c>
    </row>
    <row r="1541" spans="1:11" ht="60.75" thickBot="1" x14ac:dyDescent="0.3">
      <c r="A1541" s="53" t="s">
        <v>109</v>
      </c>
      <c r="B1541" s="40">
        <v>95220</v>
      </c>
      <c r="C1541" s="41" t="s">
        <v>1713</v>
      </c>
      <c r="D1541" s="30" t="str">
        <f>VLOOKUP(Table13[[#This Row],[kbli5]],Table1[[#All],[kbli5]:[digital_hijau]],3,)</f>
        <v>Reparasi peralatan rumah tangga &amp; kebun; Servis mesin cuci; servis AC; servis mesin potong rumput; Servis kulkas; servis motor listrik;</v>
      </c>
      <c r="E1541" s="53" t="str">
        <f>VLOOKUP(Table13[[#This Row],[kbli5]],kata_kunci!$B:$H,4,FALSE)</f>
        <v>Servis AC;Servis kulkas;Servis mesin cuci;Servis dispenser;Servis kompor;Servis blender;Servis mixer;Servis setrika;Servis vacuum cleaner;Bengkel elektronik rumah tangga;Jasa perbaikan peralatan rumah tangga;Maintenance AC;Teknisi AC;Teknisi kulkas;Teknisi mesin cuci;Servis alat rumah tangga;</v>
      </c>
      <c r="F1541" s="53" t="str">
        <f>VLOOKUP(Table13[[#This Row],[kbli5]],Table1[[#All],[kbli5]:[digital_hijau]],5,)</f>
        <v>Umum Ditemukan</v>
      </c>
      <c r="G1541" s="53">
        <f>VLOOKUP(Table13[[#This Row],[kbli5]],Table1[[#All],[kbli5]:[digital_hijau]],6,)</f>
        <v>0</v>
      </c>
      <c r="H1541" s="54" t="str">
        <f>VLOOKUP(Table13[[#This Row],[kbli5]],kata_kunci!$B:$H,3,FALSE)</f>
        <v/>
      </c>
      <c r="I1541" s="84" t="str">
        <f>VLOOKUP(Table13[[#This Row],[kbli5]],kata_kunci!$B:$H,5,FALSE)</f>
        <v/>
      </c>
      <c r="J1541" s="84" t="str">
        <f>VLOOKUP(Table13[[#This Row],[kbli5]],kata_kunci!$B:$H,6,FALSE)</f>
        <v>Mengacu ke KBLI;</v>
      </c>
      <c r="K1541" s="84" t="str">
        <f>VLOOKUP(Table13[[#This Row],[kbli5]],kata_kunci!$B:$H,7,FALSE)</f>
        <v>Jasa servis AC;Jasa perbaikan kulkas;Jasa servis mesin cuci;Jasa reparasi kompor;Jasa perbaikan dispenser;Jasa servis vacuum cleaner;Jasa pemeliharaan peralatan rumah tangga;Jasa reparasi peralatan rumah dan kebun;</v>
      </c>
    </row>
    <row r="1542" spans="1:11" ht="45.75" thickBot="1" x14ac:dyDescent="0.3">
      <c r="A1542" s="53" t="s">
        <v>109</v>
      </c>
      <c r="B1542" s="40">
        <v>95230</v>
      </c>
      <c r="C1542" s="41" t="s">
        <v>1714</v>
      </c>
      <c r="D1542" s="30" t="str">
        <f>VLOOKUP(Table13[[#This Row],[kbli5]],Table1[[#All],[kbli5]:[digital_hijau]],3,)</f>
        <v>Reparasi &amp; pemeliharaan alas kaki &amp; barang dari kulit; Tukang sol sepatu; Iwashed; shoe care; servis tas dekat pasar Cik Puan;</v>
      </c>
      <c r="E1542" s="53" t="str">
        <f>VLOOKUP(Table13[[#This Row],[kbli5]],kata_kunci!$B:$H,4,FALSE)</f>
        <v>Servis sepatu;Reparasi sepatu;Tambal sepatu;Ganti sol sepatu;Ganti tumit sepatu;Servis tas;Reparasi tas;Servis koper;Reparasi koper;Barang kulit;Tas kulit;Dompet kulit;Tukang reparasi sepatu;Bengkel sepatu;Shoe repair;Leather repair;</v>
      </c>
      <c r="F1542" s="53" t="str">
        <f>VLOOKUP(Table13[[#This Row],[kbli5]],Table1[[#All],[kbli5]:[digital_hijau]],5,)</f>
        <v>Umum Ditemukan</v>
      </c>
      <c r="G1542" s="53">
        <f>VLOOKUP(Table13[[#This Row],[kbli5]],Table1[[#All],[kbli5]:[digital_hijau]],6,)</f>
        <v>0</v>
      </c>
      <c r="H1542" s="54" t="str">
        <f>VLOOKUP(Table13[[#This Row],[kbli5]],kata_kunci!$B:$H,3,FALSE)</f>
        <v/>
      </c>
      <c r="I1542" s="84" t="str">
        <f>VLOOKUP(Table13[[#This Row],[kbli5]],kata_kunci!$B:$H,5,FALSE)</f>
        <v/>
      </c>
      <c r="J1542" s="84" t="str">
        <f>VLOOKUP(Table13[[#This Row],[kbli5]],kata_kunci!$B:$H,6,FALSE)</f>
        <v>Mengacu ke KBLI;</v>
      </c>
      <c r="K1542" s="84" t="str">
        <f>VLOOKUP(Table13[[#This Row],[kbli5]],kata_kunci!$B:$H,7,FALSE)</f>
        <v>Jasa reparasi sepatu;Jasa servis tas;Jasa perbaikan koper;Jasa perbaikan sandal;Jasa reparasi barang kulit;Jasa penggantian sol sepatu;Jasa penggantian tumit sepatu;Jasa pemeliharaan barang kulit;</v>
      </c>
    </row>
    <row r="1543" spans="1:11" ht="60.75" thickBot="1" x14ac:dyDescent="0.3">
      <c r="A1543" s="53" t="s">
        <v>109</v>
      </c>
      <c r="B1543" s="40">
        <v>95240</v>
      </c>
      <c r="C1543" s="41" t="s">
        <v>1715</v>
      </c>
      <c r="D1543" s="30" t="str">
        <f>VLOOKUP(Table13[[#This Row],[kbli5]],Table1[[#All],[kbli5]:[digital_hijau]],3,)</f>
        <v xml:space="preserve">Reparasi furnitur &amp; perlengkapan rumah; </v>
      </c>
      <c r="E1543" s="53" t="str">
        <f>VLOOKUP(Table13[[#This Row],[kbli5]],kata_kunci!$B:$H,4,FALSE)</f>
        <v>Servis sofa;Reparasi sofa;Servis kursi;Reparasi kursi;Servis meja;Reparasi lemari;Perbaikan furnitur;Restorasi furnitur;Finishing furnitur;Poles furnitur;Ganti kain sofa;Perbaikan perabot rumah;Perbaikan perabot kantor;Tukang furnitur;Jasa perakitan furnitur;</v>
      </c>
      <c r="F1543" s="53" t="str">
        <f>VLOOKUP(Table13[[#This Row],[kbli5]],Table1[[#All],[kbli5]:[digital_hijau]],5,)</f>
        <v>Umum Ditemukan</v>
      </c>
      <c r="G1543" s="53">
        <f>VLOOKUP(Table13[[#This Row],[kbli5]],Table1[[#All],[kbli5]:[digital_hijau]],6,)</f>
        <v>0</v>
      </c>
      <c r="H1543" s="54" t="str">
        <f>VLOOKUP(Table13[[#This Row],[kbli5]],kata_kunci!$B:$H,3,FALSE)</f>
        <v/>
      </c>
      <c r="I1543" s="84" t="str">
        <f>VLOOKUP(Table13[[#This Row],[kbli5]],kata_kunci!$B:$H,5,FALSE)</f>
        <v>Memperbaiki;Mereparasi;Memelihara;Merestorasi;Melapisi ulang;Mengecat ulang;Memasang;Merakit;Mengganti komponen;Memulihkan kondisi furnitur;</v>
      </c>
      <c r="J1543" s="84" t="str">
        <f>VLOOKUP(Table13[[#This Row],[kbli5]],kata_kunci!$B:$H,6,FALSE)</f>
        <v>Mengacu ke KBLI;</v>
      </c>
      <c r="K1543" s="84" t="str">
        <f>VLOOKUP(Table13[[#This Row],[kbli5]],kata_kunci!$B:$H,7,FALSE)</f>
        <v>Jasa reparasi furnitur;Jasa servis sofa;Jasa perbaikan meja dan kursi;Jasa restorasi furnitur;Jasa finishing furnitur;Jasa perawatan perabot rumah tangga;Jasa perbaikan perabot kantor;Jasa perakitan furnitur;</v>
      </c>
    </row>
    <row r="1544" spans="1:11" ht="103.5" thickBot="1" x14ac:dyDescent="0.3">
      <c r="A1544" s="53" t="s">
        <v>109</v>
      </c>
      <c r="B1544" s="40">
        <v>95291</v>
      </c>
      <c r="C1544" s="41" t="s">
        <v>1716</v>
      </c>
      <c r="D1544" s="30" t="str">
        <f>VLOOKUP(Table13[[#This Row],[kbli5]],Table1[[#All],[kbli5]:[digital_hijau]],3,)</f>
        <v>Aktv vermak pakaian; vermak levis; vermak pakaian;</v>
      </c>
      <c r="E1544" s="53" t="str">
        <f>VLOOKUP(Table13[[#This Row],[kbli5]],kata_kunci!$B:$H,4,FALSE)</f>
        <v>Vermak;Vermak pakaian;Alterasi pakaian;Permak baju;Permak celana;Jahit perbaikan;Perbaikan pakaian;Ganti resleting;Ganti kancing;Permak seragam;Modifikasi pakaian;Tukang vermak;</v>
      </c>
      <c r="F1544" s="53" t="str">
        <f>VLOOKUP(Table13[[#This Row],[kbli5]],Table1[[#All],[kbli5]:[digital_hijau]],5,)</f>
        <v>Umum Ditemukan</v>
      </c>
      <c r="G1544" s="53">
        <f>VLOOKUP(Table13[[#This Row],[kbli5]],Table1[[#All],[kbli5]:[digital_hijau]],6,)</f>
        <v>0</v>
      </c>
      <c r="H1544" s="54" t="str">
        <f>VLOOKUP(Table13[[#This Row],[kbli5]],kata_kunci!$B:$H,3,FALSE)</f>
        <v>kegiatan vermak; alterasi; atau pengubahan pakaian yang melayani masyarakat umum dengan tujuan komersial. Kegiatan ini meliputi penyesuaian ukuran; perbaikan; dan modifikasi pakaian jadi sesuai kebutuhan pelanggan.;</v>
      </c>
      <c r="I1544" s="84" t="str">
        <f>VLOOKUP(Table13[[#This Row],[kbli5]],kata_kunci!$B:$H,5,FALSE)</f>
        <v>Memperbaiki;Memvermak;Menjahit;Mengubah ukuran;Memodifikasi;Mengecilkan;Membesarkan;Memendekkan;Memanjangkan;Mengganti resleting;Mengganti kancing;Menyesuaikan pakaian;</v>
      </c>
      <c r="J1544" s="84" t="str">
        <f>VLOOKUP(Table13[[#This Row],[kbli5]],kata_kunci!$B:$H,6,FALSE)</f>
        <v>Mengacu ke KBLI;</v>
      </c>
      <c r="K1544" s="84" t="str">
        <f>VLOOKUP(Table13[[#This Row],[kbli5]],kata_kunci!$B:$H,7,FALSE)</f>
        <v>Jasa vermak pakaian;Jasa alterasi pakaian;Jasa perbaikan pakaian;Jasa modifikasi pakaian;Jasa penyesuaian ukuran pakaian;Jasa penggantian resleting dan kancing;</v>
      </c>
    </row>
    <row r="1545" spans="1:11" ht="141.75" thickBot="1" x14ac:dyDescent="0.3">
      <c r="A1545" s="53" t="s">
        <v>109</v>
      </c>
      <c r="B1545" s="40">
        <v>95299</v>
      </c>
      <c r="C1545" s="41" t="s">
        <v>1717</v>
      </c>
      <c r="D1545" s="30" t="e">
        <f>VLOOKUP(Table13[[#This Row],[kbli5]],Table1[[#All],[kbli5]:[digital_hijau]],3,)</f>
        <v>#N/A</v>
      </c>
      <c r="E1545" s="53" t="str">
        <f>VLOOKUP(Table13[[#This Row],[kbli5]],kata_kunci!$B:$H,4,FALSE)</f>
        <v>Servis sepeda;Reparasi sepeda listrik;Bengkel sepeda;Duplikat kunci;Tukang kunci;Servis jam tangan;Reparasi jam;Servis perhiasan;Reparasi emas;Reparasi alat musik;Servis gitar;Setem piano;Reparasi mainan;Servis alat olahraga;Perbaikan buku;Reparasi barang pribadi;</v>
      </c>
      <c r="F1545" s="53" t="e">
        <f>VLOOKUP(Table13[[#This Row],[kbli5]],Table1[[#All],[kbli5]:[digital_hijau]],5,)</f>
        <v>#N/A</v>
      </c>
      <c r="G1545" s="53" t="e">
        <f>VLOOKUP(Table13[[#This Row],[kbli5]],Table1[[#All],[kbli5]:[digital_hijau]],6,)</f>
        <v>#N/A</v>
      </c>
      <c r="H1545" s="54" t="str">
        <f>VLOOKUP(Table13[[#This Row],[kbli5]],kata_kunci!$B:$H,3,FALSE)</f>
        <v>Mencakup kegiatan jasa reparasi dan pemeliharaan berbagai barang pribadi dan rumah tangga yang tidak diklasifikasikan pada kelompok lain. Termasuk reparasi sepeda; sepeda listrik; perhiasan; jam tangan; jam dinding; alat olahraga; buku; alat musik; mainan; barang pribadi lainnya; penyeteman piano; dan duplikasi kunci;</v>
      </c>
      <c r="I1545" s="84" t="str">
        <f>VLOOKUP(Table13[[#This Row],[kbli5]],kata_kunci!$B:$H,5,FALSE)</f>
        <v>Memperbaiki;Mereparasi;Memelihara;Menyetem;Mengganti komponen;Mengelas;Menambal;Memoles;Mengubah (alterasi);Menduplikasi kunci;Merawat;Mengembalikan fungsi barang;</v>
      </c>
      <c r="J1545" s="84" t="str">
        <f>VLOOKUP(Table13[[#This Row],[kbli5]],kata_kunci!$B:$H,6,FALSE)</f>
        <v>Mengacu ke KBLI;</v>
      </c>
      <c r="K1545" s="84" t="str">
        <f>VLOOKUP(Table13[[#This Row],[kbli5]],kata_kunci!$B:$H,7,FALSE)</f>
        <v>Jasa reparasi sepeda;Jasa servis jam tangan;Jasa reparasi perhiasan;Jasa duplikasi kunci;Jasa perbaikan alat musik;Jasa penyeteman piano;Jasa reparasi alat olahraga;Jasa reparasi mainan;Jasa perbaikan barang pribadi;Jasa pemeliharaan perlengkapan rumah tangga lainnya;</v>
      </c>
    </row>
    <row r="1546" spans="1:11" ht="167.25" thickBot="1" x14ac:dyDescent="0.3">
      <c r="A1546" s="53" t="s">
        <v>109</v>
      </c>
      <c r="B1546" s="40">
        <v>95311</v>
      </c>
      <c r="C1546" s="41" t="s">
        <v>1718</v>
      </c>
      <c r="D1546" s="30" t="str">
        <f>VLOOKUP(Table13[[#This Row],[kbli5]],Table1[[#All],[kbli5]:[digital_hijau]],3,)</f>
        <v>Reparasi mobil; bengkel mobil resmi ataupun tidak; balacing/spooring ban; perbaikan AC mobil;</v>
      </c>
      <c r="E1546" s="53" t="str">
        <f>VLOOKUP(Table13[[#This Row],[kbli5]],kata_kunci!$B:$H,4,FALSE)</f>
        <v>Bengkel mobil;Servis mobil;Reparasi mobil;Body repair;Cat mobil;Tune up;Ganti oli;Bengkel umum;Bengkel resmi;Servis AC mobil;Spooring;Balancing;Servis injeksi;Scanner mobil;Ganti ban;Perbaikan rem;Perbaikan transmisi;Auto service;Car workshop;</v>
      </c>
      <c r="F1546" s="53" t="str">
        <f>VLOOKUP(Table13[[#This Row],[kbli5]],Table1[[#All],[kbli5]:[digital_hijau]],5,)</f>
        <v>Umum Ditemukan</v>
      </c>
      <c r="G1546" s="53">
        <f>VLOOKUP(Table13[[#This Row],[kbli5]],Table1[[#All],[kbli5]:[digital_hijau]],6,)</f>
        <v>0</v>
      </c>
      <c r="H1546" s="54" t="str">
        <f>VLOOKUP(Table13[[#This Row],[kbli5]],kata_kunci!$B:$H,3,FALSE)</f>
        <v>Mencakup kegiatan reparasi dan perawatan mobil; termasuk trailer dan semitrailer. Kegiatan yang termasuk antara lain reparasi mekanik; reparasi elektrik; reparasi sistem injeksi elektronik; servis rutin; reparasi bodi mobil; pengecatan; perbaikan kaca mobil; perbaikan jok; diagnosa sistem mekatronik; penggantian ban; pelapisan anti karat; serta pemasangan suku cadang dan aksesori mobil.;</v>
      </c>
      <c r="I1546" s="84" t="str">
        <f>VLOOKUP(Table13[[#This Row],[kbli5]],kata_kunci!$B:$H,5,FALSE)</f>
        <v>Memperbaiki;Mereparasi;Memelihara;Menservis;Mendiagnosis;Mengganti komponen;Memasang aksesori;Mengecat;Menyetel;Menguji kendaraan;Melakukan tune up;Melakukan spooring;Melakukan balancing;Melakukan overhaul;</v>
      </c>
      <c r="J1546" s="84" t="str">
        <f>VLOOKUP(Table13[[#This Row],[kbli5]],kata_kunci!$B:$H,6,FALSE)</f>
        <v>Mengacu ke KBLI;</v>
      </c>
      <c r="K1546" s="84" t="str">
        <f>VLOOKUP(Table13[[#This Row],[kbli5]],kata_kunci!$B:$H,7,FALSE)</f>
        <v>Jasa reparasi mobil;Jasa servis mobil;Jasa perawatan kendaraan roda empat;Jasa body repair;Jasa pengecatan mobil;Jasa servis AC mobil;Jasa penggantian ban;Jasa perbaikan sistem kelistrikan mobil;Jasa perawatan mesin mobil;</v>
      </c>
    </row>
    <row r="1547" spans="1:11" ht="103.5" thickBot="1" x14ac:dyDescent="0.3">
      <c r="A1547" s="53" t="s">
        <v>109</v>
      </c>
      <c r="B1547" s="40">
        <v>95312</v>
      </c>
      <c r="C1547" s="41" t="s">
        <v>1719</v>
      </c>
      <c r="D1547" s="30" t="str">
        <f>VLOOKUP(Table13[[#This Row],[kbli5]],Table1[[#All],[kbli5]:[digital_hijau]],3,)</f>
        <v>Cuci &amp; salon mobil; car wash otomatis/ manual; coating; cat mobil;</v>
      </c>
      <c r="E1547" s="53" t="str">
        <f>VLOOKUP(Table13[[#This Row],[kbli5]],kata_kunci!$B:$H,4,FALSE)</f>
        <v>Car wash;Cuci mobil;Steam mobil;Salon mobil;Auto detailing;Poles mobil;Wax mobil;Coating mobil;Cuci kendaraan;Cuci interior mobil;Vacuum mobil;Nano coating;Auto spa;Car detailing;Car care;Cuci mesin mobil;Perawatan cat mobil;</v>
      </c>
      <c r="F1547" s="53" t="str">
        <f>VLOOKUP(Table13[[#This Row],[kbli5]],Table1[[#All],[kbli5]:[digital_hijau]],5,)</f>
        <v>Umum Ditemukan</v>
      </c>
      <c r="G1547" s="53">
        <f>VLOOKUP(Table13[[#This Row],[kbli5]],Table1[[#All],[kbli5]:[digital_hijau]],6,)</f>
        <v>0</v>
      </c>
      <c r="H1547" s="54" t="str">
        <f>VLOOKUP(Table13[[#This Row],[kbli5]],kata_kunci!$B:$H,3,FALSE)</f>
        <v>Mencakup kegiatan pencucian mobil dan salon mobil; seperti pencucian; pembersihan interior; pemolesan (polishing); detailing; coating sederhana; serta pemasangan suku cadang dan aksesori yang bukan bagian dari proses manufaktur kendaraan;</v>
      </c>
      <c r="I1547" s="84" t="str">
        <f>VLOOKUP(Table13[[#This Row],[kbli5]],kata_kunci!$B:$H,5,FALSE)</f>
        <v>Mencuci;Membersihkan;Memoles;Menyemir;Melapisi;Merawat;Menyedot debu;Mengeringkan;Melakukan detailing;Memasang aksesori;Mengilapkan;Menjaga kebersihan kendaraan;</v>
      </c>
      <c r="J1547" s="84" t="str">
        <f>VLOOKUP(Table13[[#This Row],[kbli5]],kata_kunci!$B:$H,6,FALSE)</f>
        <v>Mengacu ke KBLI;</v>
      </c>
      <c r="K1547" s="84" t="str">
        <f>VLOOKUP(Table13[[#This Row],[kbli5]],kata_kunci!$B:$H,7,FALSE)</f>
        <v>Jasa pencucian mobil;Jasa salon mobil;Jasa detailing mobil;Jasa poles mobil;Jasa perawatan interior mobil;Jasa coating kendaraan;Jasa pembersihan kendaraan roda empat;Jasa pemasangan aksesori mobil ringan;</v>
      </c>
    </row>
    <row r="1548" spans="1:11" ht="141.75" thickBot="1" x14ac:dyDescent="0.3">
      <c r="A1548" s="53" t="s">
        <v>109</v>
      </c>
      <c r="B1548" s="40">
        <v>95320</v>
      </c>
      <c r="C1548" s="41" t="s">
        <v>1720</v>
      </c>
      <c r="D1548" s="30" t="str">
        <f>VLOOKUP(Table13[[#This Row],[kbli5]],Table1[[#All],[kbli5]:[digital_hijau]],3,)</f>
        <v>Reparasi &amp; perawatan sepeda motor; bengkel motor remi ataupun tidak; pengecatan; mofidikasi bodi motor;</v>
      </c>
      <c r="E1548" s="53" t="str">
        <f>VLOOKUP(Table13[[#This Row],[kbli5]],kata_kunci!$B:$H,4,FALSE)</f>
        <v>Bengkel motor;Servis motor;Reparasi motor;Tune up motor;Ganti oli motor;Bengkel resmi motor;Bengkel umum motor;Servis injeksi;Tambal ban motor;Ganti ban motor;Servis kelistrikan motor;Bengkel motor listrik;Overhaul mesin;Sparepart motor;Dealer servis motor;</v>
      </c>
      <c r="F1548" s="53" t="str">
        <f>VLOOKUP(Table13[[#This Row],[kbli5]],Table1[[#All],[kbli5]:[digital_hijau]],5,)</f>
        <v>Umum Ditemukan</v>
      </c>
      <c r="G1548" s="53">
        <f>VLOOKUP(Table13[[#This Row],[kbli5]],Table1[[#All],[kbli5]:[digital_hijau]],6,)</f>
        <v>0</v>
      </c>
      <c r="H1548" s="54" t="str">
        <f>VLOOKUP(Table13[[#This Row],[kbli5]],kata_kunci!$B:$H,3,FALSE)</f>
        <v>Mencakup kegiatan reparasi; servis; dan pemeliharaan sepeda motor; baik sepeda motor konvensional maupun listrik. Termasuk perbaikan mesin; sistem kelistrikan; servis berkala; penggantian suku cadang; pencucian sederhana yang terkait dengan servis; serta pemasangan aksesori kendaraan bermotor roda dua;</v>
      </c>
      <c r="I1548" s="84" t="str">
        <f>VLOOKUP(Table13[[#This Row],[kbli5]],kata_kunci!$B:$H,5,FALSE)</f>
        <v>Memperbaiki;Mereparasi;Menservis;Memelihara;Mendiagnosis;Mengganti suku cadang;Mengganti oli;Menyetel;Menguji kendaraan;Melakukan tune up;Melakukan overhaul;Memasang aksesori;</v>
      </c>
      <c r="J1548" s="84" t="str">
        <f>VLOOKUP(Table13[[#This Row],[kbli5]],kata_kunci!$B:$H,6,FALSE)</f>
        <v>Mengacu ke KBLI;</v>
      </c>
      <c r="K1548" s="84" t="str">
        <f>VLOOKUP(Table13[[#This Row],[kbli5]],kata_kunci!$B:$H,7,FALSE)</f>
        <v>Jasa reparasi sepeda motor;Jasa servis sepeda motor;Jasa pemeliharaan sepeda motor;Jasa tune up motor;Jasa servis injeksi;Jasa perbaikan kelistrikan motor;Jasa penggantian suku cadang motor;Jasa perawatan motor listrik;</v>
      </c>
    </row>
    <row r="1549" spans="1:11" ht="60.75" thickBot="1" x14ac:dyDescent="0.3">
      <c r="A1549" s="53" t="s">
        <v>109</v>
      </c>
      <c r="B1549" s="40">
        <v>95400</v>
      </c>
      <c r="C1549" s="41" t="s">
        <v>1721</v>
      </c>
      <c r="D1549" s="30" t="e">
        <f>VLOOKUP(Table13[[#This Row],[kbli5]],Table1[[#All],[kbli5]:[digital_hijau]],3,)</f>
        <v>#N/A</v>
      </c>
      <c r="E1549" s="53" t="str">
        <f>VLOOKUP(Table13[[#This Row],[kbli5]],kata_kunci!$B:$H,4,FALSE)</f>
        <v>Bengkel sepeda;Servis sepeda;Reparasi sepeda;Servis sepeda listrik;Bengkel sepeda listrik;Perbaikan becak;Reparasi gerobak;Servis kursi roda;Perbaikan troli;Bengkel kendaraan tidak bermotor;Ganti ban sepeda;Servis rem sepeda;Servis gir sepeda;Workshop sepeda;</v>
      </c>
      <c r="F1549" s="53" t="e">
        <f>VLOOKUP(Table13[[#This Row],[kbli5]],Table1[[#All],[kbli5]:[digital_hijau]],5,)</f>
        <v>#N/A</v>
      </c>
      <c r="G1549" s="35" t="s">
        <v>2090</v>
      </c>
      <c r="H1549" s="89" t="str">
        <f>VLOOKUP(Table13[[#This Row],[kbli5]],kata_kunci!$B:$H,3,FALSE)</f>
        <v>Mencakup kegiatan reparasi dan pemeliharaan alat transportasi selain mobil dan sepeda motor. Termasuk reparasi dan perawatan sepeda; becak; gerobak; kereta dorong; kursi roda; kendaraan tidak bermotor lainnya; serta peralatan transportasi sejenis;</v>
      </c>
      <c r="I1549" s="84" t="str">
        <f>VLOOKUP(Table13[[#This Row],[kbli5]],kata_kunci!$B:$H,5,FALSE)</f>
        <v>Memperbaiki;Mereparasi;Memelihara;Menyetel;Mengganti komponen;Mengelas;Merakit;Membongkar;Memasang;Menguji fungsi peralatan;Merawat;Mengembalikan fungsi alat transportasi;</v>
      </c>
      <c r="J1549" s="84" t="str">
        <f>VLOOKUP(Table13[[#This Row],[kbli5]],kata_kunci!$B:$H,6,FALSE)</f>
        <v>Mengacu ke KBLI;</v>
      </c>
      <c r="K1549" s="84" t="str">
        <f>VLOOKUP(Table13[[#This Row],[kbli5]],kata_kunci!$B:$H,7,FALSE)</f>
        <v>Jasa reparasi sepeda;Jasa servis sepeda listrik;Jasa perbaikan becak;Jasa reparasi kursi roda;Jasa perbaikan gerobak;Jasa pemeliharaan alat transportasi tidak bermotor;Jasa penggantian komponen sepeda;Jasa servis peralatan transportasi lainnya;</v>
      </c>
    </row>
    <row r="1550" spans="1:11" ht="129" thickBot="1" x14ac:dyDescent="0.3">
      <c r="A1550" s="53" t="s">
        <v>109</v>
      </c>
      <c r="B1550" s="40">
        <v>96100</v>
      </c>
      <c r="C1550" s="41" t="s">
        <v>1722</v>
      </c>
      <c r="D1550" s="30" t="str">
        <f>VLOOKUP(Table13[[#This Row],[kbli5]],Table1[[#All],[kbli5]:[digital_hijau]],3,)</f>
        <v>Aktv pencucian &amp; pembersihan produk tekstil; Jasa laundry kiloan/satuan; dry cleaning pakaian; cuci karpet cuci gorden; cuci selimut.</v>
      </c>
      <c r="E1550" s="53" t="str">
        <f>VLOOKUP(Table13[[#This Row],[kbli5]],kata_kunci!$B:$H,4,FALSE)</f>
        <v>Personal trainer;Fitness trainer;Pelatih kebugaran;Instruktur senam;Instruktur yoga;Instruktur pilates;Fitness coaching;Body fitness;Program kebugaran;Pelatih fisik;Gym trainer;Konsultan kebugaran;Aerobik;Zumba;Kebugaran jasmani;</v>
      </c>
      <c r="F1550" s="53" t="str">
        <f>VLOOKUP(Table13[[#This Row],[kbli5]],Table1[[#All],[kbli5]:[digital_hijau]],5,)</f>
        <v>Umum Ditemukan</v>
      </c>
      <c r="G1550" s="53">
        <f>VLOOKUP(Table13[[#This Row],[kbli5]],Table1[[#All],[kbli5]:[digital_hijau]],6,)</f>
        <v>0</v>
      </c>
      <c r="H1550" s="54" t="str">
        <f>VLOOKUP(Table13[[#This Row],[kbli5]],kata_kunci!$B:$H,3,FALSE)</f>
        <v>Mencakup kegiatan jasa perorangan yang bertujuan untuk menjaga kebugaran; kesehatan; dan penampilan fisik. Kegiatan ini dilakukan oleh individu atau penyedia jasa yang memberikan layanan kebugaran secara langsung kepada pelanggan; baik di pusat kebugaran maupun secara mandiri.;</v>
      </c>
      <c r="I1550" s="84" t="str">
        <f>VLOOKUP(Table13[[#This Row],[kbli5]],kata_kunci!$B:$H,5,FALSE)</f>
        <v>Melatih;Membimbing;Mendampingi;Mengarahkan;Menginstruksikan;Mengembangkan program latihan;Mengevaluasi kebugaran;Mengawasi latihan;Memberikan konsultasi kebugaran;Meningkatkan kebugaran fisik;</v>
      </c>
      <c r="J1550" s="84" t="str">
        <f>VLOOKUP(Table13[[#This Row],[kbli5]],kata_kunci!$B:$H,6,FALSE)</f>
        <v>Mengacu ke KBLI;</v>
      </c>
      <c r="K1550" s="84" t="str">
        <f>VLOOKUP(Table13[[#This Row],[kbli5]],kata_kunci!$B:$H,7,FALSE)</f>
        <v>Jasa pelatihan kebugaran;Jasa personal trainer;Jasa instruktur senam;Jasa instruktur yoga;Jasa instruktur pilates;Jasa konsultasi kebugaran;Jasa pendampingan latihan fisik;Jasa pembinaan kebugaran;</v>
      </c>
    </row>
    <row r="1551" spans="1:11" ht="154.5" thickBot="1" x14ac:dyDescent="0.3">
      <c r="A1551" s="53" t="s">
        <v>109</v>
      </c>
      <c r="B1551" s="40">
        <v>96210</v>
      </c>
      <c r="C1551" s="41" t="s">
        <v>1723</v>
      </c>
      <c r="D1551" s="30" t="str">
        <f>VLOOKUP(Table13[[#This Row],[kbli5]],Table1[[#All],[kbli5]:[digital_hijau]],3,)</f>
        <v>Aktv penataan &amp; pangkas rambut; salon rambut; barbershop; pangkas rambut pinggir jalan; jasa hair do untuk pernikahan, wisuda, dll;</v>
      </c>
      <c r="E1551" s="53" t="str">
        <f>VLOOKUP(Table13[[#This Row],[kbli5]],kata_kunci!$B:$H,4,FALSE)</f>
        <v>Personal trainer;Fitness trainer;Pelatih kebugaran;Instruktur senam;Instruktur yoga;Instruktur pilates;Fitness coaching;Body fitness;Program kebugaran;Pelatih fisik;Gym trainer;Konsultan kebugaran;Aerobik;Zumba;Kebugaran jasmani;</v>
      </c>
      <c r="F1551" s="53" t="str">
        <f>VLOOKUP(Table13[[#This Row],[kbli5]],Table1[[#All],[kbli5]:[digital_hijau]],5,)</f>
        <v>Umum Ditemukan</v>
      </c>
      <c r="G1551" s="53">
        <f>VLOOKUP(Table13[[#This Row],[kbli5]],Table1[[#All],[kbli5]:[digital_hijau]],6,)</f>
        <v>0</v>
      </c>
      <c r="H1551" s="54" t="str">
        <f>VLOOKUP(Table13[[#This Row],[kbli5]],kata_kunci!$B:$H,3,FALSE)</f>
        <v>Mencakup kegiatan pencucian; dry cleaning; penyetrikaan; dan layanan sejenis untuk semua jenis pakaian; tekstil; dan produk tekstil. Kegiatan ini dapat dilakukan dengan mesin; secara manual; atau menggunakan mesin yang dioperasikan sendiri oleh pelanggan (self-service laundry). Termasuk layanan laundry hotel; restoran; rumah sakit; dan pelanggan rumah tangga.;</v>
      </c>
      <c r="I1551" s="84" t="str">
        <f>VLOOKUP(Table13[[#This Row],[kbli5]],kata_kunci!$B:$H,5,FALSE)</f>
        <v>Mencuci;Membersihkan;Melaundry;Melakukan dry cleaning;Menyetrika;Mengeringkan;Melipat;Menghilangkan noda;Merawat tekstil;Mengemas pakaian hasil laundry;</v>
      </c>
      <c r="J1551" s="84" t="str">
        <f>VLOOKUP(Table13[[#This Row],[kbli5]],kata_kunci!$B:$H,6,FALSE)</f>
        <v>Mengacu ke KBLI;</v>
      </c>
      <c r="K1551" s="84" t="str">
        <f>VLOOKUP(Table13[[#This Row],[kbli5]],kata_kunci!$B:$H,7,FALSE)</f>
        <v>Jasa pelatihan kebugaran;Jasa personal trainer;Jasa instruktur senam;Jasa instruktur yoga;Jasa instruktur pilates;Jasa konsultasi kebugaran;Jasa pendampingan latihan fisik;Jasa pembinaan kebugaran;</v>
      </c>
    </row>
    <row r="1552" spans="1:11" ht="141.75" thickBot="1" x14ac:dyDescent="0.3">
      <c r="A1552" s="53" t="s">
        <v>109</v>
      </c>
      <c r="B1552" s="40">
        <v>96220</v>
      </c>
      <c r="C1552" s="41" t="s">
        <v>1724</v>
      </c>
      <c r="D1552" s="30" t="str">
        <f>VLOOKUP(Table13[[#This Row],[kbli5]],Table1[[#All],[kbli5]:[digital_hijau]],3,)</f>
        <v>Aktv perawatan kecantikan lainnya; jasa kecantikan non medis; nail art (biasanya ada di mall); eyelash studio; sulam alis; waxing; make up artist (MUA);</v>
      </c>
      <c r="E1552" s="53" t="str">
        <f>VLOOKUP(Table13[[#This Row],[kbli5]],kata_kunci!$B:$H,4,FALSE)</f>
        <v>Pet grooming;Grooming kucing;Grooming anjing;Salon hewan;Pet care;Pet hotel;Pet boarding;Penitipan hewan;Pet day care;Perawatan hewan;Pelatihan anjing;Pet training;Mandi kucing;Mandi anjing;Potong bulu hewan;Salon kucing;Salon anjing;</v>
      </c>
      <c r="F1552" s="53" t="str">
        <f>VLOOKUP(Table13[[#This Row],[kbli5]],Table1[[#All],[kbli5]:[digital_hijau]],5,)</f>
        <v>Umum Ditemukan</v>
      </c>
      <c r="G1552" s="53">
        <f>VLOOKUP(Table13[[#This Row],[kbli5]],Table1[[#All],[kbli5]:[digital_hijau]],6,)</f>
        <v>0</v>
      </c>
      <c r="H1552" s="54" t="str">
        <f>VLOOKUP(Table13[[#This Row],[kbli5]],kata_kunci!$B:$H,3,FALSE)</f>
        <v>Mencakup kegiatan perawatan dan pemeliharaan hewan peliharaan yang dilakukan bukan oleh dokter hewan. Kegiatan ini meliputi memandikan; mencukur bulu; merapikan kuku; penitipan hewan; pelatihan dasar hewan peliharaan; serta layanan perawatan hewan lainnya untuk tujuan kebersihan; kenyamanan; dan kesejahteraan hewan.;</v>
      </c>
      <c r="I1552" s="84" t="str">
        <f>VLOOKUP(Table13[[#This Row],[kbli5]],kata_kunci!$B:$H,5,FALSE)</f>
        <v>Merawat;Memandikan;Membersihkan;Mencukur;Menyisir;Memotong kuku;Menitipkan;Memelihara;Melatih;Mendampingi;Mengurus;Menjaga kesehatan dan kebersihan hewan;</v>
      </c>
      <c r="J1552" s="84" t="str">
        <f>VLOOKUP(Table13[[#This Row],[kbli5]],kata_kunci!$B:$H,6,FALSE)</f>
        <v>Mengacu ke KBLI;</v>
      </c>
      <c r="K1552" s="84" t="str">
        <f>VLOOKUP(Table13[[#This Row],[kbli5]],kata_kunci!$B:$H,7,FALSE)</f>
        <v>Jasa grooming hewan;Jasa penitipan hewan;Jasa perawatan hewan peliharaan;Jasa pelatihan hewan peliharaan;Jasa pet day care;Jasa pet hotel;Jasa kebersihan hewan peliharaan;Jasa pemeliharaan hewan peliharaan;</v>
      </c>
    </row>
    <row r="1553" spans="1:11" ht="154.5" thickBot="1" x14ac:dyDescent="0.3">
      <c r="A1553" s="53" t="s">
        <v>109</v>
      </c>
      <c r="B1553" s="40">
        <v>96230</v>
      </c>
      <c r="C1553" s="41" t="s">
        <v>1725</v>
      </c>
      <c r="D1553" s="30" t="str">
        <f>VLOOKUP(Table13[[#This Row],[kbli5]],Table1[[#All],[kbli5]:[digital_hijau]],3,)</f>
        <v>Aktv Spa, sauna, pemandian uap; Kakiku; Nakamura therapy; lulur &amp; spa;</v>
      </c>
      <c r="E1553" s="53" t="str">
        <f>VLOOKUP(Table13[[#This Row],[kbli5]],kata_kunci!$B:$H,4,FALSE)</f>
        <v>Pemakaman;TPU (Tempat Pemakaman Umum);Taman makam;Krematorium;Kremasi;Pengurusan jenazah;Penguburan;Makam;Pemeliharaan makam;Pemindahan makam;Mobil jenazah;Rumah duka;Funeral service;Funeral home;Pemakaman hewan;</v>
      </c>
      <c r="F1553" s="53" t="str">
        <f>VLOOKUP(Table13[[#This Row],[kbli5]],Table1[[#All],[kbli5]:[digital_hijau]],5,)</f>
        <v>Umum Ditemukan</v>
      </c>
      <c r="G1553" s="53">
        <f>VLOOKUP(Table13[[#This Row],[kbli5]],Table1[[#All],[kbli5]:[digital_hijau]],6,)</f>
        <v>0</v>
      </c>
      <c r="H1553" s="54" t="str">
        <f>VLOOKUP(Table13[[#This Row],[kbli5]],kata_kunci!$B:$H,3,FALSE)</f>
        <v>Mencakup kegiatan pemakaman dan kremasi jenazah manusia maupun hewan; serta kegiatan yang berkaitan dengan penyelenggaraan pemakaman. Termasuk pengelolaan dan pemeliharaan tempat pemakaman; penyediaan jasa penguburan; krematorium; penyewaan tempat makam; dan jasa pendukung pemakaman lainnya.;</v>
      </c>
      <c r="I1553" s="84" t="str">
        <f>VLOOKUP(Table13[[#This Row],[kbli5]],kata_kunci!$B:$H,5,FALSE)</f>
        <v>Menguburkan;Mengkremasi;Mengelola;Memelihara;Menyelenggarakan;Menyediakan;Mengurus;Memindahkan makam;Membersihkan makam;Merawat area pemakaman;Mengangkut jenazah;</v>
      </c>
      <c r="J1553" s="84" t="str">
        <f>VLOOKUP(Table13[[#This Row],[kbli5]],kata_kunci!$B:$H,6,FALSE)</f>
        <v>Mengacu ke KBLI;</v>
      </c>
      <c r="K1553" s="84" t="str">
        <f>VLOOKUP(Table13[[#This Row],[kbli5]],kata_kunci!$B:$H,7,FALSE)</f>
        <v>Jasa pemakaman;Jasa kremasi;Jasa pengelolaan pemakaman;Jasa pemeliharaan makam;Jasa pengangkutan jenazah;Jasa penyelenggaraan pemakaman;Jasa penyediaan lahan makam;Jasa pemakaman hewan;</v>
      </c>
    </row>
    <row r="1554" spans="1:11" ht="116.25" thickBot="1" x14ac:dyDescent="0.3">
      <c r="A1554" s="53" t="s">
        <v>109</v>
      </c>
      <c r="B1554" s="40">
        <v>96300</v>
      </c>
      <c r="C1554" s="41" t="s">
        <v>1726</v>
      </c>
      <c r="D1554" s="30" t="str">
        <f>VLOOKUP(Table13[[#This Row],[kbli5]],Table1[[#All],[kbli5]:[digital_hijau]],3,)</f>
        <v>Aktv pemakaman; Jasa pengelolaan kompleks Pemakaman (seperti TPU Payung Sekaki); Rumah duka yayasan sosial kemanusiaan di Pekanbaru;</v>
      </c>
      <c r="E1554" s="53" t="str">
        <f>VLOOKUP(Table13[[#This Row],[kbli5]],kata_kunci!$B:$H,4,FALSE)</f>
        <v>Tattoo studio;Tattoo artist;Tato;Body piercing;Tindik;Fortune teller;Peramal;Astrologi;Horoskop;Biro jodoh;Matchmaking service;Semir sepatu;Genealogi;Jasa pribadi;Personal service;</v>
      </c>
      <c r="F1554" s="53" t="str">
        <f>VLOOKUP(Table13[[#This Row],[kbli5]],Table1[[#All],[kbli5]:[digital_hijau]],5,)</f>
        <v>Esensial</v>
      </c>
      <c r="G1554" s="53">
        <f>VLOOKUP(Table13[[#This Row],[kbli5]],Table1[[#All],[kbli5]:[digital_hijau]],6,)</f>
        <v>0</v>
      </c>
      <c r="H1554" s="54" t="str">
        <f>VLOOKUP(Table13[[#This Row],[kbli5]],kata_kunci!$B:$H,3,FALSE)</f>
        <v>Mencakup berbagai aktivitas jasa perorangan yang tidak dapat diklasifikasikan pada kelompok KBLI lainnya. Kegiatan ini umumnya berupa jasa yang diberikan secara langsung kepada individu untuk memenuhi kebutuhan pribadi; sosial; atau rumah tangga.;</v>
      </c>
      <c r="I1554" s="84" t="str">
        <f>VLOOKUP(Table13[[#This Row],[kbli5]],kata_kunci!$B:$H,5,FALSE)</f>
        <v>Memberikan layanan;Melayani;Menato;Menindik;Meramal;Mengkonsultasikan;Mendampingi;Menyemir;Menelusuri;Menyusun;Membantu kebutuhan pribadi pelanggan;</v>
      </c>
      <c r="J1554" s="84" t="str">
        <f>VLOOKUP(Table13[[#This Row],[kbli5]],kata_kunci!$B:$H,6,FALSE)</f>
        <v>Mengacu ke KBLI;</v>
      </c>
      <c r="K1554" s="84" t="str">
        <f>VLOOKUP(Table13[[#This Row],[kbli5]],kata_kunci!$B:$H,7,FALSE)</f>
        <v>Jasa tato;Jasa tindik;Jasa peramalan;Jasa astrologi;Jasa biro jodoh;Jasa semir sepatu;Jasa pendamping pribadi;Jasa penyusunan silsilah keluarga;Jasa perorangan lainnya;</v>
      </c>
    </row>
    <row r="1555" spans="1:11" ht="45.75" thickBot="1" x14ac:dyDescent="0.3">
      <c r="A1555" s="53" t="s">
        <v>109</v>
      </c>
      <c r="B1555" s="40">
        <v>96400</v>
      </c>
      <c r="C1555" s="41" t="s">
        <v>1727</v>
      </c>
      <c r="D1555" s="30" t="e">
        <f>VLOOKUP(Table13[[#This Row],[kbli5]],Table1[[#All],[kbli5]:[digital_hijau]],3,)</f>
        <v>#N/A</v>
      </c>
      <c r="E1555" s="53" t="str">
        <f>VLOOKUP(Table13[[#This Row],[kbli5]],kata_kunci!$B:$H,4,FALSE)</f>
        <v>Intermediasi jasa;Agen penyalur ART;Penyalur baby sitter;Penyalur sopir;Marketplace jasa rumah tangga;Platform jasa perorangan;Personal service platform;Home service platform;Matching service;Agen tenaga domestik;Platform guru privat;Platform pengasuh lansia;</v>
      </c>
      <c r="F1555" s="53" t="e">
        <f>VLOOKUP(Table13[[#This Row],[kbli5]],Table1[[#All],[kbli5]:[digital_hijau]],5,)</f>
        <v>#N/A</v>
      </c>
      <c r="G1555" s="35" t="s">
        <v>2090</v>
      </c>
      <c r="H1555" s="89" t="str">
        <f>VLOOKUP(Table13[[#This Row],[kbli5]],kata_kunci!$B:$H,3,FALSE)</f>
        <v>Mencakup kegiatan rumah tangga yang mempekerjakan personel domestik untuk memenuhi kebutuhan rumah tangga. Personel domestik tersebut bekerja langsung pada rumah tangga sebagai pemberi kerja dan menghasilkan jasa untuk konsumsi rumah tangga itu sendiri; bukan untuk dijual atau diperdagangkan.;</v>
      </c>
      <c r="I1555" s="84" t="str">
        <f>VLOOKUP(Table13[[#This Row],[kbli5]],kata_kunci!$B:$H,5,FALSE)</f>
        <v>Mempekerjakan;Mengupah;Mengontrak;Menugaskan;Mengelola tenaga domestik;Memberikan pekerjaan;Menyediakan pekerjaan rumah tangga;Mengawasi pekerjaan domestik;</v>
      </c>
      <c r="J1555" s="84" t="str">
        <f>VLOOKUP(Table13[[#This Row],[kbli5]],kata_kunci!$B:$H,6,FALSE)</f>
        <v>Mengacu ke KBLI;</v>
      </c>
      <c r="K1555" s="84" t="str">
        <f>VLOOKUP(Table13[[#This Row],[kbli5]],kata_kunci!$B:$H,7,FALSE)</f>
        <v>Jasa asisten rumah tangga;Jasa pengasuh anak;Jasa sopir pribadi;Jasa tukang kebun rumah tangga;Jasa penjaga rumah;Jasa juru masak rumah tangga;Jasa perawatan lansia di rumah;Jasa personel domestik lainnya;</v>
      </c>
    </row>
    <row r="1556" spans="1:11" ht="103.5" thickBot="1" x14ac:dyDescent="0.3">
      <c r="A1556" s="53" t="s">
        <v>109</v>
      </c>
      <c r="B1556" s="40">
        <v>96900</v>
      </c>
      <c r="C1556" s="41" t="s">
        <v>110</v>
      </c>
      <c r="D1556" s="30" t="str">
        <f>VLOOKUP(Table13[[#This Row],[kbli5]],Table1[[#All],[kbli5]:[digital_hijau]],3,)</f>
        <v>Jasa Lainnya; penitipan &amp; perawatan hewan; biro jodoh; ramalasan; jasa valet parking (biasanya di hotel berbintang); photobox; penampungan hewan (saung kucing, rumah kucing); seniman tato; jasa pemasangan hena; Event Organizer (EO) acara pribadi (wedding organizer, pesta ualng tahun);</v>
      </c>
      <c r="E1556" s="53" t="str">
        <f>VLOOKUP(Table13[[#This Row],[kbli5]],kata_kunci!$B:$H,4,FALSE)</f>
        <v>Personal assistant;Concierge service;Jasa pendamping pribadi;Jasa pengurusan dokumen;Jasa administrasi pribadi;Lifestyle service;Personal service;Jasa bantuan pribadi;Jasa konsultasi etiket;Jasa perorangan lainnya;</v>
      </c>
      <c r="F1556" s="53" t="str">
        <f>VLOOKUP(Table13[[#This Row],[kbli5]],Table1[[#All],[kbli5]:[digital_hijau]],5,)</f>
        <v>Umum Ditemukan</v>
      </c>
      <c r="G1556" s="53">
        <f>VLOOKUP(Table13[[#This Row],[kbli5]],Table1[[#All],[kbli5]:[digital_hijau]],6,)</f>
        <v>0</v>
      </c>
      <c r="H1556" s="54" t="str">
        <f>VLOOKUP(Table13[[#This Row],[kbli5]],kata_kunci!$B:$H,3,FALSE)</f>
        <v>Mencakup berbagai aktivitas jasa perorangan yang tidak termasuk dalam kelompok KBLI lainnya. Kelompok ini menjadi tempat klasifikasi bagi jasa-jasa pribadi yang bersifat khusus dan tidak dapat dimasukkan ke kategori jasa perorangan yang sudah ada.;</v>
      </c>
      <c r="I1556" s="84" t="str">
        <f>VLOOKUP(Table13[[#This Row],[kbli5]],kata_kunci!$B:$H,5,FALSE)</f>
        <v>Melayani;Membantu;Mendampingi;Mengurus;Menyelenggarakan;Mengelola;Memfasilitasi;Memberikan konsultasi;Menyediakan layanan;Mengoordinasikan;</v>
      </c>
      <c r="J1556" s="84" t="str">
        <f>VLOOKUP(Table13[[#This Row],[kbli5]],kata_kunci!$B:$H,6,FALSE)</f>
        <v>Mengacu ke KBLI;</v>
      </c>
      <c r="K1556" s="84" t="str">
        <f>VLOOKUP(Table13[[#This Row],[kbli5]],kata_kunci!$B:$H,7,FALSE)</f>
        <v>Jasa pendampingan pribadi;Jasa pengurusan administrasi pribadi;Jasa asisten pribadi;Jasa concierge;Jasa konsultasi etiket;Jasa layanan perorangan lainnya;</v>
      </c>
    </row>
    <row r="1557" spans="1:11" ht="45.75" thickBot="1" x14ac:dyDescent="0.3">
      <c r="A1557" s="53" t="s">
        <v>1728</v>
      </c>
      <c r="B1557" s="40">
        <v>97000</v>
      </c>
      <c r="C1557" s="41" t="s">
        <v>1729</v>
      </c>
      <c r="D1557" s="30" t="e">
        <f>VLOOKUP(Table13[[#This Row],[kbli5]],Table1[[#All],[kbli5]:[digital_hijau]],3,)</f>
        <v>#N/A</v>
      </c>
      <c r="E1557" s="53" t="str">
        <f>VLOOKUP(Table13[[#This Row],[kbli5]],kata_kunci!$B:$H,4,FALSE)</f>
        <v>PRT; ART; asisten rumah tangga; sopir pribadi; pengasuh anak; tukang kebun;</v>
      </c>
      <c r="F1557" s="53" t="e">
        <f>VLOOKUP(Table13[[#This Row],[kbli5]],Table1[[#All],[kbli5]:[digital_hijau]],5,)</f>
        <v>#N/A</v>
      </c>
      <c r="G1557" s="53" t="e">
        <f>VLOOKUP(Table13[[#This Row],[kbli5]],Table1[[#All],[kbli5]:[digital_hijau]],6,)</f>
        <v>#N/A</v>
      </c>
      <c r="H1557" s="54" t="str">
        <f>VLOOKUP(Table13[[#This Row],[kbli5]],kata_kunci!$B:$H,3,FALSE)</f>
        <v>Rumah tangga mempekerjakan pekerja untuk membantu pekerjaan rumah tangga;</v>
      </c>
      <c r="I1557" s="84" t="str">
        <f>VLOOKUP(Table13[[#This Row],[kbli5]],kata_kunci!$B:$H,5,FALSE)</f>
        <v>Mempekerjakan; mengasuh; membersihkan; menjaga; memasak; mengemudikan;</v>
      </c>
      <c r="J1557" s="84" t="str">
        <f>VLOOKUP(Table13[[#This Row],[kbli5]],kata_kunci!$B:$H,6,FALSE)</f>
        <v>Tenaga kerja rumah tangga (PRT);</v>
      </c>
      <c r="K1557" s="84" t="str">
        <f>VLOOKUP(Table13[[#This Row],[kbli5]],kata_kunci!$B:$H,7,FALSE)</f>
        <v>Jasa pekerjaan rumah tangga;</v>
      </c>
    </row>
    <row r="1558" spans="1:11" ht="45.75" thickBot="1" x14ac:dyDescent="0.3">
      <c r="A1558" s="53" t="s">
        <v>1728</v>
      </c>
      <c r="B1558" s="40">
        <v>98100</v>
      </c>
      <c r="C1558" s="41" t="s">
        <v>1730</v>
      </c>
      <c r="D1558" s="30" t="e">
        <f>VLOOKUP(Table13[[#This Row],[kbli5]],Table1[[#All],[kbli5]:[digital_hijau]],3,)</f>
        <v>#N/A</v>
      </c>
      <c r="E1558" s="53" t="str">
        <f>VLOOKUP(Table13[[#This Row],[kbli5]],kata_kunci!$B:$H,4,FALSE)</f>
        <v>produksi sendiri; konsumsi sendiri; pertanian rumah tangga; peternakan rumah tangga;</v>
      </c>
      <c r="F1558" s="53" t="e">
        <f>VLOOKUP(Table13[[#This Row],[kbli5]],Table1[[#All],[kbli5]:[digital_hijau]],5,)</f>
        <v>#N/A</v>
      </c>
      <c r="G1558" s="53" t="e">
        <f>VLOOKUP(Table13[[#This Row],[kbli5]],Table1[[#All],[kbli5]:[digital_hijau]],6,)</f>
        <v>#N/A</v>
      </c>
      <c r="H1558" s="54" t="str">
        <f>VLOOKUP(Table13[[#This Row],[kbli5]],kata_kunci!$B:$H,3,FALSE)</f>
        <v>Rumah tangga memproduksi barang untuk digunakan sendiri dan tidak dijual;</v>
      </c>
      <c r="I1558" s="84" t="str">
        <f>VLOOKUP(Table13[[#This Row],[kbli5]],kata_kunci!$B:$H,5,FALSE)</f>
        <v>Menanam; beternak; berburu; mengumpulkan; memproduksi; membuat;</v>
      </c>
      <c r="J1558" s="84" t="str">
        <f>VLOOKUP(Table13[[#This Row],[kbli5]],kata_kunci!$B:$H,6,FALSE)</f>
        <v>Benih; tanaman; ternak; bahan pangan; bahan baku rumah tangga;</v>
      </c>
      <c r="K1558" s="84" t="str">
        <f>VLOOKUP(Table13[[#This Row],[kbli5]],kata_kunci!$B:$H,7,FALSE)</f>
        <v>Barang untuk konsumsi sendiri;</v>
      </c>
    </row>
    <row r="1559" spans="1:11" ht="45.75" thickBot="1" x14ac:dyDescent="0.3">
      <c r="A1559" s="53" t="s">
        <v>1728</v>
      </c>
      <c r="B1559" s="40">
        <v>98200</v>
      </c>
      <c r="C1559" s="41" t="s">
        <v>1731</v>
      </c>
      <c r="D1559" s="30" t="e">
        <f>VLOOKUP(Table13[[#This Row],[kbli5]],Table1[[#All],[kbli5]:[digital_hijau]],3,)</f>
        <v>#N/A</v>
      </c>
      <c r="E1559" s="53" t="str">
        <f>VLOOKUP(Table13[[#This Row],[kbli5]],kata_kunci!$B:$H,4,FALSE)</f>
        <v>jasa rumah tangga; memasak; mengajar; merawat; menjaga keluarga;</v>
      </c>
      <c r="F1559" s="53" t="e">
        <f>VLOOKUP(Table13[[#This Row],[kbli5]],Table1[[#All],[kbli5]:[digital_hijau]],5,)</f>
        <v>#N/A</v>
      </c>
      <c r="G1559" s="53" t="e">
        <f>VLOOKUP(Table13[[#This Row],[kbli5]],Table1[[#All],[kbli5]:[digital_hijau]],6,)</f>
        <v>#N/A</v>
      </c>
      <c r="H1559" s="54" t="str">
        <f>VLOOKUP(Table13[[#This Row],[kbli5]],kata_kunci!$B:$H,3,FALSE)</f>
        <v>Rumah tangga menyediakan jasa untuk memenuhi kebutuhan anggota rumah tangga sendiri;</v>
      </c>
      <c r="I1559" s="84" t="str">
        <f>VLOOKUP(Table13[[#This Row],[kbli5]],kata_kunci!$B:$H,5,FALSE)</f>
        <v>Memasak; mengajar; mendidik; merawat; menjaga; membersihkan;</v>
      </c>
      <c r="J1559" s="84" t="str">
        <f>VLOOKUP(Table13[[#This Row],[kbli5]],kata_kunci!$B:$H,6,FALSE)</f>
        <v>Tenaga kerja anggota rumah tangga; peralatan rumah tangga;</v>
      </c>
      <c r="K1559" s="84" t="str">
        <f>VLOOKUP(Table13[[#This Row],[kbli5]],kata_kunci!$B:$H,7,FALSE)</f>
        <v>Jasa rumah tangga untuk kebutuhan sendiri;</v>
      </c>
    </row>
    <row r="1560" spans="1:11" ht="115.5" thickBot="1" x14ac:dyDescent="0.3">
      <c r="A1560" s="53" t="s">
        <v>1732</v>
      </c>
      <c r="B1560" s="40">
        <v>99000</v>
      </c>
      <c r="C1560" s="41" t="s">
        <v>1733</v>
      </c>
      <c r="D1560" s="30" t="str">
        <f>VLOOKUP(Table13[[#This Row],[kbli5]],Table1[[#All],[kbli5]:[digital_hijau]],3,)</f>
        <v xml:space="preserve">Badan Internasional; Penampungan pengungsi; Konsulat Malaysia di Pekanbaru; UNHCR (United Nations High Commissioner for Refugees) Perwakilan Pekanbaru; IOM (International Organization for Migration) Perwakilan Pekanbaru; Organisasi internasional pengelola logistik, tempat tinggal, &amp; kebutuhan dasar harian pengungsi luar negeri; </v>
      </c>
      <c r="E1560" s="53" t="str">
        <f>VLOOKUP(Table13[[#This Row],[kbli5]],kata_kunci!$B:$H,4,FALSE)</f>
        <v>- badan internasional ;- organisasi internasional;- perwakilan UNDP; WHO; UNICEF;</v>
      </c>
      <c r="F1560" s="53" t="str">
        <f>VLOOKUP(Table13[[#This Row],[kbli5]],Table1[[#All],[kbli5]:[digital_hijau]],5,)</f>
        <v>Esensial</v>
      </c>
      <c r="G1560" s="53">
        <f>VLOOKUP(Table13[[#This Row],[kbli5]],Table1[[#All],[kbli5]:[digital_hijau]],6,)</f>
        <v>0</v>
      </c>
      <c r="H1560" s="54" t="str">
        <f>VLOOKUP(Table13[[#This Row],[kbli5]],kata_kunci!$B:$H,3,FALSE)</f>
        <v>Menjalankan kegiatan lembaga internasional;</v>
      </c>
      <c r="I1560" s="84" t="str">
        <f>VLOOKUP(Table13[[#This Row],[kbli5]],kata_kunci!$B:$H,5,FALSE)</f>
        <v>Mengoordinasikan; memfasilitasi; melaksanakan; mendukung; mengelola;</v>
      </c>
      <c r="J1560" s="84" t="str">
        <f>VLOOKUP(Table13[[#This Row],[kbli5]],kata_kunci!$B:$H,6,FALSE)</f>
        <v>Dana; program; bantuan; kerja sama internasional;</v>
      </c>
      <c r="K1560" s="84" t="str">
        <f>VLOOKUP(Table13[[#This Row],[kbli5]],kata_kunci!$B:$H,7,FALSE)</f>
        <v>Jasa kelembagaan internasional;</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73"/>
  <sheetViews>
    <sheetView topLeftCell="A157" workbookViewId="0">
      <selection activeCell="C165" sqref="C165"/>
    </sheetView>
  </sheetViews>
  <sheetFormatPr defaultRowHeight="15" x14ac:dyDescent="0.25"/>
  <cols>
    <col min="1" max="1" width="10.140625" customWidth="1"/>
    <col min="2" max="2" width="26.5703125" style="18" customWidth="1"/>
    <col min="3" max="3" width="37.85546875" style="19" customWidth="1"/>
    <col min="4" max="4" width="27" customWidth="1"/>
    <col min="5" max="5" width="17" customWidth="1"/>
    <col min="6" max="6" width="16.28515625" customWidth="1"/>
    <col min="7" max="7" width="41.28515625" style="43" customWidth="1"/>
    <col min="9" max="9" width="10.140625" customWidth="1"/>
  </cols>
  <sheetData>
    <row r="1" spans="1:9" x14ac:dyDescent="0.25">
      <c r="A1" s="28" t="s">
        <v>2</v>
      </c>
      <c r="B1" s="28" t="s">
        <v>3</v>
      </c>
      <c r="C1" s="37" t="s">
        <v>4</v>
      </c>
      <c r="D1" s="27" t="s">
        <v>5</v>
      </c>
      <c r="E1" s="27" t="s">
        <v>0</v>
      </c>
      <c r="F1" s="27" t="s">
        <v>2059</v>
      </c>
      <c r="G1" s="37" t="s">
        <v>2088</v>
      </c>
      <c r="H1" s="27" t="s">
        <v>2089</v>
      </c>
      <c r="I1" s="27" t="s">
        <v>1</v>
      </c>
    </row>
    <row r="2" spans="1:9" ht="51.75" x14ac:dyDescent="0.25">
      <c r="A2" s="29">
        <v>55101</v>
      </c>
      <c r="B2" s="29" t="str">
        <f>VLOOKUP(Table1[[#This Row],[kbli5]],master!$A$2:$B$1560,2,FALSE)</f>
        <v>AKTIVITAS HOTEL BINTANG LIMA</v>
      </c>
      <c r="C2" s="30" t="s">
        <v>1806</v>
      </c>
      <c r="D2" s="35"/>
      <c r="E2" s="35" t="s">
        <v>111</v>
      </c>
      <c r="F2" s="35" t="s">
        <v>2060</v>
      </c>
      <c r="G2" s="38" t="str">
        <f>VLOOKUP(Table1[[#This Row],[kbli5]],data_versi1!$B$2:$D$101,3, FALSE)</f>
        <v>Hotel Btg 5; Hotel internasional berbintang lima (misalnya jaringan hotel global); Resort mewah dengan standar bintang lima; Labersa hotel; Araduta hotel;</v>
      </c>
      <c r="H2" s="35" t="b">
        <f>IF(Table1[[#This Row],[contoh_usaha]]=Table1[[#This Row],[versi 1]],TRUE,FALSE)</f>
        <v>1</v>
      </c>
      <c r="I2" s="35" t="s">
        <v>19</v>
      </c>
    </row>
    <row r="3" spans="1:9" ht="26.25" x14ac:dyDescent="0.25">
      <c r="A3" s="31">
        <v>55102</v>
      </c>
      <c r="B3" s="31" t="str">
        <f>VLOOKUP(Table1[[#This Row],[kbli5]],master!$A$2:$B$1560,2,FALSE)</f>
        <v>AKTIVITAS HOTEL BINTANG EMPAT</v>
      </c>
      <c r="C3" s="32" t="s">
        <v>1807</v>
      </c>
      <c r="D3" s="35"/>
      <c r="E3" s="35" t="s">
        <v>111</v>
      </c>
      <c r="F3" s="35"/>
      <c r="G3" s="38" t="str">
        <f>VLOOKUP(Table1[[#This Row],[kbli5]],data_versi1!$B$2:$D$101,3, FALSE)</f>
        <v>Hotel Btg 4; Premiere; Fox; Zuri PKU &amp; Dumai; Asnof;</v>
      </c>
      <c r="H3" s="35" t="b">
        <f>IF(Table1[[#This Row],[contoh_usaha]]=Table1[[#This Row],[versi 1]],TRUE,FALSE)</f>
        <v>1</v>
      </c>
      <c r="I3" s="35" t="s">
        <v>19</v>
      </c>
    </row>
    <row r="4" spans="1:9" x14ac:dyDescent="0.25">
      <c r="A4" s="31">
        <v>55103</v>
      </c>
      <c r="B4" s="31" t="str">
        <f>VLOOKUP(Table1[[#This Row],[kbli5]],master!$A$2:$B$1560,2,FALSE)</f>
        <v>AKTIVITAS HOTEL BINTANG TIGA</v>
      </c>
      <c r="C4" s="32" t="s">
        <v>1808</v>
      </c>
      <c r="D4" s="35"/>
      <c r="E4" s="35" t="s">
        <v>111</v>
      </c>
      <c r="F4" s="35"/>
      <c r="G4" s="38" t="str">
        <f>VLOOKUP(Table1[[#This Row],[kbli5]],data_versi1!$B$2:$D$101,3, FALSE)</f>
        <v>Hotel Btg 3; Swiss Bellin SKA; Furaya; Dafam;</v>
      </c>
      <c r="H4" s="35" t="b">
        <f>IF(Table1[[#This Row],[contoh_usaha]]=Table1[[#This Row],[versi 1]],TRUE,FALSE)</f>
        <v>1</v>
      </c>
      <c r="I4" s="35" t="s">
        <v>19</v>
      </c>
    </row>
    <row r="5" spans="1:9" x14ac:dyDescent="0.25">
      <c r="A5" s="31">
        <v>55104</v>
      </c>
      <c r="B5" s="31" t="str">
        <f>VLOOKUP(Table1[[#This Row],[kbli5]],master!$A$2:$B$1560,2,FALSE)</f>
        <v>AKTIVITAS HOTEL BINTANG DUA</v>
      </c>
      <c r="C5" s="32" t="s">
        <v>1809</v>
      </c>
      <c r="D5" s="35"/>
      <c r="E5" s="35" t="s">
        <v>111</v>
      </c>
      <c r="F5" s="35"/>
      <c r="G5" s="38" t="str">
        <f>VLOOKUP(Table1[[#This Row],[kbli5]],data_versi1!$B$2:$D$101,3, FALSE)</f>
        <v>Hotel Btg 2;</v>
      </c>
      <c r="H5" s="35" t="b">
        <f>IF(Table1[[#This Row],[contoh_usaha]]=Table1[[#This Row],[versi 1]],TRUE,FALSE)</f>
        <v>1</v>
      </c>
      <c r="I5" s="35" t="s">
        <v>19</v>
      </c>
    </row>
    <row r="6" spans="1:9" ht="39" x14ac:dyDescent="0.25">
      <c r="A6" s="31">
        <v>55105</v>
      </c>
      <c r="B6" s="31" t="str">
        <f>VLOOKUP(Table1[[#This Row],[kbli5]],master!$A$2:$B$1560,2,FALSE)</f>
        <v>AKTIVITAS HOTEL BINTANG SATU</v>
      </c>
      <c r="C6" s="32" t="s">
        <v>1810</v>
      </c>
      <c r="D6" s="35"/>
      <c r="E6" s="35" t="s">
        <v>111</v>
      </c>
      <c r="F6" s="35"/>
      <c r="G6" s="38" t="str">
        <f>VLOOKUP(Table1[[#This Row],[kbli5]],data_versi1!$B$2:$D$101,3, FALSE)</f>
        <v>Hotel Btg 1; Hotel melati berbintang; Budget hotel; Hotel transit sederhana; Hotel wisata kecil; holiday hotel; sabrina 45 hotel;</v>
      </c>
      <c r="H6" s="35" t="b">
        <f>IF(Table1[[#This Row],[contoh_usaha]]=Table1[[#This Row],[versi 1]],TRUE,FALSE)</f>
        <v>1</v>
      </c>
      <c r="I6" s="35" t="s">
        <v>19</v>
      </c>
    </row>
    <row r="7" spans="1:9" ht="39" x14ac:dyDescent="0.25">
      <c r="A7" s="31">
        <v>55106</v>
      </c>
      <c r="B7" s="31" t="str">
        <f>VLOOKUP(Table1[[#This Row],[kbli5]],master!$A$2:$B$1560,2,FALSE)</f>
        <v>AKTIVITAS HOTEL NONBINTANG</v>
      </c>
      <c r="C7" s="32" t="s">
        <v>1811</v>
      </c>
      <c r="D7" s="35"/>
      <c r="E7" s="35" t="s">
        <v>111</v>
      </c>
      <c r="F7" s="35"/>
      <c r="G7" s="38" t="str">
        <f>VLOOKUP(Table1[[#This Row],[kbli5]],data_versi1!$B$2:$D$101,3, FALSE)</f>
        <v>Hotel Non Bintang; Losmen; Wisma penginapan; Hotel melati; Guest house sederhana; Penginapan harian;</v>
      </c>
      <c r="H7" s="35" t="b">
        <f>IF(Table1[[#This Row],[contoh_usaha]]=Table1[[#This Row],[versi 1]],TRUE,FALSE)</f>
        <v>1</v>
      </c>
      <c r="I7" s="35" t="s">
        <v>19</v>
      </c>
    </row>
    <row r="8" spans="1:9" ht="39" x14ac:dyDescent="0.25">
      <c r="A8" s="31">
        <v>55201</v>
      </c>
      <c r="B8" s="31" t="str">
        <f>VLOOKUP(Table1[[#This Row],[kbli5]],master!$A$2:$B$1560,2,FALSE)</f>
        <v>AKTIVITAS RUMAH TINGGAL SEWA (HOMESTAY)</v>
      </c>
      <c r="C8" s="32" t="s">
        <v>1812</v>
      </c>
      <c r="D8" s="35"/>
      <c r="E8" s="35" t="s">
        <v>111</v>
      </c>
      <c r="F8" s="35"/>
      <c r="G8" s="38" t="str">
        <f>VLOOKUP(Table1[[#This Row],[kbli5]],data_versi1!$B$2:$D$101,3, FALSE)</f>
        <v>Homestay; Cottage wisata pantai; Bungalow resort; Cabin wisata alam; Eco lodge; Penginapan wisata keluarga;</v>
      </c>
      <c r="H8" s="35" t="b">
        <f>IF(Table1[[#This Row],[contoh_usaha]]=Table1[[#This Row],[versi 1]],TRUE,FALSE)</f>
        <v>1</v>
      </c>
      <c r="I8" s="35" t="s">
        <v>19</v>
      </c>
    </row>
    <row r="9" spans="1:9" ht="38.25" x14ac:dyDescent="0.25">
      <c r="A9" s="29">
        <v>55202</v>
      </c>
      <c r="B9" s="31" t="str">
        <f>VLOOKUP(Table1[[#This Row],[kbli5]],master!$A$2:$B$1560,2,FALSE)</f>
        <v>AKTIVITAS HOSTEL REMAJA (YOUTH HOSTEL)</v>
      </c>
      <c r="C9" s="32" t="s">
        <v>2040</v>
      </c>
      <c r="D9" s="35"/>
      <c r="E9" s="35" t="s">
        <v>2056</v>
      </c>
      <c r="F9" s="35"/>
      <c r="G9" s="38" t="e">
        <f>VLOOKUP(Table1[[#This Row],[kbli5]],data_versi1!$B$2:$D$101,3, FALSE)</f>
        <v>#N/A</v>
      </c>
      <c r="H9" s="35" t="e">
        <f>IF(Table1[[#This Row],[contoh_usaha]]=Table1[[#This Row],[versi 1]],TRUE,FALSE)</f>
        <v>#N/A</v>
      </c>
      <c r="I9" s="35" t="s">
        <v>19</v>
      </c>
    </row>
    <row r="10" spans="1:9" ht="38.25" x14ac:dyDescent="0.25">
      <c r="A10" s="29">
        <v>55203</v>
      </c>
      <c r="B10" s="31" t="str">
        <f>VLOOKUP(Table1[[#This Row],[kbli5]],master!$A$2:$B$1560,2,FALSE)</f>
        <v>AKTIVITAS VILA</v>
      </c>
      <c r="C10" s="32" t="s">
        <v>2041</v>
      </c>
      <c r="D10" s="35"/>
      <c r="E10" s="35" t="s">
        <v>2056</v>
      </c>
      <c r="F10" s="35"/>
      <c r="G10" s="38" t="e">
        <f>VLOOKUP(Table1[[#This Row],[kbli5]],data_versi1!$B$2:$D$101,3, FALSE)</f>
        <v>#N/A</v>
      </c>
      <c r="H10" s="35" t="e">
        <f>IF(Table1[[#This Row],[contoh_usaha]]=Table1[[#This Row],[versi 1]],TRUE,FALSE)</f>
        <v>#N/A</v>
      </c>
      <c r="I10" s="35" t="s">
        <v>19</v>
      </c>
    </row>
    <row r="11" spans="1:9" ht="39" x14ac:dyDescent="0.25">
      <c r="A11" s="29">
        <v>55204</v>
      </c>
      <c r="B11" s="31" t="str">
        <f>VLOOKUP(Table1[[#This Row],[kbli5]],master!$A$2:$B$1560,2,FALSE)</f>
        <v>AKTIVITAS APARTEMEN HOTEL</v>
      </c>
      <c r="C11" s="32" t="s">
        <v>1939</v>
      </c>
      <c r="D11" s="35"/>
      <c r="E11" s="35" t="s">
        <v>116</v>
      </c>
      <c r="F11" s="35"/>
      <c r="G11" s="38" t="str">
        <f>VLOOKUP(Table1[[#This Row],[kbli5]],data_versi1!$B$2:$D$101,3, FALSE)</f>
        <v>Apartemen hotel; Kampar Lake Villa; Riau Holiday House; Pekanbaru Guest House; Siak Heritage Cottage; Bengkalis Beach Bungalow;</v>
      </c>
      <c r="H11" s="35" t="b">
        <f>IF(Table1[[#This Row],[contoh_usaha]]=Table1[[#This Row],[versi 1]],TRUE,FALSE)</f>
        <v>1</v>
      </c>
      <c r="I11" s="35" t="s">
        <v>19</v>
      </c>
    </row>
    <row r="12" spans="1:9" ht="51.75" x14ac:dyDescent="0.25">
      <c r="A12" s="29">
        <v>55209</v>
      </c>
      <c r="B12" s="31" t="str">
        <f>VLOOKUP(Table1[[#This Row],[kbli5]],master!$A$2:$B$1560,2,FALSE)</f>
        <v>AKTIVITAS PENYEDIAAN AKOMODASI JANGKA PENDEK LAINNYA</v>
      </c>
      <c r="C12" s="32" t="s">
        <v>1940</v>
      </c>
      <c r="D12" s="35"/>
      <c r="E12" s="35" t="s">
        <v>116</v>
      </c>
      <c r="F12" s="35"/>
      <c r="G12" s="38" t="str">
        <f>VLOOKUP(Table1[[#This Row],[kbli5]],data_versi1!$B$2:$D$101,3, FALSE)</f>
        <v>Akomodasi jangka pendek lainnya; Bono Riverside Lodge; Siak Heritage Stay; Kampar Tourist House; Riau Visitor Lodge; Wisma Wisata Melayu;</v>
      </c>
      <c r="H12" s="35" t="b">
        <f>IF(Table1[[#This Row],[contoh_usaha]]=Table1[[#This Row],[versi 1]],TRUE,FALSE)</f>
        <v>1</v>
      </c>
      <c r="I12" s="35" t="s">
        <v>19</v>
      </c>
    </row>
    <row r="13" spans="1:9" ht="26.25" x14ac:dyDescent="0.25">
      <c r="A13" s="29">
        <v>55300</v>
      </c>
      <c r="B13" s="31" t="str">
        <f>VLOOKUP(Table1[[#This Row],[kbli5]],master!$A$2:$B$1560,2,FALSE)</f>
        <v>AKTIVITAS PENYEDIAAN BUMI PERKEMAHAN, PERSINGGAHAN KARAVAN,</v>
      </c>
      <c r="C13" s="32" t="s">
        <v>1941</v>
      </c>
      <c r="D13" s="35"/>
      <c r="E13" s="35" t="s">
        <v>116</v>
      </c>
      <c r="F13" s="35"/>
      <c r="G13" s="38" t="str">
        <f>VLOOKUP(Table1[[#This Row],[kbli5]],data_versi1!$B$2:$D$101,3, FALSE)</f>
        <v>Bumi Perkemahan; Camping Ground Kampar; Campervan Park; Eco Camp;</v>
      </c>
      <c r="H13" s="35" t="b">
        <f>IF(Table1[[#This Row],[contoh_usaha]]=Table1[[#This Row],[versi 1]],TRUE,FALSE)</f>
        <v>1</v>
      </c>
      <c r="I13" s="35" t="s">
        <v>19</v>
      </c>
    </row>
    <row r="14" spans="1:9" ht="51.75" x14ac:dyDescent="0.25">
      <c r="A14" s="29">
        <v>55901</v>
      </c>
      <c r="B14" s="31" t="str">
        <f>VLOOKUP(Table1[[#This Row],[kbli5]],master!$A$2:$B$1560,2,FALSE)</f>
        <v>AKTIVITAS JASA MANAJEMEN AKOMODASI</v>
      </c>
      <c r="C14" s="32" t="s">
        <v>1942</v>
      </c>
      <c r="D14" s="35"/>
      <c r="E14" s="35" t="s">
        <v>116</v>
      </c>
      <c r="F14" s="35"/>
      <c r="G14" s="38" t="str">
        <f>VLOOKUP(Table1[[#This Row],[kbli5]],data_versi1!$B$2:$D$101,3, FALSE)</f>
        <v>Jasa manajemen akomodasi; Asrama Mahasiswa Riau; Mess Karyawan Sawit Jaya; Dormitory Pekanbaru; Asrama Atlet Riau; Graha Asrama Nusantara;</v>
      </c>
      <c r="H14" s="35" t="b">
        <f>IF(Table1[[#This Row],[contoh_usaha]]=Table1[[#This Row],[versi 1]],TRUE,FALSE)</f>
        <v>1</v>
      </c>
      <c r="I14" s="35" t="s">
        <v>19</v>
      </c>
    </row>
    <row r="15" spans="1:9" ht="39" x14ac:dyDescent="0.25">
      <c r="A15" s="29">
        <v>55909</v>
      </c>
      <c r="B15" s="31" t="str">
        <f>VLOOKUP(Table1[[#This Row],[kbli5]],master!$A$2:$B$1560,2,FALSE)</f>
        <v>PENYEDIAAN AKOMODASI LAINNYA YTDL</v>
      </c>
      <c r="C15" s="32" t="s">
        <v>1943</v>
      </c>
      <c r="D15" s="35"/>
      <c r="E15" s="35" t="s">
        <v>116</v>
      </c>
      <c r="F15" s="35"/>
      <c r="G15" s="38" t="str">
        <f>VLOOKUP(Table1[[#This Row],[kbli5]],data_versi1!$B$2:$D$101,3, FALSE)</f>
        <v>Akomodasi lainnya; Kos Putra Riau; Kos Putri Pekanbaru; Graha Karyawan Sawit; Riau Co-Living Residence; Mess Pekerja Nusantara;</v>
      </c>
      <c r="H15" s="35" t="b">
        <f>IF(Table1[[#This Row],[contoh_usaha]]=Table1[[#This Row],[versi 1]],TRUE,FALSE)</f>
        <v>1</v>
      </c>
      <c r="I15" s="35" t="s">
        <v>19</v>
      </c>
    </row>
    <row r="16" spans="1:9" ht="89.25" x14ac:dyDescent="0.25">
      <c r="A16" s="29">
        <v>56101</v>
      </c>
      <c r="B16" s="31" t="str">
        <f>VLOOKUP(Table1[[#This Row],[kbli5]],master!$A$2:$B$1560,2,FALSE)</f>
        <v>AKTIVITAS PENYEDIAAN MAKANAN DI BANGUNAN TETAP</v>
      </c>
      <c r="C16" s="32" t="s">
        <v>1944</v>
      </c>
      <c r="D16" s="35"/>
      <c r="E16" s="35" t="s">
        <v>116</v>
      </c>
      <c r="F16" s="35"/>
      <c r="G16" s="38" t="str">
        <f>VLOOKUP(Table1[[#This Row],[kbli5]],data_versi1!$B$2:$D$101,3, FALSE)</f>
        <v>Penyediaan Makanan di bangunan tetap; Restoran Melayu Riau; Rumah Makan Selera Kampar; KFC; Gerai es krim; Kalgaris; Scoop me; Pizza hut delivery; Wareh Kupi; Kimteng; Candu Kuphie; Sanama; Restoran hotel (jika merupakan unit terpisah); JCO; Roti O; Baskin Robins;</v>
      </c>
      <c r="H16" s="35" t="b">
        <f>IF(Table1[[#This Row],[contoh_usaha]]=Table1[[#This Row],[versi 1]],TRUE,FALSE)</f>
        <v>1</v>
      </c>
      <c r="I16" s="35" t="s">
        <v>19</v>
      </c>
    </row>
    <row r="17" spans="1:9" ht="39" x14ac:dyDescent="0.25">
      <c r="A17" s="29">
        <v>56102</v>
      </c>
      <c r="B17" s="31" t="str">
        <f>VLOOKUP(Table1[[#This Row],[kbli5]],master!$A$2:$B$1560,2,FALSE)</f>
        <v>AKTIVITAS PENYEDIAAN MAKANAN DI BANGUNAN TIDAK TETAP</v>
      </c>
      <c r="C17" s="32" t="s">
        <v>1945</v>
      </c>
      <c r="D17" s="35"/>
      <c r="E17" s="35" t="s">
        <v>116</v>
      </c>
      <c r="F17" s="35"/>
      <c r="G17" s="38" t="str">
        <f>VLOOKUP(Table1[[#This Row],[kbli5]],data_versi1!$B$2:$D$101,3, FALSE)</f>
        <v>Penyediaan Makanan di bangunan tidak tetap; Food truck; angkringan; siomay gerobak; bakso gerobak;</v>
      </c>
      <c r="H17" s="35" t="b">
        <f>IF(Table1[[#This Row],[contoh_usaha]]=Table1[[#This Row],[versi 1]],TRUE,FALSE)</f>
        <v>1</v>
      </c>
      <c r="I17" s="35" t="s">
        <v>19</v>
      </c>
    </row>
    <row r="18" spans="1:9" ht="51" x14ac:dyDescent="0.25">
      <c r="A18" s="29">
        <v>56210</v>
      </c>
      <c r="B18" s="31" t="str">
        <f>VLOOKUP(Table1[[#This Row],[kbli5]],master!$A$2:$B$1560,2,FALSE)</f>
        <v>AKTIVITAS JASA BOGA UNTUK ACARA TERTENTU (EVENT CATERING)</v>
      </c>
      <c r="C18" s="32" t="s">
        <v>1946</v>
      </c>
      <c r="D18" s="35"/>
      <c r="E18" s="35" t="s">
        <v>116</v>
      </c>
      <c r="F18" s="35"/>
      <c r="G18" s="38" t="str">
        <f>VLOOKUP(Table1[[#This Row],[kbli5]],data_versi1!$B$2:$D$101,3, FALSE)</f>
        <v>Jasa boga acara tertentu; Katering Selera Melayu; Riau Catering Service; Dapur Bunda Catering; Pekanbaru Jasa Boga; Berkah Catering;</v>
      </c>
      <c r="H18" s="35" t="b">
        <f>IF(Table1[[#This Row],[contoh_usaha]]=Table1[[#This Row],[versi 1]],TRUE,FALSE)</f>
        <v>1</v>
      </c>
      <c r="I18" s="35" t="s">
        <v>19</v>
      </c>
    </row>
    <row r="19" spans="1:9" ht="39" x14ac:dyDescent="0.25">
      <c r="A19" s="29">
        <v>56290</v>
      </c>
      <c r="B19" s="31" t="str">
        <f>VLOOKUP(Table1[[#This Row],[kbli5]],master!$A$2:$B$1560,2,FALSE)</f>
        <v>AKTIVITAS PENYEDIAAN JASA BOGA LAINNYA</v>
      </c>
      <c r="C19" s="32" t="s">
        <v>1947</v>
      </c>
      <c r="D19" s="35"/>
      <c r="E19" s="35" t="s">
        <v>116</v>
      </c>
      <c r="F19" s="35"/>
      <c r="G19" s="38" t="str">
        <f>VLOOKUP(Table1[[#This Row],[kbli5]],data_versi1!$B$2:$D$101,3, FALSE)</f>
        <v>Jasa boga lainnya; SPPG; katering ke rumah tangga; kantin/kafetaria rumah sakit, pabrik, sekolah, kantor;</v>
      </c>
      <c r="H19" s="35" t="b">
        <f>IF(Table1[[#This Row],[contoh_usaha]]=Table1[[#This Row],[versi 1]],TRUE,FALSE)</f>
        <v>1</v>
      </c>
      <c r="I19" s="35" t="s">
        <v>19</v>
      </c>
    </row>
    <row r="20" spans="1:9" ht="26.25" x14ac:dyDescent="0.25">
      <c r="A20" s="29">
        <v>56301</v>
      </c>
      <c r="B20" s="31" t="str">
        <f>VLOOKUP(Table1[[#This Row],[kbli5]],master!$A$2:$B$1560,2,FALSE)</f>
        <v>AKTIVITAS BAR</v>
      </c>
      <c r="C20" s="32" t="s">
        <v>1948</v>
      </c>
      <c r="D20" s="35"/>
      <c r="E20" s="35" t="s">
        <v>116</v>
      </c>
      <c r="F20" s="35"/>
      <c r="G20" s="38" t="str">
        <f>VLOOKUP(Table1[[#This Row],[kbli5]],data_versi1!$B$2:$D$101,3, FALSE)</f>
        <v xml:space="preserve">Aktivitas bar (minuman alkohol atau non alkohol); </v>
      </c>
      <c r="H20" s="35" t="b">
        <f>IF(Table1[[#This Row],[contoh_usaha]]=Table1[[#This Row],[versi 1]],TRUE,FALSE)</f>
        <v>1</v>
      </c>
      <c r="I20" s="35" t="s">
        <v>19</v>
      </c>
    </row>
    <row r="21" spans="1:9" x14ac:dyDescent="0.25">
      <c r="A21" s="29">
        <v>56302</v>
      </c>
      <c r="B21" s="31" t="str">
        <f>VLOOKUP(Table1[[#This Row],[kbli5]],master!$A$2:$B$1560,2,FALSE)</f>
        <v>AKTIVITAS KELAB MALAM ATAU DISKOTEK YANG UTAMANYA</v>
      </c>
      <c r="C21" s="32" t="s">
        <v>1949</v>
      </c>
      <c r="D21" s="35"/>
      <c r="E21" s="35" t="s">
        <v>116</v>
      </c>
      <c r="F21" s="35"/>
      <c r="G21" s="38" t="str">
        <f>VLOOKUP(Table1[[#This Row],[kbli5]],data_versi1!$B$2:$D$101,3, FALSE)</f>
        <v>Aktivitas klab malam;diskotik;</v>
      </c>
      <c r="H21" s="35" t="b">
        <f>IF(Table1[[#This Row],[contoh_usaha]]=Table1[[#This Row],[versi 1]],TRUE,FALSE)</f>
        <v>1</v>
      </c>
      <c r="I21" s="35" t="s">
        <v>19</v>
      </c>
    </row>
    <row r="22" spans="1:9" ht="77.25" x14ac:dyDescent="0.25">
      <c r="A22" s="29">
        <v>56303</v>
      </c>
      <c r="B22" s="31" t="str">
        <f>VLOOKUP(Table1[[#This Row],[kbli5]],master!$A$2:$B$1560,2,FALSE)</f>
        <v>AKTIVITAS RUMAH MINUM/KAFE</v>
      </c>
      <c r="C22" s="32" t="s">
        <v>1950</v>
      </c>
      <c r="D22" s="35"/>
      <c r="E22" s="35" t="s">
        <v>116</v>
      </c>
      <c r="F22" s="35"/>
      <c r="G22" s="38" t="str">
        <f>VLOOKUP(Table1[[#This Row],[kbli5]],data_versi1!$B$2:$D$101,3, FALSE)</f>
        <v xml:space="preserve">Aktivitas rumah minum/kafe; oziq smoothies; chatime; warung jus; Kopi kenangan; tomoro; fore; Coffee shop modern yang makanannya sedikit/hanya snack; starbucks; jual jus di depan rumah; oziq smoothies; jual pop ice di depan rumah sendiri; </v>
      </c>
      <c r="H22" s="35" t="b">
        <f>IF(Table1[[#This Row],[contoh_usaha]]=Table1[[#This Row],[versi 1]],TRUE,FALSE)</f>
        <v>1</v>
      </c>
      <c r="I22" s="35" t="s">
        <v>19</v>
      </c>
    </row>
    <row r="23" spans="1:9" ht="39" x14ac:dyDescent="0.25">
      <c r="A23" s="29">
        <v>56304</v>
      </c>
      <c r="B23" s="31" t="str">
        <f>VLOOKUP(Table1[[#This Row],[kbli5]],master!$A$2:$B$1560,2,FALSE)</f>
        <v>AKTIVITAS KEDAI MINUMAN</v>
      </c>
      <c r="C23" s="32" t="s">
        <v>1951</v>
      </c>
      <c r="D23" s="35"/>
      <c r="E23" s="35" t="s">
        <v>116</v>
      </c>
      <c r="F23" s="35"/>
      <c r="G23" s="38" t="str">
        <f>VLOOKUP(Table1[[#This Row],[kbli5]],data_versi1!$B$2:$D$101,3, FALSE)</f>
        <v>Aktivitas kedai minuman; stand jus; stand pop ice; Boba di pinggir jalan; Booth kopi; kios minuman;</v>
      </c>
      <c r="H23" s="35" t="b">
        <f>IF(Table1[[#This Row],[contoh_usaha]]=Table1[[#This Row],[versi 1]],TRUE,FALSE)</f>
        <v>1</v>
      </c>
      <c r="I23" s="35" t="s">
        <v>19</v>
      </c>
    </row>
    <row r="24" spans="1:9" ht="64.5" x14ac:dyDescent="0.25">
      <c r="A24" s="29">
        <v>56305</v>
      </c>
      <c r="B24" s="31" t="str">
        <f>VLOOKUP(Table1[[#This Row],[kbli5]],master!$A$2:$B$1560,2,FALSE)</f>
        <v>AKTIVITAS RUMAH/KEDAI OBAT BAHAN ALAM</v>
      </c>
      <c r="C24" s="32" t="s">
        <v>1952</v>
      </c>
      <c r="D24" s="35"/>
      <c r="E24" s="35" t="s">
        <v>116</v>
      </c>
      <c r="F24" s="35"/>
      <c r="G24" s="38" t="str">
        <f>VLOOKUP(Table1[[#This Row],[kbli5]],data_versi1!$B$2:$D$101,3, FALSE)</f>
        <v>Kedai obat bahan alam; Kedai Jamu Sehat Pekanbaru; Rumah Jamu Melayu Riau; Depot Jamu Tradisional Dumai; Kedai Herbal Kampar; Jamu Rempah Nusantara; Kedai Kunyit Asam Pekanbaru;</v>
      </c>
      <c r="H24" s="35" t="b">
        <f>IF(Table1[[#This Row],[contoh_usaha]]=Table1[[#This Row],[versi 1]],TRUE,FALSE)</f>
        <v>1</v>
      </c>
      <c r="I24" s="35" t="s">
        <v>19</v>
      </c>
    </row>
    <row r="25" spans="1:9" ht="26.25" x14ac:dyDescent="0.25">
      <c r="A25" s="29">
        <v>56306</v>
      </c>
      <c r="B25" s="31" t="str">
        <f>VLOOKUP(Table1[[#This Row],[kbli5]],master!$A$2:$B$1560,2,FALSE)</f>
        <v>AKTIVITAS PENYEDIAAN MINUMAN KELILING/TEMPAT TIDAK TETAP</v>
      </c>
      <c r="C25" s="32" t="s">
        <v>1953</v>
      </c>
      <c r="D25" s="35"/>
      <c r="E25" s="35" t="s">
        <v>116</v>
      </c>
      <c r="F25" s="35"/>
      <c r="G25" s="38" t="str">
        <f>VLOOKUP(Table1[[#This Row],[kbli5]],data_versi1!$B$2:$D$101,3, FALSE)</f>
        <v xml:space="preserve">Penyediaan minuman keliling/tempat tidak tetap; Kopi sepeda; Kopi saka; Kopi kito; </v>
      </c>
      <c r="H25" s="35" t="b">
        <f>IF(Table1[[#This Row],[contoh_usaha]]=Table1[[#This Row],[versi 1]],TRUE,FALSE)</f>
        <v>1</v>
      </c>
      <c r="I25" s="35" t="s">
        <v>19</v>
      </c>
    </row>
    <row r="26" spans="1:9" ht="38.25" x14ac:dyDescent="0.25">
      <c r="A26" s="29">
        <v>56400</v>
      </c>
      <c r="B26" s="31" t="str">
        <f>VLOOKUP(Table1[[#This Row],[kbli5]],master!$A$2:$B$1560,2,FALSE)</f>
        <v>AKTIVITAS JASA INTERMEDIASI PENYEDIAAN MAKANAN DAN MINUMAN</v>
      </c>
      <c r="C26" s="32" t="s">
        <v>2058</v>
      </c>
      <c r="D26" s="53"/>
      <c r="E26" s="35" t="s">
        <v>116</v>
      </c>
      <c r="F26" s="35"/>
      <c r="G26" s="38" t="e">
        <f>VLOOKUP(Table1[[#This Row],[kbli5]],data_versi1!$B$2:$D$101,3, FALSE)</f>
        <v>#N/A</v>
      </c>
      <c r="H26" s="35" t="e">
        <f>IF(Table1[[#This Row],[contoh_usaha]]=Table1[[#This Row],[versi 1]],TRUE,FALSE)</f>
        <v>#N/A</v>
      </c>
      <c r="I26" s="35" t="s">
        <v>19</v>
      </c>
    </row>
    <row r="27" spans="1:9" x14ac:dyDescent="0.25">
      <c r="A27" s="29">
        <v>61101</v>
      </c>
      <c r="B27" s="31" t="str">
        <f>VLOOKUP(Table1[[#This Row],[kbli5]],master!$A$2:$B$1560,2,FALSE)</f>
        <v>AKTIVITAS TELEKOMUNIKASI DENGAN KABEL</v>
      </c>
      <c r="C27" s="32" t="s">
        <v>1957</v>
      </c>
      <c r="D27" s="53"/>
      <c r="E27" s="35" t="s">
        <v>116</v>
      </c>
      <c r="F27" s="35"/>
      <c r="G27" s="38" t="str">
        <f>VLOOKUP(Table1[[#This Row],[kbli5]],data_versi1!$B$2:$D$101,3, FALSE)</f>
        <v>Telekomunikasi kabel; Indihome;</v>
      </c>
      <c r="H27" s="35" t="b">
        <f>IF(Table1[[#This Row],[contoh_usaha]]=Table1[[#This Row],[versi 1]],TRUE,FALSE)</f>
        <v>1</v>
      </c>
      <c r="I27" s="35" t="s">
        <v>35</v>
      </c>
    </row>
    <row r="28" spans="1:9" x14ac:dyDescent="0.25">
      <c r="A28" s="29">
        <v>61102</v>
      </c>
      <c r="B28" s="31" t="str">
        <f>VLOOKUP(Table1[[#This Row],[kbli5]],master!$A$2:$B$1560,2,FALSE)</f>
        <v>AKTIVITAS TELEKOMUNIKASI DENGAN NIRKABEL</v>
      </c>
      <c r="C28" s="32" t="s">
        <v>1958</v>
      </c>
      <c r="D28" s="53"/>
      <c r="E28" s="35" t="s">
        <v>116</v>
      </c>
      <c r="F28" s="35" t="s">
        <v>2090</v>
      </c>
      <c r="G28" s="38" t="str">
        <f>VLOOKUP(Table1[[#This Row],[kbli5]],data_versi1!$B$2:$D$101,3, FALSE)</f>
        <v>Telekomunikasi kabel; Telkomsel;</v>
      </c>
      <c r="H28" s="35" t="b">
        <f>IF(Table1[[#This Row],[contoh_usaha]]=Table1[[#This Row],[versi 1]],TRUE,FALSE)</f>
        <v>1</v>
      </c>
      <c r="I28" s="35" t="s">
        <v>35</v>
      </c>
    </row>
    <row r="29" spans="1:9" ht="39" x14ac:dyDescent="0.25">
      <c r="A29" s="29">
        <v>61104</v>
      </c>
      <c r="B29" s="31" t="str">
        <f>VLOOKUP(Table1[[#This Row],[kbli5]],master!$A$2:$B$1560,2,FALSE)</f>
        <v>AKTIVITAS JASA AKSES INTERNET (INTERNET SERVICE PROVIDER)</v>
      </c>
      <c r="C29" s="32" t="s">
        <v>1959</v>
      </c>
      <c r="D29" s="53"/>
      <c r="E29" s="35" t="s">
        <v>116</v>
      </c>
      <c r="F29" s="35" t="s">
        <v>2090</v>
      </c>
      <c r="G29" s="38" t="str">
        <f>VLOOKUP(Table1[[#This Row],[kbli5]],data_versi1!$B$2:$D$101,3, FALSE)</f>
        <v>ISP; Indihome; perusahaan penyedia wifi untuk internet di rumah; my republik; cipta informatika cemerlang; solnet;</v>
      </c>
      <c r="H29" s="35" t="b">
        <f>IF(Table1[[#This Row],[contoh_usaha]]=Table1[[#This Row],[versi 1]],TRUE,FALSE)</f>
        <v>1</v>
      </c>
      <c r="I29" s="35" t="s">
        <v>35</v>
      </c>
    </row>
    <row r="30" spans="1:9" ht="26.25" x14ac:dyDescent="0.25">
      <c r="A30" s="29">
        <v>61106</v>
      </c>
      <c r="B30" s="31" t="str">
        <f>VLOOKUP(Table1[[#This Row],[kbli5]],master!$A$2:$B$1560,2,FALSE)</f>
        <v>AKTIVITIAS JASA TELEVISI PROTOKOL INTERNET (IPTV)</v>
      </c>
      <c r="C30" s="32" t="s">
        <v>1960</v>
      </c>
      <c r="D30" s="53"/>
      <c r="E30" s="35" t="s">
        <v>116</v>
      </c>
      <c r="F30" s="35" t="s">
        <v>2090</v>
      </c>
      <c r="G30" s="38" t="str">
        <f>VLOOKUP(Table1[[#This Row],[kbli5]],data_versi1!$B$2:$D$101,3, FALSE)</f>
        <v>Tv protokol internet (IPTV); Indihome TV; MNC Play; FirstMedia; UseeTV</v>
      </c>
      <c r="H30" s="35" t="b">
        <f>IF(Table1[[#This Row],[contoh_usaha]]=Table1[[#This Row],[versi 1]],TRUE,FALSE)</f>
        <v>1</v>
      </c>
      <c r="I30" s="35" t="s">
        <v>35</v>
      </c>
    </row>
    <row r="31" spans="1:9" ht="63.75" x14ac:dyDescent="0.25">
      <c r="A31" s="29">
        <v>61209</v>
      </c>
      <c r="B31" s="36" t="str">
        <f>VLOOKUP(Table1[[#This Row],[kbli5]],master!$A$2:$B$1560,2,FALSE)</f>
        <v>AKTIVITAS PENJUALAN KEMBALI DAN JASA INTERMEDIASI UNTUK TELEKOMUNIKASI LAINNYA</v>
      </c>
      <c r="C31" s="33" t="s">
        <v>1961</v>
      </c>
      <c r="D31" s="53"/>
      <c r="E31" s="35" t="s">
        <v>116</v>
      </c>
      <c r="F31" s="35" t="s">
        <v>2090</v>
      </c>
      <c r="G31" s="38" t="str">
        <f>VLOOKUP(Table1[[#This Row],[kbli5]],data_versi1!$B$2:$D$101,3, FALSE)</f>
        <v>Jasa Intemediasi Telekomunikasi; wartel, warnet; jasa pihak ketiga yang memasang wifi/ kabel &amp; tiang internet; pemasangan tv kabel; JUAL PULSA; KONTER PULSA; jual kartu perdana;</v>
      </c>
      <c r="H31" s="35" t="b">
        <f>IF(Table1[[#This Row],[contoh_usaha]]=Table1[[#This Row],[versi 1]],TRUE,FALSE)</f>
        <v>1</v>
      </c>
      <c r="I31" s="35" t="s">
        <v>35</v>
      </c>
    </row>
    <row r="32" spans="1:9" ht="51" x14ac:dyDescent="0.25">
      <c r="A32" s="29">
        <v>62199</v>
      </c>
      <c r="B32" s="31" t="str">
        <f>VLOOKUP(Table1[[#This Row],[kbli5]],master!$A$2:$B$1560,2,FALSE)</f>
        <v>AKTIVITAS PEMROGRAMAN KOMPUTER LAINNYA YTDL</v>
      </c>
      <c r="C32" s="32" t="s">
        <v>1962</v>
      </c>
      <c r="D32" s="53"/>
      <c r="E32" s="35" t="s">
        <v>116</v>
      </c>
      <c r="F32" s="35" t="s">
        <v>2090</v>
      </c>
      <c r="G32" s="38" t="str">
        <f>VLOOKUP(Table1[[#This Row],[kbli5]],data_versi1!$B$2:$D$101,3, FALSE)</f>
        <v>Aktivitas pemrograman; programmer freelance; perusahaan digital pembuatan aplikasi/website (ada kegiatan pemrograman di dalamnya);</v>
      </c>
      <c r="H32" s="35" t="b">
        <f>IF(Table1[[#This Row],[contoh_usaha]]=Table1[[#This Row],[versi 1]],TRUE,FALSE)</f>
        <v>1</v>
      </c>
      <c r="I32" s="35" t="s">
        <v>35</v>
      </c>
    </row>
    <row r="33" spans="1:9" ht="63.75" x14ac:dyDescent="0.25">
      <c r="A33" s="29">
        <v>62900</v>
      </c>
      <c r="B33" s="31" t="str">
        <f>VLOOKUP(Table1[[#This Row],[kbli5]],master!$A$2:$B$1560,2,FALSE)</f>
        <v>AKTIVITAS JASA TEKNOLOGI INFORMASI DAN KOMPUTER LAINNYA</v>
      </c>
      <c r="C33" s="32" t="s">
        <v>1963</v>
      </c>
      <c r="D33" s="53"/>
      <c r="E33" s="35" t="s">
        <v>116</v>
      </c>
      <c r="F33" s="35" t="s">
        <v>2090</v>
      </c>
      <c r="G33" s="38" t="str">
        <f>VLOOKUP(Table1[[#This Row],[kbli5]],data_versi1!$B$2:$D$101,3, FALSE)</f>
        <v>Jasa TI dan komputer lainnya; jasa perbaikan komputer; jasa servis komputer;jasa instalasi perangkat komputer; jasa servis perangkat TI lainnya; retyan computer; megakom;</v>
      </c>
      <c r="H33" s="35" t="b">
        <f>IF(Table1[[#This Row],[contoh_usaha]]=Table1[[#This Row],[versi 1]],TRUE,FALSE)</f>
        <v>1</v>
      </c>
      <c r="I33" s="35" t="s">
        <v>35</v>
      </c>
    </row>
    <row r="34" spans="1:9" ht="51" x14ac:dyDescent="0.25">
      <c r="A34" s="29">
        <v>35111</v>
      </c>
      <c r="B34" s="29" t="str">
        <f>VLOOKUP(Table1[[#This Row],[kbli5]],master!$A$2:$B$1560,2,FALSE)</f>
        <v>PEMBANGKITAN TENAGA LISTRIK DARI SUMBER ENERGI TIDAK</v>
      </c>
      <c r="C34" s="30" t="s">
        <v>1798</v>
      </c>
      <c r="D34" s="53"/>
      <c r="E34" s="35" t="s">
        <v>111</v>
      </c>
      <c r="F34" s="35"/>
      <c r="G34" s="38" t="e">
        <f>VLOOKUP(Table1[[#This Row],[kbli5]],data_versi1!$B$2:$D$101,3, FALSE)</f>
        <v>#N/A</v>
      </c>
      <c r="H34" s="35" t="e">
        <f>IF(Table1[[#This Row],[contoh_usaha]]=Table1[[#This Row],[versi 1]],TRUE,FALSE)</f>
        <v>#N/A</v>
      </c>
      <c r="I34" s="35" t="s">
        <v>907</v>
      </c>
    </row>
    <row r="35" spans="1:9" ht="38.25" x14ac:dyDescent="0.25">
      <c r="A35" s="29">
        <v>35120</v>
      </c>
      <c r="B35" s="29" t="str">
        <f>VLOOKUP(Table1[[#This Row],[kbli5]],master!$A$2:$B$1560,2,FALSE)</f>
        <v>PEMBANGKITAN TENAGA LISTRIK DARI SUMBER ENERGI TERBARUKAN</v>
      </c>
      <c r="C35" s="30" t="s">
        <v>1799</v>
      </c>
      <c r="D35" s="53"/>
      <c r="E35" s="35" t="s">
        <v>111</v>
      </c>
      <c r="F35" s="35"/>
      <c r="G35" s="38" t="e">
        <f>VLOOKUP(Table1[[#This Row],[kbli5]],data_versi1!$B$2:$D$101,3, FALSE)</f>
        <v>#N/A</v>
      </c>
      <c r="H35" s="35" t="e">
        <f>IF(Table1[[#This Row],[contoh_usaha]]=Table1[[#This Row],[versi 1]],TRUE,FALSE)</f>
        <v>#N/A</v>
      </c>
      <c r="I35" s="35" t="s">
        <v>907</v>
      </c>
    </row>
    <row r="36" spans="1:9" ht="38.25" x14ac:dyDescent="0.25">
      <c r="A36" s="29">
        <v>35131</v>
      </c>
      <c r="B36" s="29" t="str">
        <f>VLOOKUP(Table1[[#This Row],[kbli5]],master!$A$2:$B$1560,2,FALSE)</f>
        <v>AKTIVITAS PENYALURAN TENAGA LISTRIK</v>
      </c>
      <c r="C36" s="30" t="s">
        <v>1800</v>
      </c>
      <c r="D36" s="53"/>
      <c r="E36" s="35" t="s">
        <v>111</v>
      </c>
      <c r="F36" s="35"/>
      <c r="G36" s="38" t="e">
        <f>VLOOKUP(Table1[[#This Row],[kbli5]],data_versi1!$B$2:$D$101,3, FALSE)</f>
        <v>#N/A</v>
      </c>
      <c r="H36" s="35" t="e">
        <f>IF(Table1[[#This Row],[contoh_usaha]]=Table1[[#This Row],[versi 1]],TRUE,FALSE)</f>
        <v>#N/A</v>
      </c>
      <c r="I36" s="35" t="s">
        <v>907</v>
      </c>
    </row>
    <row r="37" spans="1:9" ht="51" x14ac:dyDescent="0.25">
      <c r="A37" s="29">
        <v>35132</v>
      </c>
      <c r="B37" s="31" t="str">
        <f>VLOOKUP(Table1[[#This Row],[kbli5]],master!$A$2:$B$1560,2,FALSE)</f>
        <v>AKTIVITAS PENYIMPANAN TENAGA LISTRIK</v>
      </c>
      <c r="C37" s="32" t="s">
        <v>2035</v>
      </c>
      <c r="D37" s="53"/>
      <c r="E37" s="35" t="s">
        <v>2056</v>
      </c>
      <c r="F37" s="35"/>
      <c r="G37" s="38" t="e">
        <f>VLOOKUP(Table1[[#This Row],[kbli5]],data_versi1!$B$2:$D$101,3, FALSE)</f>
        <v>#N/A</v>
      </c>
      <c r="H37" s="35" t="e">
        <f>IF(Table1[[#This Row],[contoh_usaha]]=Table1[[#This Row],[versi 1]],TRUE,FALSE)</f>
        <v>#N/A</v>
      </c>
      <c r="I37" s="35" t="s">
        <v>907</v>
      </c>
    </row>
    <row r="38" spans="1:9" x14ac:dyDescent="0.25">
      <c r="A38" s="29">
        <v>35133</v>
      </c>
      <c r="B38" s="31" t="str">
        <f>VLOOKUP(Table1[[#This Row],[kbli5]],master!$A$2:$B$1560,2,FALSE)</f>
        <v>PENGOPERASIAN FASILITAS ATAU STASIUN PENGISIAN DAYA UNTUK</v>
      </c>
      <c r="C38" s="32" t="s">
        <v>2036</v>
      </c>
      <c r="D38" s="53"/>
      <c r="E38" s="35" t="s">
        <v>2056</v>
      </c>
      <c r="F38" s="35"/>
      <c r="G38" s="38" t="e">
        <f>VLOOKUP(Table1[[#This Row],[kbli5]],data_versi1!$B$2:$D$101,3, FALSE)</f>
        <v>#N/A</v>
      </c>
      <c r="H38" s="35" t="e">
        <f>IF(Table1[[#This Row],[contoh_usaha]]=Table1[[#This Row],[versi 1]],TRUE,FALSE)</f>
        <v>#N/A</v>
      </c>
      <c r="I38" s="35" t="s">
        <v>907</v>
      </c>
    </row>
    <row r="39" spans="1:9" ht="25.5" x14ac:dyDescent="0.25">
      <c r="A39" s="29">
        <v>35140</v>
      </c>
      <c r="B39" s="31" t="str">
        <f>VLOOKUP(Table1[[#This Row],[kbli5]],master!$A$2:$B$1560,2,FALSE)</f>
        <v>PENYEDIAAN TENAGA LISTRIK DALAM SATU KESATUAN USAHA</v>
      </c>
      <c r="C39" s="32" t="s">
        <v>2037</v>
      </c>
      <c r="D39" s="53"/>
      <c r="E39" s="35" t="s">
        <v>2056</v>
      </c>
      <c r="F39" s="35"/>
      <c r="G39" s="38" t="e">
        <f>VLOOKUP(Table1[[#This Row],[kbli5]],data_versi1!$B$2:$D$101,3, FALSE)</f>
        <v>#N/A</v>
      </c>
      <c r="H39" s="35" t="e">
        <f>IF(Table1[[#This Row],[contoh_usaha]]=Table1[[#This Row],[versi 1]],TRUE,FALSE)</f>
        <v>#N/A</v>
      </c>
      <c r="I39" s="35" t="s">
        <v>907</v>
      </c>
    </row>
    <row r="40" spans="1:9" ht="51" x14ac:dyDescent="0.25">
      <c r="A40" s="29">
        <v>35151</v>
      </c>
      <c r="B40" s="31" t="str">
        <f>VLOOKUP(Table1[[#This Row],[kbli5]],master!$A$2:$B$1560,2,FALSE)</f>
        <v>PENGOPERASIAN INSTALASI PENYEDIAAN TENAGA LISTRIK</v>
      </c>
      <c r="C40" s="32" t="s">
        <v>2038</v>
      </c>
      <c r="D40" s="53"/>
      <c r="E40" s="35" t="s">
        <v>2056</v>
      </c>
      <c r="F40" s="35"/>
      <c r="G40" s="38" t="e">
        <f>VLOOKUP(Table1[[#This Row],[kbli5]],data_versi1!$B$2:$D$101,3, FALSE)</f>
        <v>#N/A</v>
      </c>
      <c r="H40" s="35" t="e">
        <f>IF(Table1[[#This Row],[contoh_usaha]]=Table1[[#This Row],[versi 1]],TRUE,FALSE)</f>
        <v>#N/A</v>
      </c>
      <c r="I40" s="35" t="s">
        <v>907</v>
      </c>
    </row>
    <row r="41" spans="1:9" ht="38.25" x14ac:dyDescent="0.25">
      <c r="A41" s="29">
        <v>35152</v>
      </c>
      <c r="B41" s="31" t="str">
        <f>VLOOKUP(Table1[[#This Row],[kbli5]],master!$A$2:$B$1560,2,FALSE)</f>
        <v>PENGOPERASIAN INSTALASI PEMANFAATAN TENAGA LISTRIK</v>
      </c>
      <c r="C41" s="32" t="s">
        <v>1929</v>
      </c>
      <c r="D41" s="53"/>
      <c r="E41" s="35" t="s">
        <v>116</v>
      </c>
      <c r="F41" s="35"/>
      <c r="G41" s="38" t="e">
        <f>VLOOKUP(Table1[[#This Row],[kbli5]],data_versi1!$B$2:$D$101,3, FALSE)</f>
        <v>#N/A</v>
      </c>
      <c r="H41" s="35" t="e">
        <f>IF(Table1[[#This Row],[contoh_usaha]]=Table1[[#This Row],[versi 1]],TRUE,FALSE)</f>
        <v>#N/A</v>
      </c>
      <c r="I41" s="35" t="s">
        <v>907</v>
      </c>
    </row>
    <row r="42" spans="1:9" ht="51" x14ac:dyDescent="0.25">
      <c r="A42" s="29">
        <v>35159</v>
      </c>
      <c r="B42" s="31" t="str">
        <f>VLOOKUP(Table1[[#This Row],[kbli5]],master!$A$2:$B$1560,2,FALSE)</f>
        <v>AKTIVITAS PENUNJANG TENAGA LISTRIK LAINNYA</v>
      </c>
      <c r="C42" s="32" t="s">
        <v>2039</v>
      </c>
      <c r="D42" s="53"/>
      <c r="E42" s="35" t="s">
        <v>2056</v>
      </c>
      <c r="F42" s="35"/>
      <c r="G42" s="38" t="e">
        <f>VLOOKUP(Table1[[#This Row],[kbli5]],data_versi1!$B$2:$D$101,3, FALSE)</f>
        <v>#N/A</v>
      </c>
      <c r="H42" s="35" t="e">
        <f>IF(Table1[[#This Row],[contoh_usaha]]=Table1[[#This Row],[versi 1]],TRUE,FALSE)</f>
        <v>#N/A</v>
      </c>
      <c r="I42" s="35" t="s">
        <v>907</v>
      </c>
    </row>
    <row r="43" spans="1:9" ht="63.75" x14ac:dyDescent="0.25">
      <c r="A43" s="29">
        <v>35201</v>
      </c>
      <c r="B43" s="29" t="str">
        <f>VLOOKUP(Table1[[#This Row],[kbli5]],master!$A$2:$B$1560,2,FALSE)</f>
        <v>PRODUKSI GAS ALAM DAN BUATAN</v>
      </c>
      <c r="C43" s="30" t="s">
        <v>1801</v>
      </c>
      <c r="D43" s="53"/>
      <c r="E43" s="35" t="s">
        <v>111</v>
      </c>
      <c r="F43" s="35"/>
      <c r="G43" s="38" t="e">
        <f>VLOOKUP(Table1[[#This Row],[kbli5]],data_versi1!$B$2:$D$101,3, FALSE)</f>
        <v>#N/A</v>
      </c>
      <c r="H43" s="35" t="e">
        <f>IF(Table1[[#This Row],[contoh_usaha]]=Table1[[#This Row],[versi 1]],TRUE,FALSE)</f>
        <v>#N/A</v>
      </c>
      <c r="I43" s="35" t="s">
        <v>907</v>
      </c>
    </row>
    <row r="44" spans="1:9" ht="51" x14ac:dyDescent="0.25">
      <c r="A44" s="29">
        <v>35202</v>
      </c>
      <c r="B44" s="29" t="str">
        <f>VLOOKUP(Table1[[#This Row],[kbli5]],master!$A$2:$B$1560,2,FALSE)</f>
        <v>DISTRIBUSI GAS ALAM DAN BUATAN MELALUI JARINGAN</v>
      </c>
      <c r="C44" s="30" t="s">
        <v>1802</v>
      </c>
      <c r="D44" s="53"/>
      <c r="E44" s="35" t="s">
        <v>111</v>
      </c>
      <c r="F44" s="35"/>
      <c r="G44" s="38" t="e">
        <f>VLOOKUP(Table1[[#This Row],[kbli5]],data_versi1!$B$2:$D$101,3, FALSE)</f>
        <v>#N/A</v>
      </c>
      <c r="H44" s="35" t="e">
        <f>IF(Table1[[#This Row],[contoh_usaha]]=Table1[[#This Row],[versi 1]],TRUE,FALSE)</f>
        <v>#N/A</v>
      </c>
      <c r="I44" s="35" t="s">
        <v>907</v>
      </c>
    </row>
    <row r="45" spans="1:9" ht="51" x14ac:dyDescent="0.25">
      <c r="A45" s="29">
        <v>35301</v>
      </c>
      <c r="B45" s="31" t="str">
        <f>VLOOKUP(Table1[[#This Row],[kbli5]],master!$A$2:$B$1560,2,FALSE)</f>
        <v>PENGADAAN UAP/AIR PANAS DAN UDARA DINGIN</v>
      </c>
      <c r="C45" s="32" t="s">
        <v>2057</v>
      </c>
      <c r="D45" s="53"/>
      <c r="E45" s="35" t="s">
        <v>2056</v>
      </c>
      <c r="F45" s="35"/>
      <c r="G45" s="38" t="e">
        <f>VLOOKUP(Table1[[#This Row],[kbli5]],data_versi1!$B$2:$D$101,3, FALSE)</f>
        <v>#N/A</v>
      </c>
      <c r="H45" s="35" t="e">
        <f>IF(Table1[[#This Row],[contoh_usaha]]=Table1[[#This Row],[versi 1]],TRUE,FALSE)</f>
        <v>#N/A</v>
      </c>
      <c r="I45" s="35" t="s">
        <v>907</v>
      </c>
    </row>
    <row r="46" spans="1:9" ht="25.5" x14ac:dyDescent="0.25">
      <c r="A46" s="29">
        <v>35302</v>
      </c>
      <c r="B46" s="31" t="str">
        <f>VLOOKUP(Table1[[#This Row],[kbli5]],master!$A$2:$B$1560,2,FALSE)</f>
        <v>PRODUKSI ES</v>
      </c>
      <c r="C46" s="32" t="s">
        <v>1930</v>
      </c>
      <c r="D46" s="53"/>
      <c r="E46" s="35" t="s">
        <v>116</v>
      </c>
      <c r="F46" s="35"/>
      <c r="G46" s="38" t="e">
        <f>VLOOKUP(Table1[[#This Row],[kbli5]],data_versi1!$B$2:$D$101,3, FALSE)</f>
        <v>#N/A</v>
      </c>
      <c r="H46" s="35" t="e">
        <f>IF(Table1[[#This Row],[contoh_usaha]]=Table1[[#This Row],[versi 1]],TRUE,FALSE)</f>
        <v>#N/A</v>
      </c>
      <c r="I46" s="35" t="s">
        <v>907</v>
      </c>
    </row>
    <row r="47" spans="1:9" ht="51" x14ac:dyDescent="0.25">
      <c r="A47" s="29">
        <v>35401</v>
      </c>
      <c r="B47" s="31" t="str">
        <f>VLOOKUP(Table1[[#This Row],[kbli5]],master!$A$2:$B$1560,2,FALSE)</f>
        <v>AKTIVITAS BROKER DAN AGEN PENJUALAN TENAGA LISTRIK</v>
      </c>
      <c r="C47" s="32" t="s">
        <v>1931</v>
      </c>
      <c r="D47" s="53"/>
      <c r="E47" s="35" t="s">
        <v>116</v>
      </c>
      <c r="F47" s="35"/>
      <c r="G47" s="38" t="e">
        <f>VLOOKUP(Table1[[#This Row],[kbli5]],data_versi1!$B$2:$D$101,3, FALSE)</f>
        <v>#N/A</v>
      </c>
      <c r="H47" s="35" t="e">
        <f>IF(Table1[[#This Row],[contoh_usaha]]=Table1[[#This Row],[versi 1]],TRUE,FALSE)</f>
        <v>#N/A</v>
      </c>
      <c r="I47" s="35" t="s">
        <v>907</v>
      </c>
    </row>
    <row r="48" spans="1:9" ht="51" x14ac:dyDescent="0.25">
      <c r="A48" s="29">
        <v>35402</v>
      </c>
      <c r="B48" s="31" t="str">
        <f>VLOOKUP(Table1[[#This Row],[kbli5]],master!$A$2:$B$1560,2,FALSE)</f>
        <v>AKTIVITAS BROKER DAN AGEN PENJUALAN GAS ALAM</v>
      </c>
      <c r="C48" s="32" t="s">
        <v>1932</v>
      </c>
      <c r="D48" s="53"/>
      <c r="E48" s="35" t="s">
        <v>116</v>
      </c>
      <c r="F48" s="35"/>
      <c r="G48" s="38" t="e">
        <f>VLOOKUP(Table1[[#This Row],[kbli5]],data_versi1!$B$2:$D$101,3, FALSE)</f>
        <v>#N/A</v>
      </c>
      <c r="H48" s="35" t="e">
        <f>IF(Table1[[#This Row],[contoh_usaha]]=Table1[[#This Row],[versi 1]],TRUE,FALSE)</f>
        <v>#N/A</v>
      </c>
      <c r="I48" s="35" t="s">
        <v>907</v>
      </c>
    </row>
    <row r="49" spans="1:9" ht="26.25" x14ac:dyDescent="0.25">
      <c r="A49" s="29">
        <v>36001</v>
      </c>
      <c r="B49" s="29" t="str">
        <f>VLOOKUP(Table1[[#This Row],[kbli5]],master!$A$2:$B$1560,2,FALSE)</f>
        <v>PENGOLAHAN DAN PENYEDIAAN AIR MINUM</v>
      </c>
      <c r="C49" s="30" t="s">
        <v>1803</v>
      </c>
      <c r="D49" s="53"/>
      <c r="E49" s="35" t="s">
        <v>111</v>
      </c>
      <c r="F49" s="35" t="s">
        <v>2091</v>
      </c>
      <c r="G49" s="38" t="str">
        <f>VLOOKUP(Table1[[#This Row],[kbli5]],data_versi1!$B$2:$D$101,3, FALSE)</f>
        <v>PDAM; Perumda air minum tirta siak; UPT pengelolaan air minum;</v>
      </c>
      <c r="H49" s="35" t="b">
        <f>IF(Table1[[#This Row],[contoh_usaha]]=Table1[[#This Row],[versi 1]],TRUE,FALSE)</f>
        <v>1</v>
      </c>
      <c r="I49" s="35" t="s">
        <v>6</v>
      </c>
    </row>
    <row r="50" spans="1:9" ht="38.25" x14ac:dyDescent="0.25">
      <c r="A50" s="29">
        <v>36002</v>
      </c>
      <c r="B50" s="29" t="str">
        <f>VLOOKUP(Table1[[#This Row],[kbli5]],master!$A$2:$B$1560,2,FALSE)</f>
        <v>PENAMPUNGAN DAN PENYEDIAAN AIR BAKU</v>
      </c>
      <c r="C50" s="30" t="s">
        <v>1804</v>
      </c>
      <c r="D50" s="53"/>
      <c r="E50" s="35" t="s">
        <v>111</v>
      </c>
      <c r="F50" s="35" t="s">
        <v>2091</v>
      </c>
      <c r="G50" s="38" t="str">
        <f>VLOOKUP(Table1[[#This Row],[kbli5]],data_versi1!$B$2:$D$101,3, FALSE)</f>
        <v>Pengelola waduk air baku; SPAM Durolis Dumai; Pengelolaan air baku waduk koto panjang;</v>
      </c>
      <c r="H50" s="35" t="b">
        <f>IF(Table1[[#This Row],[contoh_usaha]]=Table1[[#This Row],[versi 1]],TRUE,FALSE)</f>
        <v>1</v>
      </c>
      <c r="I50" s="35" t="s">
        <v>6</v>
      </c>
    </row>
    <row r="51" spans="1:9" ht="39" x14ac:dyDescent="0.25">
      <c r="A51" s="29">
        <v>36003</v>
      </c>
      <c r="B51" s="31" t="str">
        <f>VLOOKUP(Table1[[#This Row],[kbli5]],master!$A$2:$B$1560,2,FALSE)</f>
        <v>AKTIVITAS PENUNJANG PENYEDIAAN AIR</v>
      </c>
      <c r="C51" s="32" t="s">
        <v>1933</v>
      </c>
      <c r="D51" s="53"/>
      <c r="E51" s="35" t="s">
        <v>116</v>
      </c>
      <c r="F51" s="35" t="s">
        <v>2091</v>
      </c>
      <c r="G51" s="38" t="str">
        <f>VLOOKUP(Table1[[#This Row],[kbli5]],data_versi1!$B$2:$D$101,3, FALSE)</f>
        <v>Pedagang air keliling/pikulan/mobil tangki; Jasa mobil tangki air bersih; penyewaan jaringan distribusi air;</v>
      </c>
      <c r="H51" s="35" t="b">
        <f>IF(Table1[[#This Row],[contoh_usaha]]=Table1[[#This Row],[versi 1]],TRUE,FALSE)</f>
        <v>1</v>
      </c>
      <c r="I51" s="35" t="s">
        <v>6</v>
      </c>
    </row>
    <row r="52" spans="1:9" ht="26.25" x14ac:dyDescent="0.25">
      <c r="A52" s="29">
        <v>37001</v>
      </c>
      <c r="B52" s="31" t="str">
        <f>VLOOKUP(Table1[[#This Row],[kbli5]],master!$A$2:$B$1560,2,FALSE)</f>
        <v>PENGUMPULAN AIR LIMBAH</v>
      </c>
      <c r="C52" s="32" t="s">
        <v>1934</v>
      </c>
      <c r="D52" s="53"/>
      <c r="E52" s="35" t="s">
        <v>116</v>
      </c>
      <c r="F52" s="35" t="s">
        <v>2091</v>
      </c>
      <c r="G52" s="38" t="str">
        <f>VLOOKUP(Table1[[#This Row],[kbli5]],data_versi1!$B$2:$D$101,3, FALSE)</f>
        <v>Pengelola saluran limbah; Jasa sedot WC; Jasa penyedotan tangki septik;</v>
      </c>
      <c r="H52" s="35" t="b">
        <f>IF(Table1[[#This Row],[contoh_usaha]]=Table1[[#This Row],[versi 1]],TRUE,FALSE)</f>
        <v>1</v>
      </c>
      <c r="I52" s="35" t="s">
        <v>6</v>
      </c>
    </row>
    <row r="53" spans="1:9" ht="39" x14ac:dyDescent="0.25">
      <c r="A53" s="29">
        <v>38110</v>
      </c>
      <c r="B53" s="31" t="str">
        <f>VLOOKUP(Table1[[#This Row],[kbli5]],master!$A$2:$B$1560,2,FALSE)</f>
        <v>PENGUMPULAN LIMBAH ATAU SAMPAH TIDAK BERBAHAYA</v>
      </c>
      <c r="C53" s="32" t="s">
        <v>1935</v>
      </c>
      <c r="D53" s="53"/>
      <c r="E53" s="35" t="s">
        <v>116</v>
      </c>
      <c r="F53" s="35" t="s">
        <v>2091</v>
      </c>
      <c r="G53" s="38" t="str">
        <f>VLOOKUP(Table1[[#This Row],[kbli5]],data_versi1!$B$2:$D$101,3, FALSE)</f>
        <v>Bank sampah; Jasa angkut sampah rumah tangga; Pengelola TPS; Unit pengangkutan sampah DLHK;</v>
      </c>
      <c r="H53" s="35" t="b">
        <f>IF(Table1[[#This Row],[contoh_usaha]]=Table1[[#This Row],[versi 1]],TRUE,FALSE)</f>
        <v>1</v>
      </c>
      <c r="I53" s="35" t="s">
        <v>6</v>
      </c>
    </row>
    <row r="54" spans="1:9" ht="51.75" x14ac:dyDescent="0.25">
      <c r="A54" s="29">
        <v>38212</v>
      </c>
      <c r="B54" s="31" t="str">
        <f>VLOOKUP(Table1[[#This Row],[kbli5]],master!$A$2:$B$1560,2,FALSE)</f>
        <v>PRODUKSI KOMPOS SAMPAH ORGANIK</v>
      </c>
      <c r="C54" s="32" t="s">
        <v>1936</v>
      </c>
      <c r="D54" s="53"/>
      <c r="E54" s="35" t="s">
        <v>116</v>
      </c>
      <c r="F54" s="35" t="s">
        <v>2091</v>
      </c>
      <c r="G54" s="38" t="str">
        <f>VLOOKUP(Table1[[#This Row],[kbli5]],data_versi1!$B$2:$D$101,3, FALSE)</f>
        <v>Rumah Kompos DLHK; unit pengolahan kompos sampah pasar; pengolahan kompos dari tandan kosong kelapa sawit; bank sampah penghasil kompos;</v>
      </c>
      <c r="H54" s="35" t="b">
        <f>IF(Table1[[#This Row],[contoh_usaha]]=Table1[[#This Row],[versi 1]],TRUE,FALSE)</f>
        <v>1</v>
      </c>
      <c r="I54" s="35" t="s">
        <v>6</v>
      </c>
    </row>
    <row r="55" spans="1:9" ht="39" x14ac:dyDescent="0.25">
      <c r="A55" s="29">
        <v>38219</v>
      </c>
      <c r="B55" s="29" t="str">
        <f>VLOOKUP(Table1[[#This Row],[kbli5]],master!$A$2:$B$1560,2,FALSE)</f>
        <v>PENGOLAHAN DAN PEMBUANGAN LIMBAH ATAU SAMPAH TIDAK</v>
      </c>
      <c r="C55" s="30" t="s">
        <v>1805</v>
      </c>
      <c r="D55" s="53"/>
      <c r="E55" s="35" t="s">
        <v>111</v>
      </c>
      <c r="F55" s="35" t="s">
        <v>2091</v>
      </c>
      <c r="G55" s="38" t="str">
        <f>VLOOKUP(Table1[[#This Row],[kbli5]],data_versi1!$B$2:$D$101,3, FALSE)</f>
        <v>Tempat pembuangan akhir (TPA); Pengelola landfill sampah perkotaan; fasilitas pemusnahan sampah non; B3;</v>
      </c>
      <c r="H55" s="35" t="b">
        <f>IF(Table1[[#This Row],[contoh_usaha]]=Table1[[#This Row],[versi 1]],TRUE,FALSE)</f>
        <v>1</v>
      </c>
      <c r="I55" s="35" t="s">
        <v>6</v>
      </c>
    </row>
    <row r="56" spans="1:9" ht="51.75" x14ac:dyDescent="0.25">
      <c r="A56" s="29">
        <v>38301</v>
      </c>
      <c r="B56" s="31" t="str">
        <f>VLOOKUP(Table1[[#This Row],[kbli5]],master!$A$2:$B$1560,2,FALSE)</f>
        <v>PEMULIHAN MATERIAL BARANG LOGAM</v>
      </c>
      <c r="C56" s="32" t="s">
        <v>1937</v>
      </c>
      <c r="D56" s="53"/>
      <c r="E56" s="35" t="s">
        <v>116</v>
      </c>
      <c r="F56" s="35" t="s">
        <v>2091</v>
      </c>
      <c r="G56" s="38" t="str">
        <f>VLOOKUP(Table1[[#This Row],[kbli5]],data_versi1!$B$2:$D$101,3, FALSE)</f>
        <v>Pengepul pemulung besi tua; pengolah scrap logam Dumai; pengepul aluminium/tembaga bekas; Usaha pemotongan dan penjualan kembali besi bekas konstruksi;</v>
      </c>
      <c r="H56" s="35" t="b">
        <f>IF(Table1[[#This Row],[contoh_usaha]]=Table1[[#This Row],[versi 1]],TRUE,FALSE)</f>
        <v>1</v>
      </c>
      <c r="I56" s="35" t="s">
        <v>6</v>
      </c>
    </row>
    <row r="57" spans="1:9" ht="51.75" x14ac:dyDescent="0.25">
      <c r="A57" s="29">
        <v>38302</v>
      </c>
      <c r="B57" s="31" t="str">
        <f>VLOOKUP(Table1[[#This Row],[kbli5]],master!$A$2:$B$1560,2,FALSE)</f>
        <v>PEMULIHAN MATERIAL BARANG PLASTIK</v>
      </c>
      <c r="C57" s="32" t="s">
        <v>1938</v>
      </c>
      <c r="D57" s="53"/>
      <c r="E57" s="35" t="s">
        <v>116</v>
      </c>
      <c r="F57" s="35" t="s">
        <v>2091</v>
      </c>
      <c r="G57" s="38" t="str">
        <f>VLOOKUP(Table1[[#This Row],[kbli5]],data_versi1!$B$2:$D$101,3, FALSE)</f>
        <v>Pengepul dan pengolah botol plastik bekas; Usaha pencacahan plastik di Kampar; bank sampah pengolah plastik; produsen biji plastik daur ulang;</v>
      </c>
      <c r="H57" s="35" t="b">
        <f>IF(Table1[[#This Row],[contoh_usaha]]=Table1[[#This Row],[versi 1]],TRUE,FALSE)</f>
        <v>1</v>
      </c>
      <c r="I57" s="35" t="s">
        <v>6</v>
      </c>
    </row>
    <row r="58" spans="1:9" ht="26.25" x14ac:dyDescent="0.25">
      <c r="A58" s="31">
        <v>58120</v>
      </c>
      <c r="B58" s="31" t="str">
        <f>VLOOKUP(Table1[[#This Row],[kbli5]],master!$A$2:$B$1560,2,FALSE)</f>
        <v>PENERBITAN SURAT KABAR</v>
      </c>
      <c r="C58" s="32" t="s">
        <v>1813</v>
      </c>
      <c r="D58" s="53"/>
      <c r="E58" s="35" t="s">
        <v>111</v>
      </c>
      <c r="F58" s="35"/>
      <c r="G58" s="38" t="str">
        <f>VLOOKUP(Table1[[#This Row],[kbli5]],data_versi1!$B$2:$D$101,3, FALSE)</f>
        <v>Penerbitan Surat Kabar; Riau Pos; Tribun Pekanbaru; Goriau.co; Cakaplah.com;</v>
      </c>
      <c r="H58" s="35" t="b">
        <f>IF(Table1[[#This Row],[contoh_usaha]]=Table1[[#This Row],[versi 1]],TRUE,FALSE)</f>
        <v>1</v>
      </c>
      <c r="I58" s="35" t="s">
        <v>27</v>
      </c>
    </row>
    <row r="59" spans="1:9" ht="25.5" x14ac:dyDescent="0.25">
      <c r="A59" s="29">
        <v>58130</v>
      </c>
      <c r="B59" s="31" t="str">
        <f>VLOOKUP(Table1[[#This Row],[kbli5]],master!$A$2:$B$1560,2,FALSE)</f>
        <v>PENERBITAN JURNAL DAN TERBITAN BERKALA</v>
      </c>
      <c r="C59" s="32" t="s">
        <v>2043</v>
      </c>
      <c r="D59" s="53"/>
      <c r="E59" s="35" t="s">
        <v>2056</v>
      </c>
      <c r="F59" s="35" t="s">
        <v>2090</v>
      </c>
      <c r="G59" s="38" t="e">
        <f>VLOOKUP(Table1[[#This Row],[kbli5]],data_versi1!$B$2:$D$101,3, FALSE)</f>
        <v>#N/A</v>
      </c>
      <c r="H59" s="35" t="e">
        <f>IF(Table1[[#This Row],[contoh_usaha]]=Table1[[#This Row],[versi 1]],TRUE,FALSE)</f>
        <v>#N/A</v>
      </c>
      <c r="I59" s="35" t="s">
        <v>27</v>
      </c>
    </row>
    <row r="60" spans="1:9" ht="51" x14ac:dyDescent="0.25">
      <c r="A60" s="29">
        <v>58190</v>
      </c>
      <c r="B60" s="31" t="str">
        <f>VLOOKUP(Table1[[#This Row],[kbli5]],master!$A$2:$B$1560,2,FALSE)</f>
        <v>AKTIVITAS PENERBITAN LAINNYA</v>
      </c>
      <c r="C60" s="32" t="s">
        <v>2044</v>
      </c>
      <c r="D60" s="53"/>
      <c r="E60" s="35" t="s">
        <v>2056</v>
      </c>
      <c r="F60" s="35" t="s">
        <v>2090</v>
      </c>
      <c r="G60" s="38" t="e">
        <f>VLOOKUP(Table1[[#This Row],[kbli5]],data_versi1!$B$2:$D$101,3, FALSE)</f>
        <v>#N/A</v>
      </c>
      <c r="H60" s="35" t="e">
        <f>IF(Table1[[#This Row],[contoh_usaha]]=Table1[[#This Row],[versi 1]],TRUE,FALSE)</f>
        <v>#N/A</v>
      </c>
      <c r="I60" s="35" t="s">
        <v>27</v>
      </c>
    </row>
    <row r="61" spans="1:9" ht="25.5" x14ac:dyDescent="0.25">
      <c r="A61" s="29">
        <v>59111</v>
      </c>
      <c r="B61" s="31" t="str">
        <f>VLOOKUP(Table1[[#This Row],[kbli5]],master!$A$2:$B$1560,2,FALSE)</f>
        <v>AKTIVITAS PRODUKSI FILM, VIDEO, DAN PROGRAM TELEVISI OLEH PEMERINTAH</v>
      </c>
      <c r="C61" s="32" t="s">
        <v>2045</v>
      </c>
      <c r="D61" s="53"/>
      <c r="E61" s="35" t="s">
        <v>2056</v>
      </c>
      <c r="F61" s="35" t="s">
        <v>2090</v>
      </c>
      <c r="G61" s="38" t="e">
        <f>VLOOKUP(Table1[[#This Row],[kbli5]],data_versi1!$B$2:$D$101,3, FALSE)</f>
        <v>#N/A</v>
      </c>
      <c r="H61" s="35" t="e">
        <f>IF(Table1[[#This Row],[contoh_usaha]]=Table1[[#This Row],[versi 1]],TRUE,FALSE)</f>
        <v>#N/A</v>
      </c>
      <c r="I61" s="35" t="s">
        <v>27</v>
      </c>
    </row>
    <row r="62" spans="1:9" ht="38.25" x14ac:dyDescent="0.25">
      <c r="A62" s="29">
        <v>59112</v>
      </c>
      <c r="B62" s="31" t="str">
        <f>VLOOKUP(Table1[[#This Row],[kbli5]],master!$A$2:$B$1560,2,FALSE)</f>
        <v>AKTIVITAS PRODUKSI FILM, VIDEO, DAN PROGRAM TELEVISI OLEH SWASTA</v>
      </c>
      <c r="C62" s="32" t="s">
        <v>1954</v>
      </c>
      <c r="D62" s="53"/>
      <c r="E62" s="35" t="s">
        <v>116</v>
      </c>
      <c r="F62" s="35" t="s">
        <v>2090</v>
      </c>
      <c r="G62" s="38" t="str">
        <f>VLOOKUP(Table1[[#This Row],[kbli5]],data_versi1!$B$2:$D$101,3, FALSE)</f>
        <v>Produksi film/video/program tv oleh swasta; Production house; Kawan jalan; DHIA Production;</v>
      </c>
      <c r="H62" s="35" t="b">
        <f>IF(Table1[[#This Row],[contoh_usaha]]=Table1[[#This Row],[versi 1]],TRUE,FALSE)</f>
        <v>1</v>
      </c>
      <c r="I62" s="35" t="s">
        <v>27</v>
      </c>
    </row>
    <row r="63" spans="1:9" x14ac:dyDescent="0.25">
      <c r="A63" s="29">
        <v>59121</v>
      </c>
      <c r="B63" s="31" t="str">
        <f>VLOOKUP(Table1[[#This Row],[kbli5]],master!$A$2:$B$1560,2,FALSE)</f>
        <v>AKTIVITAS PASCAPRODUKSI FILM, VIDEO, DAN PROGRAM TELEVISI PEMERINTAH</v>
      </c>
      <c r="C63" s="32" t="s">
        <v>2046</v>
      </c>
      <c r="D63" s="53"/>
      <c r="E63" s="35" t="s">
        <v>2056</v>
      </c>
      <c r="F63" s="35" t="s">
        <v>2090</v>
      </c>
      <c r="G63" s="38" t="e">
        <f>VLOOKUP(Table1[[#This Row],[kbli5]],data_versi1!$B$2:$D$101,3, FALSE)</f>
        <v>#N/A</v>
      </c>
      <c r="H63" s="35" t="e">
        <f>IF(Table1[[#This Row],[contoh_usaha]]=Table1[[#This Row],[versi 1]],TRUE,FALSE)</f>
        <v>#N/A</v>
      </c>
      <c r="I63" s="35" t="s">
        <v>27</v>
      </c>
    </row>
    <row r="64" spans="1:9" x14ac:dyDescent="0.25">
      <c r="A64" s="29">
        <v>59122</v>
      </c>
      <c r="B64" s="31" t="str">
        <f>VLOOKUP(Table1[[#This Row],[kbli5]],master!$A$2:$B$1560,2,FALSE)</f>
        <v>AKTIVITAS PASCAPRODUKSI FILM, VIDEO, DAN PROGRAM TELEVISI SWASTA</v>
      </c>
      <c r="C64" s="32" t="s">
        <v>2047</v>
      </c>
      <c r="D64" s="53"/>
      <c r="E64" s="35" t="s">
        <v>2056</v>
      </c>
      <c r="F64" s="35" t="s">
        <v>2090</v>
      </c>
      <c r="G64" s="38" t="e">
        <f>VLOOKUP(Table1[[#This Row],[kbli5]],data_versi1!$B$2:$D$101,3, FALSE)</f>
        <v>#N/A</v>
      </c>
      <c r="H64" s="35" t="e">
        <f>IF(Table1[[#This Row],[contoh_usaha]]=Table1[[#This Row],[versi 1]],TRUE,FALSE)</f>
        <v>#N/A</v>
      </c>
      <c r="I64" s="35" t="s">
        <v>27</v>
      </c>
    </row>
    <row r="65" spans="1:9" x14ac:dyDescent="0.25">
      <c r="A65" s="29">
        <v>59140</v>
      </c>
      <c r="B65" s="31" t="str">
        <f>VLOOKUP(Table1[[#This Row],[kbli5]],master!$A$2:$B$1560,2,FALSE)</f>
        <v>AKTIVITAS PEMUTARAN FILM</v>
      </c>
      <c r="C65" s="32" t="s">
        <v>1955</v>
      </c>
      <c r="D65" s="53"/>
      <c r="E65" s="35" t="s">
        <v>116</v>
      </c>
      <c r="F65" s="35" t="s">
        <v>2090</v>
      </c>
      <c r="G65" s="38" t="str">
        <f>VLOOKUP(Table1[[#This Row],[kbli5]],data_versi1!$B$2:$D$101,3, FALSE)</f>
        <v>Bioskop; layar tancap; XXI; CGV; Cinepolis;</v>
      </c>
      <c r="H65" s="35" t="b">
        <f>IF(Table1[[#This Row],[contoh_usaha]]=Table1[[#This Row],[versi 1]],TRUE,FALSE)</f>
        <v>1</v>
      </c>
      <c r="I65" s="35" t="s">
        <v>27</v>
      </c>
    </row>
    <row r="66" spans="1:9" ht="26.25" x14ac:dyDescent="0.25">
      <c r="A66" s="29">
        <v>59201</v>
      </c>
      <c r="B66" s="31" t="str">
        <f>VLOOKUP(Table1[[#This Row],[kbli5]],master!$A$2:$B$1560,2,FALSE)</f>
        <v>AKTIVITAS PEREKAMAN SUARA</v>
      </c>
      <c r="C66" s="32" t="s">
        <v>117</v>
      </c>
      <c r="D66" s="53"/>
      <c r="E66" s="35" t="s">
        <v>116</v>
      </c>
      <c r="F66" s="35" t="s">
        <v>2090</v>
      </c>
      <c r="G66" s="38" t="str">
        <f>VLOOKUP(Table1[[#This Row],[kbli5]],data_versi1!$B$2:$D$101,3, FALSE)</f>
        <v xml:space="preserve">studio rekaman suara; Mansionpro Music Studio &amp; Recording; </v>
      </c>
      <c r="H66" s="35" t="b">
        <f>IF(Table1[[#This Row],[contoh_usaha]]=Table1[[#This Row],[versi 1]],TRUE,FALSE)</f>
        <v>1</v>
      </c>
      <c r="I66" s="35" t="s">
        <v>27</v>
      </c>
    </row>
    <row r="67" spans="1:9" ht="25.5" x14ac:dyDescent="0.25">
      <c r="A67" s="29">
        <v>59202</v>
      </c>
      <c r="B67" s="31" t="str">
        <f>VLOOKUP(Table1[[#This Row],[kbli5]],master!$A$2:$B$1560,2,FALSE)</f>
        <v>AKTIVITAS PENERBITAN MUSIK DAN BUKU MUSIK</v>
      </c>
      <c r="C67" s="32" t="s">
        <v>2048</v>
      </c>
      <c r="D67" s="53"/>
      <c r="E67" s="35" t="s">
        <v>2056</v>
      </c>
      <c r="F67" s="35" t="s">
        <v>2090</v>
      </c>
      <c r="G67" s="38" t="e">
        <f>VLOOKUP(Table1[[#This Row],[kbli5]],data_versi1!$B$2:$D$101,3, FALSE)</f>
        <v>#N/A</v>
      </c>
      <c r="H67" s="35" t="e">
        <f>IF(Table1[[#This Row],[contoh_usaha]]=Table1[[#This Row],[versi 1]],TRUE,FALSE)</f>
        <v>#N/A</v>
      </c>
      <c r="I67" s="35" t="s">
        <v>27</v>
      </c>
    </row>
    <row r="68" spans="1:9" ht="25.5" x14ac:dyDescent="0.25">
      <c r="A68" s="29">
        <v>60101</v>
      </c>
      <c r="B68" s="31" t="str">
        <f>VLOOKUP(Table1[[#This Row],[kbli5]],master!$A$2:$B$1560,2,FALSE)</f>
        <v>AKTIVITAS PENYIARAN RADIO ANALOG</v>
      </c>
      <c r="C68" s="32" t="s">
        <v>1956</v>
      </c>
      <c r="D68" s="53"/>
      <c r="E68" s="35" t="s">
        <v>116</v>
      </c>
      <c r="F68" s="35" t="s">
        <v>2090</v>
      </c>
      <c r="G68" s="38" t="str">
        <f>VLOOKUP(Table1[[#This Row],[kbli5]],data_versi1!$B$2:$D$101,3, FALSE)</f>
        <v>Radio Analog; Radio aditya; radio barabas; RRI;</v>
      </c>
      <c r="H68" s="35" t="b">
        <f>IF(Table1[[#This Row],[contoh_usaha]]=Table1[[#This Row],[versi 1]],TRUE,FALSE)</f>
        <v>1</v>
      </c>
      <c r="I68" s="35" t="s">
        <v>27</v>
      </c>
    </row>
    <row r="69" spans="1:9" x14ac:dyDescent="0.25">
      <c r="A69" s="29">
        <v>60102</v>
      </c>
      <c r="B69" s="31" t="str">
        <f>VLOOKUP(Table1[[#This Row],[kbli5]],master!$A$2:$B$1560,2,FALSE)</f>
        <v>AKTIVITAS PENYIARAN RADIO DIGITAL</v>
      </c>
      <c r="C69" s="32" t="s">
        <v>2049</v>
      </c>
      <c r="D69" s="53"/>
      <c r="E69" s="35" t="s">
        <v>2056</v>
      </c>
      <c r="F69" s="35" t="s">
        <v>2090</v>
      </c>
      <c r="G69" s="38" t="e">
        <f>VLOOKUP(Table1[[#This Row],[kbli5]],data_versi1!$B$2:$D$101,3, FALSE)</f>
        <v>#N/A</v>
      </c>
      <c r="H69" s="35" t="e">
        <f>IF(Table1[[#This Row],[contoh_usaha]]=Table1[[#This Row],[versi 1]],TRUE,FALSE)</f>
        <v>#N/A</v>
      </c>
      <c r="I69" s="35" t="s">
        <v>27</v>
      </c>
    </row>
    <row r="70" spans="1:9" ht="25.5" x14ac:dyDescent="0.25">
      <c r="A70" s="29">
        <v>60201</v>
      </c>
      <c r="B70" s="31" t="str">
        <f>VLOOKUP(Table1[[#This Row],[kbli5]],master!$A$2:$B$1560,2,FALSE)</f>
        <v>AKTIVITAS PENYIARAN DAN PEMROGRAMAN TELEVISI ANALOG</v>
      </c>
      <c r="C70" s="32" t="s">
        <v>1814</v>
      </c>
      <c r="D70" s="53"/>
      <c r="E70" s="35" t="s">
        <v>111</v>
      </c>
      <c r="F70" s="35" t="s">
        <v>2090</v>
      </c>
      <c r="G70" s="38" t="str">
        <f>VLOOKUP(Table1[[#This Row],[kbli5]],data_versi1!$B$2:$D$101,3, FALSE)</f>
        <v>Penyiaran TV analog; chanel tv analog; RTV; TVRI;</v>
      </c>
      <c r="H70" s="35" t="b">
        <f>IF(Table1[[#This Row],[contoh_usaha]]=Table1[[#This Row],[versi 1]],TRUE,FALSE)</f>
        <v>1</v>
      </c>
      <c r="I70" s="35" t="s">
        <v>27</v>
      </c>
    </row>
    <row r="71" spans="1:9" x14ac:dyDescent="0.25">
      <c r="A71" s="29">
        <v>60311</v>
      </c>
      <c r="B71" s="31" t="str">
        <f>VLOOKUP(Table1[[#This Row],[kbli5]],master!$A$2:$B$1560,2,FALSE)</f>
        <v>AKTIVITAS KANTOR BERITA OLEH PEMERINTAH</v>
      </c>
      <c r="C71" s="32" t="s">
        <v>1815</v>
      </c>
      <c r="D71" s="53"/>
      <c r="E71" s="35" t="s">
        <v>111</v>
      </c>
      <c r="F71" s="35" t="s">
        <v>2090</v>
      </c>
      <c r="G71" s="38" t="str">
        <f>VLOOKUP(Table1[[#This Row],[kbli5]],data_versi1!$B$2:$D$101,3, FALSE)</f>
        <v>Kantor berita pemerintah; ANTARA;</v>
      </c>
      <c r="H71" s="35" t="b">
        <f>IF(Table1[[#This Row],[contoh_usaha]]=Table1[[#This Row],[versi 1]],TRUE,FALSE)</f>
        <v>1</v>
      </c>
      <c r="I71" s="35" t="s">
        <v>27</v>
      </c>
    </row>
    <row r="72" spans="1:9" ht="25.5" x14ac:dyDescent="0.25">
      <c r="A72" s="29">
        <v>61105</v>
      </c>
      <c r="B72" s="31" t="str">
        <f>VLOOKUP(Table1[[#This Row],[kbli5]],master!$A$2:$B$1560,2,FALSE)</f>
        <v>AKTIVITAS JASA SISTEM KOMUNIKASI DATA</v>
      </c>
      <c r="C72" s="32" t="s">
        <v>2050</v>
      </c>
      <c r="D72" s="53"/>
      <c r="E72" s="35" t="s">
        <v>2056</v>
      </c>
      <c r="F72" s="35" t="s">
        <v>2090</v>
      </c>
      <c r="G72" s="38" t="e">
        <f>VLOOKUP(Table1[[#This Row],[kbli5]],data_versi1!$B$2:$D$101,3, FALSE)</f>
        <v>#N/A</v>
      </c>
      <c r="H72" s="35" t="e">
        <f>IF(Table1[[#This Row],[contoh_usaha]]=Table1[[#This Row],[versi 1]],TRUE,FALSE)</f>
        <v>#N/A</v>
      </c>
      <c r="I72" s="35" t="s">
        <v>35</v>
      </c>
    </row>
    <row r="73" spans="1:9" ht="25.5" x14ac:dyDescent="0.25">
      <c r="A73" s="29">
        <v>61909</v>
      </c>
      <c r="B73" s="31" t="str">
        <f>VLOOKUP(Table1[[#This Row],[kbli5]],master!$A$2:$B$1560,2,FALSE)</f>
        <v>AKTIVITAS TELEKOMUNIKASI LAINNYA YTDL</v>
      </c>
      <c r="C73" s="32" t="s">
        <v>2051</v>
      </c>
      <c r="D73" s="53"/>
      <c r="E73" s="35" t="s">
        <v>2056</v>
      </c>
      <c r="F73" s="35" t="s">
        <v>2090</v>
      </c>
      <c r="G73" s="38" t="e">
        <f>VLOOKUP(Table1[[#This Row],[kbli5]],data_versi1!$B$2:$D$101,3, FALSE)</f>
        <v>#N/A</v>
      </c>
      <c r="H73" s="35" t="e">
        <f>IF(Table1[[#This Row],[contoh_usaha]]=Table1[[#This Row],[versi 1]],TRUE,FALSE)</f>
        <v>#N/A</v>
      </c>
      <c r="I73" s="35" t="s">
        <v>35</v>
      </c>
    </row>
    <row r="74" spans="1:9" ht="26.25" x14ac:dyDescent="0.25">
      <c r="A74" s="29">
        <v>61103</v>
      </c>
      <c r="B74" s="31" t="str">
        <f>VLOOKUP(Table1[[#This Row],[kbli5]],master!$A$2:$B$1560,2,FALSE)</f>
        <v>AKTIVITAS TELEKOMUNIKASI DENGAN SATELIT</v>
      </c>
      <c r="C74" s="32" t="s">
        <v>1817</v>
      </c>
      <c r="D74" s="53"/>
      <c r="E74" s="35" t="s">
        <v>111</v>
      </c>
      <c r="F74" s="35" t="s">
        <v>2090</v>
      </c>
      <c r="G74" s="38" t="str">
        <f>VLOOKUP(Table1[[#This Row],[kbli5]],data_versi1!$B$2:$D$101,3, FALSE)</f>
        <v>Telekomunikasi satelit; telkomsat; satelit nusantara tiga; indosat ooredoo hutchison;</v>
      </c>
      <c r="H74" s="35" t="b">
        <f>IF(Table1[[#This Row],[contoh_usaha]]=Table1[[#This Row],[versi 1]],TRUE,FALSE)</f>
        <v>1</v>
      </c>
      <c r="I74" s="35" t="s">
        <v>35</v>
      </c>
    </row>
    <row r="75" spans="1:9" x14ac:dyDescent="0.25">
      <c r="A75" s="29">
        <v>61108</v>
      </c>
      <c r="B75" s="31" t="str">
        <f>VLOOKUP(Table1[[#This Row],[kbli5]],master!$A$2:$B$1560,2,FALSE)</f>
        <v>AKTIVITAS JASA TELEPONI DASAR</v>
      </c>
      <c r="C75" s="32" t="s">
        <v>1816</v>
      </c>
      <c r="D75" s="53"/>
      <c r="E75" s="35" t="s">
        <v>111</v>
      </c>
      <c r="F75" s="35" t="s">
        <v>2090</v>
      </c>
      <c r="G75" s="38" t="str">
        <f>VLOOKUP(Table1[[#This Row],[kbli5]],data_versi1!$B$2:$D$101,3, FALSE)</f>
        <v>Teleponi dasar; telpon kabel; Telkom;</v>
      </c>
      <c r="H75" s="35" t="b">
        <f>IF(Table1[[#This Row],[contoh_usaha]]=Table1[[#This Row],[versi 1]],TRUE,FALSE)</f>
        <v>1</v>
      </c>
      <c r="I75" s="35" t="s">
        <v>35</v>
      </c>
    </row>
    <row r="76" spans="1:9" ht="25.5" x14ac:dyDescent="0.25">
      <c r="A76" s="29">
        <v>62201</v>
      </c>
      <c r="B76" s="31" t="str">
        <f>VLOOKUP(Table1[[#This Row],[kbli5]],master!$A$2:$B$1560,2,FALSE)</f>
        <v>AKTIVITAS KONSULTANSI DAN MANAJEMEN KEAMANAN SIBER</v>
      </c>
      <c r="C76" s="32" t="s">
        <v>2052</v>
      </c>
      <c r="D76" s="53"/>
      <c r="E76" s="35" t="s">
        <v>2056</v>
      </c>
      <c r="F76" s="35" t="s">
        <v>2090</v>
      </c>
      <c r="G76" s="38" t="e">
        <f>VLOOKUP(Table1[[#This Row],[kbli5]],data_versi1!$B$2:$D$101,3, FALSE)</f>
        <v>#N/A</v>
      </c>
      <c r="H76" s="35" t="e">
        <f>IF(Table1[[#This Row],[contoh_usaha]]=Table1[[#This Row],[versi 1]],TRUE,FALSE)</f>
        <v>#N/A</v>
      </c>
      <c r="I76" s="35" t="s">
        <v>35</v>
      </c>
    </row>
    <row r="77" spans="1:9" ht="38.25" x14ac:dyDescent="0.25">
      <c r="A77" s="29">
        <v>62204</v>
      </c>
      <c r="B77" s="31" t="str">
        <f>VLOOKUP(Table1[[#This Row],[kbli5]],master!$A$2:$B$1560,2,FALSE)</f>
        <v>AKTIVITAS KONSULTANSI DAN PERANCANGAN INTERNET OF THINGS</v>
      </c>
      <c r="C77" s="32" t="s">
        <v>2053</v>
      </c>
      <c r="D77" s="53"/>
      <c r="E77" s="35" t="s">
        <v>2056</v>
      </c>
      <c r="F77" s="35" t="s">
        <v>2090</v>
      </c>
      <c r="G77" s="38" t="e">
        <f>VLOOKUP(Table1[[#This Row],[kbli5]],data_versi1!$B$2:$D$101,3, FALSE)</f>
        <v>#N/A</v>
      </c>
      <c r="H77" s="35" t="e">
        <f>IF(Table1[[#This Row],[contoh_usaha]]=Table1[[#This Row],[versi 1]],TRUE,FALSE)</f>
        <v>#N/A</v>
      </c>
      <c r="I77" s="35" t="s">
        <v>35</v>
      </c>
    </row>
    <row r="78" spans="1:9" ht="39" x14ac:dyDescent="0.25">
      <c r="A78" s="29">
        <v>63101</v>
      </c>
      <c r="B78" s="31" t="str">
        <f>VLOOKUP(Table1[[#This Row],[kbli5]],master!$A$2:$B$1560,2,FALSE)</f>
        <v>AKTIVITAS PENGOLAHAN DATA</v>
      </c>
      <c r="C78" s="32" t="s">
        <v>1964</v>
      </c>
      <c r="D78" s="53"/>
      <c r="E78" s="35" t="s">
        <v>116</v>
      </c>
      <c r="F78" s="35" t="s">
        <v>2090</v>
      </c>
      <c r="G78" s="38" t="str">
        <f>VLOOKUP(Table1[[#This Row],[kbli5]],data_versi1!$B$2:$D$101,3, FALSE)</f>
        <v>Aktivitas pengolahan data; freelance atau perusahaan yang menyediakan jasa pengolahan data; jasa mengolah data skripsi;</v>
      </c>
      <c r="H78" s="35" t="b">
        <f>IF(Table1[[#This Row],[contoh_usaha]]=Table1[[#This Row],[versi 1]],TRUE,FALSE)</f>
        <v>1</v>
      </c>
      <c r="I78" s="35" t="s">
        <v>35</v>
      </c>
    </row>
    <row r="79" spans="1:9" ht="51" x14ac:dyDescent="0.25">
      <c r="A79" s="29">
        <v>63102</v>
      </c>
      <c r="B79" s="31" t="str">
        <f>VLOOKUP(Table1[[#This Row],[kbli5]],master!$A$2:$B$1560,2,FALSE)</f>
        <v>AKTIVITAS PENYEDIAAN INFRASTRUKTUR KOMPUTASI, HOSTING, DAN</v>
      </c>
      <c r="C79" s="32" t="s">
        <v>2054</v>
      </c>
      <c r="D79" s="53"/>
      <c r="E79" s="35" t="s">
        <v>2056</v>
      </c>
      <c r="F79" s="35" t="s">
        <v>2090</v>
      </c>
      <c r="G79" s="38" t="e">
        <f>VLOOKUP(Table1[[#This Row],[kbli5]],data_versi1!$B$2:$D$101,3, FALSE)</f>
        <v>#N/A</v>
      </c>
      <c r="H79" s="35" t="e">
        <f>IF(Table1[[#This Row],[contoh_usaha]]=Table1[[#This Row],[versi 1]],TRUE,FALSE)</f>
        <v>#N/A</v>
      </c>
      <c r="I79" s="35" t="s">
        <v>35</v>
      </c>
    </row>
    <row r="80" spans="1:9" ht="38.25" x14ac:dyDescent="0.25">
      <c r="A80" s="29">
        <v>63900</v>
      </c>
      <c r="B80" s="31" t="str">
        <f>VLOOKUP(Table1[[#This Row],[kbli5]],master!$A$2:$B$1560,2,FALSE)</f>
        <v>AKTIVITAS JASA PORTAL PENCARIAN WEB DAN INFORMASI LAINNYA</v>
      </c>
      <c r="C80" s="32" t="s">
        <v>2055</v>
      </c>
      <c r="D80" s="53"/>
      <c r="E80" s="35" t="s">
        <v>2056</v>
      </c>
      <c r="F80" s="35" t="s">
        <v>2090</v>
      </c>
      <c r="G80" s="38" t="e">
        <f>VLOOKUP(Table1[[#This Row],[kbli5]],data_versi1!$B$2:$D$101,3, FALSE)</f>
        <v>#N/A</v>
      </c>
      <c r="H80" s="35" t="e">
        <f>IF(Table1[[#This Row],[contoh_usaha]]=Table1[[#This Row],[versi 1]],TRUE,FALSE)</f>
        <v>#N/A</v>
      </c>
      <c r="I80" s="35" t="s">
        <v>35</v>
      </c>
    </row>
    <row r="81" spans="1:9" x14ac:dyDescent="0.25">
      <c r="A81" s="31">
        <v>64110</v>
      </c>
      <c r="B81" s="31" t="str">
        <f>VLOOKUP(Table1[[#This Row],[kbli5]],master!$A$2:$B$1560,2,FALSE)</f>
        <v>AKTIVITAS BANK SENTRAL</v>
      </c>
      <c r="C81" s="32" t="s">
        <v>1818</v>
      </c>
      <c r="D81" s="53"/>
      <c r="E81" s="35" t="s">
        <v>111</v>
      </c>
      <c r="F81" s="35"/>
      <c r="G81" s="38" t="e">
        <f>VLOOKUP(Table1[[#This Row],[kbli5]],data_versi1!$B$2:$D$101,3, FALSE)</f>
        <v>#N/A</v>
      </c>
      <c r="H81" s="35" t="e">
        <f>IF(Table1[[#This Row],[contoh_usaha]]=Table1[[#This Row],[versi 1]],TRUE,FALSE)</f>
        <v>#N/A</v>
      </c>
      <c r="I81" s="35" t="s">
        <v>1347</v>
      </c>
    </row>
    <row r="82" spans="1:9" ht="25.5" x14ac:dyDescent="0.25">
      <c r="A82" s="31">
        <v>64121</v>
      </c>
      <c r="B82" s="31" t="str">
        <f>VLOOKUP(Table1[[#This Row],[kbli5]],master!$A$2:$B$1560,2,FALSE)</f>
        <v>PERBANKAN UMUM KONVENSIONAL</v>
      </c>
      <c r="C82" s="32" t="s">
        <v>1819</v>
      </c>
      <c r="D82" s="53"/>
      <c r="E82" s="35" t="s">
        <v>111</v>
      </c>
      <c r="F82" s="35"/>
      <c r="G82" s="38" t="e">
        <f>VLOOKUP(Table1[[#This Row],[kbli5]],data_versi1!$B$2:$D$101,3, FALSE)</f>
        <v>#N/A</v>
      </c>
      <c r="H82" s="35" t="e">
        <f>IF(Table1[[#This Row],[contoh_usaha]]=Table1[[#This Row],[versi 1]],TRUE,FALSE)</f>
        <v>#N/A</v>
      </c>
      <c r="I82" s="35" t="s">
        <v>1347</v>
      </c>
    </row>
    <row r="83" spans="1:9" ht="25.5" x14ac:dyDescent="0.25">
      <c r="A83" s="31">
        <v>64122</v>
      </c>
      <c r="B83" s="31" t="str">
        <f>VLOOKUP(Table1[[#This Row],[kbli5]],master!$A$2:$B$1560,2,FALSE)</f>
        <v>PERBANKAN UMUM SYARIAH</v>
      </c>
      <c r="C83" s="32" t="s">
        <v>1820</v>
      </c>
      <c r="D83" s="53"/>
      <c r="E83" s="35" t="s">
        <v>111</v>
      </c>
      <c r="F83" s="35"/>
      <c r="G83" s="38" t="e">
        <f>VLOOKUP(Table1[[#This Row],[kbli5]],data_versi1!$B$2:$D$101,3, FALSE)</f>
        <v>#N/A</v>
      </c>
      <c r="H83" s="35" t="e">
        <f>IF(Table1[[#This Row],[contoh_usaha]]=Table1[[#This Row],[versi 1]],TRUE,FALSE)</f>
        <v>#N/A</v>
      </c>
      <c r="I83" s="35" t="s">
        <v>1347</v>
      </c>
    </row>
    <row r="84" spans="1:9" ht="25.5" x14ac:dyDescent="0.25">
      <c r="A84" s="31">
        <v>64123</v>
      </c>
      <c r="B84" s="31" t="str">
        <f>VLOOKUP(Table1[[#This Row],[kbli5]],master!$A$2:$B$1560,2,FALSE)</f>
        <v>PERBANKAN KONVENSIONAL LAINNYA</v>
      </c>
      <c r="C84" s="32" t="s">
        <v>1821</v>
      </c>
      <c r="D84" s="53"/>
      <c r="E84" s="35" t="s">
        <v>111</v>
      </c>
      <c r="F84" s="35"/>
      <c r="G84" s="38" t="e">
        <f>VLOOKUP(Table1[[#This Row],[kbli5]],data_versi1!$B$2:$D$101,3, FALSE)</f>
        <v>#N/A</v>
      </c>
      <c r="H84" s="35" t="e">
        <f>IF(Table1[[#This Row],[contoh_usaha]]=Table1[[#This Row],[versi 1]],TRUE,FALSE)</f>
        <v>#N/A</v>
      </c>
      <c r="I84" s="35" t="s">
        <v>1347</v>
      </c>
    </row>
    <row r="85" spans="1:9" ht="25.5" x14ac:dyDescent="0.25">
      <c r="A85" s="31">
        <v>64124</v>
      </c>
      <c r="B85" s="31" t="str">
        <f>VLOOKUP(Table1[[#This Row],[kbli5]],master!$A$2:$B$1560,2,FALSE)</f>
        <v>PERBANKAN SYARIAH LAINNYA</v>
      </c>
      <c r="C85" s="32" t="s">
        <v>1822</v>
      </c>
      <c r="D85" s="53"/>
      <c r="E85" s="35" t="s">
        <v>111</v>
      </c>
      <c r="F85" s="35"/>
      <c r="G85" s="38" t="e">
        <f>VLOOKUP(Table1[[#This Row],[kbli5]],data_versi1!$B$2:$D$101,3, FALSE)</f>
        <v>#N/A</v>
      </c>
      <c r="H85" s="35" t="e">
        <f>IF(Table1[[#This Row],[contoh_usaha]]=Table1[[#This Row],[versi 1]],TRUE,FALSE)</f>
        <v>#N/A</v>
      </c>
      <c r="I85" s="35" t="s">
        <v>1347</v>
      </c>
    </row>
    <row r="86" spans="1:9" ht="38.25" x14ac:dyDescent="0.25">
      <c r="A86" s="31">
        <v>64191</v>
      </c>
      <c r="B86" s="31" t="str">
        <f>VLOOKUP(Table1[[#This Row],[kbli5]],master!$A$2:$B$1560,2,FALSE)</f>
        <v>AKTIVITAS PEMBERIAN KREDIT OLEH KOPERASI KONVENSIONAL</v>
      </c>
      <c r="C86" s="32" t="s">
        <v>1823</v>
      </c>
      <c r="D86" s="53"/>
      <c r="E86" s="35" t="s">
        <v>111</v>
      </c>
      <c r="F86" s="35"/>
      <c r="G86" s="38" t="e">
        <f>VLOOKUP(Table1[[#This Row],[kbli5]],data_versi1!$B$2:$D$101,3, FALSE)</f>
        <v>#N/A</v>
      </c>
      <c r="H86" s="35" t="e">
        <f>IF(Table1[[#This Row],[contoh_usaha]]=Table1[[#This Row],[versi 1]],TRUE,FALSE)</f>
        <v>#N/A</v>
      </c>
      <c r="I86" s="35" t="s">
        <v>1347</v>
      </c>
    </row>
    <row r="87" spans="1:9" x14ac:dyDescent="0.25">
      <c r="A87" s="31">
        <v>64953</v>
      </c>
      <c r="B87" s="31" t="str">
        <f>VLOOKUP(Table1[[#This Row],[kbli5]],master!$A$2:$B$1560,2,FALSE)</f>
        <v>AKTIVITAS GADAI KONVENSIONAL</v>
      </c>
      <c r="C87" s="32" t="s">
        <v>1824</v>
      </c>
      <c r="D87" s="53"/>
      <c r="E87" s="35" t="s">
        <v>111</v>
      </c>
      <c r="F87" s="35"/>
      <c r="G87" s="38" t="e">
        <f>VLOOKUP(Table1[[#This Row],[kbli5]],data_versi1!$B$2:$D$101,3, FALSE)</f>
        <v>#N/A</v>
      </c>
      <c r="H87" s="35" t="e">
        <f>IF(Table1[[#This Row],[contoh_usaha]]=Table1[[#This Row],[versi 1]],TRUE,FALSE)</f>
        <v>#N/A</v>
      </c>
      <c r="I87" s="35" t="s">
        <v>1347</v>
      </c>
    </row>
    <row r="88" spans="1:9" x14ac:dyDescent="0.25">
      <c r="A88" s="31">
        <v>64954</v>
      </c>
      <c r="B88" s="31" t="str">
        <f>VLOOKUP(Table1[[#This Row],[kbli5]],master!$A$2:$B$1560,2,FALSE)</f>
        <v>AKTIVITAS GADAI SYARIAH</v>
      </c>
      <c r="C88" s="32" t="s">
        <v>1825</v>
      </c>
      <c r="D88" s="53"/>
      <c r="E88" s="35" t="s">
        <v>111</v>
      </c>
      <c r="F88" s="35"/>
      <c r="G88" s="38" t="e">
        <f>VLOOKUP(Table1[[#This Row],[kbli5]],data_versi1!$B$2:$D$101,3, FALSE)</f>
        <v>#N/A</v>
      </c>
      <c r="H88" s="35" t="e">
        <f>IF(Table1[[#This Row],[contoh_usaha]]=Table1[[#This Row],[versi 1]],TRUE,FALSE)</f>
        <v>#N/A</v>
      </c>
      <c r="I88" s="35" t="s">
        <v>1347</v>
      </c>
    </row>
    <row r="89" spans="1:9" ht="25.5" x14ac:dyDescent="0.25">
      <c r="A89" s="29">
        <v>68125</v>
      </c>
      <c r="B89" s="31" t="str">
        <f>VLOOKUP(Table1[[#This Row],[kbli5]],master!$A$2:$B$1560,2,FALSE)</f>
        <v>PENGELOLAAN PUSAT PERBELANJAAN</v>
      </c>
      <c r="C89" s="32" t="s">
        <v>1965</v>
      </c>
      <c r="D89" s="53"/>
      <c r="E89" s="35" t="s">
        <v>116</v>
      </c>
      <c r="F89" s="35"/>
      <c r="G89" s="38" t="e">
        <f>VLOOKUP(Table1[[#This Row],[kbli5]],data_versi1!$B$2:$D$101,3, FALSE)</f>
        <v>#N/A</v>
      </c>
      <c r="H89" s="35" t="e">
        <f>IF(Table1[[#This Row],[contoh_usaha]]=Table1[[#This Row],[versi 1]],TRUE,FALSE)</f>
        <v>#N/A</v>
      </c>
      <c r="I89" s="35" t="s">
        <v>1347</v>
      </c>
    </row>
    <row r="90" spans="1:9" x14ac:dyDescent="0.25">
      <c r="A90" s="31">
        <v>85101</v>
      </c>
      <c r="B90" s="31" t="str">
        <f>VLOOKUP(Table1[[#This Row],[kbli5]],master!$A$2:$B$1560,2,FALSE)</f>
        <v>PENDIDIKAN TAMAN KANAK-KANAK UMUM PEMERINTAH</v>
      </c>
      <c r="C90" s="32" t="s">
        <v>112</v>
      </c>
      <c r="D90" s="53"/>
      <c r="E90" s="35" t="s">
        <v>111</v>
      </c>
      <c r="F90" s="35"/>
      <c r="G90" s="38" t="str">
        <f>VLOOKUP(Table1[[#This Row],[kbli5]],data_versi1!$B$2:$D$101,3, FALSE)</f>
        <v>TK Negeri; TK Pembina;</v>
      </c>
      <c r="H90" s="35" t="b">
        <f>IF(Table1[[#This Row],[contoh_usaha]]=Table1[[#This Row],[versi 1]],TRUE,FALSE)</f>
        <v>1</v>
      </c>
      <c r="I90" s="35" t="s">
        <v>46</v>
      </c>
    </row>
    <row r="91" spans="1:9" x14ac:dyDescent="0.25">
      <c r="A91" s="31">
        <v>85102</v>
      </c>
      <c r="B91" s="31" t="str">
        <f>VLOOKUP(Table1[[#This Row],[kbli5]],master!$A$2:$B$1560,2,FALSE)</f>
        <v>PENDIDIKAN TAMAN KANAK-KANAK UMUM SWASTA</v>
      </c>
      <c r="C91" s="32" t="s">
        <v>1826</v>
      </c>
      <c r="D91" s="53"/>
      <c r="E91" s="35" t="s">
        <v>111</v>
      </c>
      <c r="F91" s="35"/>
      <c r="G91" s="38" t="str">
        <f>VLOOKUP(Table1[[#This Row],[kbli5]],data_versi1!$B$2:$D$101,3, FALSE)</f>
        <v>TK Swasta Umum; TK Bhayangkari; TK Kartika;</v>
      </c>
      <c r="H91" s="35" t="b">
        <f>IF(Table1[[#This Row],[contoh_usaha]]=Table1[[#This Row],[versi 1]],TRUE,FALSE)</f>
        <v>1</v>
      </c>
      <c r="I91" s="35" t="s">
        <v>46</v>
      </c>
    </row>
    <row r="92" spans="1:9" x14ac:dyDescent="0.25">
      <c r="A92" s="31">
        <v>85103</v>
      </c>
      <c r="B92" s="31" t="str">
        <f>VLOOKUP(Table1[[#This Row],[kbli5]],master!$A$2:$B$1560,2,FALSE)</f>
        <v>PENDIDIKAN PRASEKOLAH KEAGAMAAN ISLAM</v>
      </c>
      <c r="C92" s="32" t="s">
        <v>1827</v>
      </c>
      <c r="D92" s="53"/>
      <c r="E92" s="35" t="s">
        <v>111</v>
      </c>
      <c r="F92" s="35"/>
      <c r="G92" s="38" t="str">
        <f>VLOOKUP(Table1[[#This Row],[kbli5]],data_versi1!$B$2:$D$101,3, FALSE)</f>
        <v>TK Islam; TK Aisyiah; TK Annamiroh; RA;</v>
      </c>
      <c r="H92" s="35" t="b">
        <f>IF(Table1[[#This Row],[contoh_usaha]]=Table1[[#This Row],[versi 1]],TRUE,FALSE)</f>
        <v>1</v>
      </c>
      <c r="I92" s="35" t="s">
        <v>46</v>
      </c>
    </row>
    <row r="93" spans="1:9" ht="26.25" x14ac:dyDescent="0.25">
      <c r="A93" s="31">
        <v>85104</v>
      </c>
      <c r="B93" s="31" t="str">
        <f>VLOOKUP(Table1[[#This Row],[kbli5]],master!$A$2:$B$1560,2,FALSE)</f>
        <v>PENDIDIKAN PRASEKOLAH KEAGAMAAN PROTESTAN, KATOLIK, HINDU,</v>
      </c>
      <c r="C93" s="32" t="s">
        <v>1828</v>
      </c>
      <c r="D93" s="53"/>
      <c r="E93" s="35" t="s">
        <v>111</v>
      </c>
      <c r="F93" s="35"/>
      <c r="G93" s="38" t="str">
        <f>VLOOKUP(Table1[[#This Row],[kbli5]],data_versi1!$B$2:$D$101,3, FALSE)</f>
        <v>TK Protestan; Katolik; Hindu; Buddha; Konghucu; TK Exaudi HKBP; TK Meta Maitreya;</v>
      </c>
      <c r="H93" s="35" t="b">
        <f>IF(Table1[[#This Row],[contoh_usaha]]=Table1[[#This Row],[versi 1]],TRUE,FALSE)</f>
        <v>1</v>
      </c>
      <c r="I93" s="35" t="s">
        <v>46</v>
      </c>
    </row>
    <row r="94" spans="1:9" x14ac:dyDescent="0.25">
      <c r="A94" s="31">
        <v>85201</v>
      </c>
      <c r="B94" s="31" t="str">
        <f>VLOOKUP(Table1[[#This Row],[kbli5]],master!$A$2:$B$1560,2,FALSE)</f>
        <v>PENDIDIKAN DASAR UMUM PEMERINTAH</v>
      </c>
      <c r="C94" s="32" t="s">
        <v>1829</v>
      </c>
      <c r="D94" s="53"/>
      <c r="E94" s="35" t="s">
        <v>111</v>
      </c>
      <c r="F94" s="35"/>
      <c r="G94" s="38" t="str">
        <f>VLOOKUP(Table1[[#This Row],[kbli5]],data_versi1!$B$2:$D$101,3, FALSE)</f>
        <v>SD Negeri;</v>
      </c>
      <c r="H94" s="35" t="b">
        <f>IF(Table1[[#This Row],[contoh_usaha]]=Table1[[#This Row],[versi 1]],TRUE,FALSE)</f>
        <v>1</v>
      </c>
      <c r="I94" s="35" t="s">
        <v>46</v>
      </c>
    </row>
    <row r="95" spans="1:9" ht="25.5" x14ac:dyDescent="0.25">
      <c r="A95" s="31">
        <v>85202</v>
      </c>
      <c r="B95" s="31" t="str">
        <f>VLOOKUP(Table1[[#This Row],[kbli5]],master!$A$2:$B$1560,2,FALSE)</f>
        <v>PENDIDIKAN DASAR UMUM SWASTA</v>
      </c>
      <c r="C95" s="32" t="s">
        <v>1830</v>
      </c>
      <c r="D95" s="53"/>
      <c r="E95" s="35" t="s">
        <v>111</v>
      </c>
      <c r="F95" s="35"/>
      <c r="G95" s="38" t="str">
        <f>VLOOKUP(Table1[[#This Row],[kbli5]],data_versi1!$B$2:$D$101,3, FALSE)</f>
        <v xml:space="preserve">SD Swasta Umum; SD Kartika; ICS; Dharmayudha; </v>
      </c>
      <c r="H95" s="35" t="b">
        <f>IF(Table1[[#This Row],[contoh_usaha]]=Table1[[#This Row],[versi 1]],TRUE,FALSE)</f>
        <v>1</v>
      </c>
      <c r="I95" s="35" t="s">
        <v>46</v>
      </c>
    </row>
    <row r="96" spans="1:9" x14ac:dyDescent="0.25">
      <c r="A96" s="31">
        <v>85203</v>
      </c>
      <c r="B96" s="31" t="str">
        <f>VLOOKUP(Table1[[#This Row],[kbli5]],master!$A$2:$B$1560,2,FALSE)</f>
        <v>PENDIDIKAN DASAR KEAGAMAAN ISLAM</v>
      </c>
      <c r="C96" s="32" t="s">
        <v>1831</v>
      </c>
      <c r="D96" s="53"/>
      <c r="E96" s="35" t="s">
        <v>111</v>
      </c>
      <c r="F96" s="35"/>
      <c r="G96" s="38" t="str">
        <f>VLOOKUP(Table1[[#This Row],[kbli5]],data_versi1!$B$2:$D$101,3, FALSE)</f>
        <v>SD Islam; MI; Muhammadyah; As-Shofa; MIN;</v>
      </c>
      <c r="H96" s="35" t="b">
        <f>IF(Table1[[#This Row],[contoh_usaha]]=Table1[[#This Row],[versi 1]],TRUE,FALSE)</f>
        <v>1</v>
      </c>
      <c r="I96" s="35" t="s">
        <v>46</v>
      </c>
    </row>
    <row r="97" spans="1:9" ht="26.25" x14ac:dyDescent="0.25">
      <c r="A97" s="31">
        <v>85204</v>
      </c>
      <c r="B97" s="31" t="str">
        <f>VLOOKUP(Table1[[#This Row],[kbli5]],master!$A$2:$B$1560,2,FALSE)</f>
        <v>PENDIDIKAN DASAR KEAGAMAAN PROTESTAN, KATOLIK, HINDU,</v>
      </c>
      <c r="C97" s="32" t="s">
        <v>1832</v>
      </c>
      <c r="D97" s="53"/>
      <c r="E97" s="35" t="s">
        <v>111</v>
      </c>
      <c r="F97" s="35"/>
      <c r="G97" s="38" t="str">
        <f>VLOOKUP(Table1[[#This Row],[kbli5]],data_versi1!$B$2:$D$101,3, FALSE)</f>
        <v>SD Protestan; Katolik; Hindu; Buddha; Konghucu; Santa Maria; Kalam Kudus;</v>
      </c>
      <c r="H97" s="35" t="b">
        <f>IF(Table1[[#This Row],[contoh_usaha]]=Table1[[#This Row],[versi 1]],TRUE,FALSE)</f>
        <v>1</v>
      </c>
      <c r="I97" s="35" t="s">
        <v>46</v>
      </c>
    </row>
    <row r="98" spans="1:9" x14ac:dyDescent="0.25">
      <c r="A98" s="31">
        <v>85311</v>
      </c>
      <c r="B98" s="31" t="str">
        <f>VLOOKUP(Table1[[#This Row],[kbli5]],master!$A$2:$B$1560,2,FALSE)</f>
        <v>PENDIDIKAN MENENGAH PERTAMA UMUM PEMERINTAH</v>
      </c>
      <c r="C98" s="32" t="s">
        <v>1833</v>
      </c>
      <c r="D98" s="53"/>
      <c r="E98" s="35" t="s">
        <v>111</v>
      </c>
      <c r="F98" s="35"/>
      <c r="G98" s="38" t="str">
        <f>VLOOKUP(Table1[[#This Row],[kbli5]],data_versi1!$B$2:$D$101,3, FALSE)</f>
        <v>SMP Negeri;</v>
      </c>
      <c r="H98" s="35" t="b">
        <f>IF(Table1[[#This Row],[contoh_usaha]]=Table1[[#This Row],[versi 1]],TRUE,FALSE)</f>
        <v>1</v>
      </c>
      <c r="I98" s="35" t="s">
        <v>46</v>
      </c>
    </row>
    <row r="99" spans="1:9" ht="26.25" x14ac:dyDescent="0.25">
      <c r="A99" s="31">
        <v>85312</v>
      </c>
      <c r="B99" s="31" t="str">
        <f>VLOOKUP(Table1[[#This Row],[kbli5]],master!$A$2:$B$1560,2,FALSE)</f>
        <v>PENDIDIKAN MENENGAH PERTAMA UMUM SWASTA</v>
      </c>
      <c r="C99" s="32" t="s">
        <v>1834</v>
      </c>
      <c r="D99" s="53"/>
      <c r="E99" s="35" t="s">
        <v>111</v>
      </c>
      <c r="F99" s="35"/>
      <c r="G99" s="38" t="str">
        <f>VLOOKUP(Table1[[#This Row],[kbli5]],data_versi1!$B$2:$D$101,3, FALSE)</f>
        <v>SMP Swasta Umum; SMP Kartika; ICS; Dharmayudha;</v>
      </c>
      <c r="H99" s="35" t="b">
        <f>IF(Table1[[#This Row],[contoh_usaha]]=Table1[[#This Row],[versi 1]],TRUE,FALSE)</f>
        <v>1</v>
      </c>
      <c r="I99" s="35" t="s">
        <v>46</v>
      </c>
    </row>
    <row r="100" spans="1:9" ht="26.25" x14ac:dyDescent="0.25">
      <c r="A100" s="31">
        <v>85313</v>
      </c>
      <c r="B100" s="31" t="str">
        <f>VLOOKUP(Table1[[#This Row],[kbli5]],master!$A$2:$B$1560,2,FALSE)</f>
        <v>PENDIDIKAN MENENGAH PERTAMA KEAGAMAAN ISLAM</v>
      </c>
      <c r="C100" s="32" t="s">
        <v>1835</v>
      </c>
      <c r="D100" s="53"/>
      <c r="E100" s="35" t="s">
        <v>111</v>
      </c>
      <c r="F100" s="35"/>
      <c r="G100" s="38" t="str">
        <f>VLOOKUP(Table1[[#This Row],[kbli5]],data_versi1!$B$2:$D$101,3, FALSE)</f>
        <v>SMP Swasta Islam; Muhammadyah; As-Shofa; MTS;</v>
      </c>
      <c r="H100" s="35" t="b">
        <f>IF(Table1[[#This Row],[contoh_usaha]]=Table1[[#This Row],[versi 1]],TRUE,FALSE)</f>
        <v>1</v>
      </c>
      <c r="I100" s="35" t="s">
        <v>46</v>
      </c>
    </row>
    <row r="101" spans="1:9" ht="26.25" x14ac:dyDescent="0.25">
      <c r="A101" s="31">
        <v>85314</v>
      </c>
      <c r="B101" s="31" t="str">
        <f>VLOOKUP(Table1[[#This Row],[kbli5]],master!$A$2:$B$1560,2,FALSE)</f>
        <v>PENDIDIKAN MENENGAH PERTAMA KEAGAMAAN PROTESTAN, KATOLIK,</v>
      </c>
      <c r="C101" s="32" t="s">
        <v>1836</v>
      </c>
      <c r="D101" s="53"/>
      <c r="E101" s="35" t="s">
        <v>111</v>
      </c>
      <c r="F101" s="35"/>
      <c r="G101" s="38" t="str">
        <f>VLOOKUP(Table1[[#This Row],[kbli5]],data_versi1!$B$2:$D$101,3, FALSE)</f>
        <v>SMP Protestan; Katolik; Hindu; Buddha; Konghucu; Santa Maria; Kalam Kudus;</v>
      </c>
      <c r="H101" s="35" t="b">
        <f>IF(Table1[[#This Row],[contoh_usaha]]=Table1[[#This Row],[versi 1]],TRUE,FALSE)</f>
        <v>1</v>
      </c>
      <c r="I101" s="35" t="s">
        <v>46</v>
      </c>
    </row>
    <row r="102" spans="1:9" x14ac:dyDescent="0.25">
      <c r="A102" s="31">
        <v>85315</v>
      </c>
      <c r="B102" s="31" t="str">
        <f>VLOOKUP(Table1[[#This Row],[kbli5]],master!$A$2:$B$1560,2,FALSE)</f>
        <v>PENDIDIKAN MENENGAH ATAS UMUM PEMERINTAH</v>
      </c>
      <c r="C102" s="32" t="s">
        <v>1837</v>
      </c>
      <c r="D102" s="53"/>
      <c r="E102" s="35" t="s">
        <v>111</v>
      </c>
      <c r="F102" s="35"/>
      <c r="G102" s="38" t="str">
        <f>VLOOKUP(Table1[[#This Row],[kbli5]],data_versi1!$B$2:$D$101,3, FALSE)</f>
        <v>SMA Negeri;</v>
      </c>
      <c r="H102" s="35" t="b">
        <f>IF(Table1[[#This Row],[contoh_usaha]]=Table1[[#This Row],[versi 1]],TRUE,FALSE)</f>
        <v>1</v>
      </c>
      <c r="I102" s="35" t="s">
        <v>46</v>
      </c>
    </row>
    <row r="103" spans="1:9" x14ac:dyDescent="0.25">
      <c r="A103" s="31">
        <v>85316</v>
      </c>
      <c r="B103" s="31" t="str">
        <f>VLOOKUP(Table1[[#This Row],[kbli5]],master!$A$2:$B$1560,2,FALSE)</f>
        <v>PENDIDIKAN MENENGAH ATAS UMUM SWASTA</v>
      </c>
      <c r="C103" s="32" t="s">
        <v>1838</v>
      </c>
      <c r="D103" s="53"/>
      <c r="E103" s="35" t="s">
        <v>111</v>
      </c>
      <c r="F103" s="35"/>
      <c r="G103" s="38" t="str">
        <f>VLOOKUP(Table1[[#This Row],[kbli5]],data_versi1!$B$2:$D$101,3, FALSE)</f>
        <v>SMA Swasta umum;</v>
      </c>
      <c r="H103" s="35" t="b">
        <f>IF(Table1[[#This Row],[contoh_usaha]]=Table1[[#This Row],[versi 1]],TRUE,FALSE)</f>
        <v>1</v>
      </c>
      <c r="I103" s="35" t="s">
        <v>46</v>
      </c>
    </row>
    <row r="104" spans="1:9" ht="26.25" x14ac:dyDescent="0.25">
      <c r="A104" s="31">
        <v>85317</v>
      </c>
      <c r="B104" s="31" t="str">
        <f>VLOOKUP(Table1[[#This Row],[kbli5]],master!$A$2:$B$1560,2,FALSE)</f>
        <v>PENDIDIKAN MENENGAH ATAS KEAGAMAAN ISLAM</v>
      </c>
      <c r="C104" s="32" t="s">
        <v>1839</v>
      </c>
      <c r="D104" s="53"/>
      <c r="E104" s="35" t="s">
        <v>111</v>
      </c>
      <c r="F104" s="35"/>
      <c r="G104" s="38" t="str">
        <f>VLOOKUP(Table1[[#This Row],[kbli5]],data_versi1!$B$2:$D$101,3, FALSE)</f>
        <v>MA Negeri/swasta; Pesantren tingkat SMA; Babussalam;</v>
      </c>
      <c r="H104" s="35" t="b">
        <f>IF(Table1[[#This Row],[contoh_usaha]]=Table1[[#This Row],[versi 1]],TRUE,FALSE)</f>
        <v>1</v>
      </c>
      <c r="I104" s="35" t="s">
        <v>46</v>
      </c>
    </row>
    <row r="105" spans="1:9" ht="26.25" x14ac:dyDescent="0.25">
      <c r="A105" s="31">
        <v>85318</v>
      </c>
      <c r="B105" s="31" t="str">
        <f>VLOOKUP(Table1[[#This Row],[kbli5]],master!$A$2:$B$1560,2,FALSE)</f>
        <v>PENDIDIKAN MENENGAH ATAS KEAGAMAAN PROTESTAN, KATOLIK,</v>
      </c>
      <c r="C105" s="32" t="s">
        <v>1840</v>
      </c>
      <c r="D105" s="53"/>
      <c r="E105" s="35" t="s">
        <v>111</v>
      </c>
      <c r="F105" s="35"/>
      <c r="G105" s="38" t="str">
        <f>VLOOKUP(Table1[[#This Row],[kbli5]],data_versi1!$B$2:$D$101,3, FALSE)</f>
        <v>SMA Protestan; Katolik; Hindu; Buddha; Konghucu; Santa Maria; Kalam Kudus;</v>
      </c>
      <c r="H105" s="35" t="b">
        <f>IF(Table1[[#This Row],[contoh_usaha]]=Table1[[#This Row],[versi 1]],TRUE,FALSE)</f>
        <v>1</v>
      </c>
      <c r="I105" s="35" t="s">
        <v>46</v>
      </c>
    </row>
    <row r="106" spans="1:9" x14ac:dyDescent="0.25">
      <c r="A106" s="31">
        <v>85321</v>
      </c>
      <c r="B106" s="31" t="str">
        <f>VLOOKUP(Table1[[#This Row],[kbli5]],master!$A$2:$B$1560,2,FALSE)</f>
        <v>PENDIDIKAN MENENGAH KEJURUAN UMUM PEMERINTAH</v>
      </c>
      <c r="C106" s="32" t="s">
        <v>1841</v>
      </c>
      <c r="D106" s="53"/>
      <c r="E106" s="35" t="s">
        <v>111</v>
      </c>
      <c r="F106" s="35"/>
      <c r="G106" s="38" t="str">
        <f>VLOOKUP(Table1[[#This Row],[kbli5]],data_versi1!$B$2:$D$101,3, FALSE)</f>
        <v>SMK Negeri;</v>
      </c>
      <c r="H106" s="35" t="b">
        <f>IF(Table1[[#This Row],[contoh_usaha]]=Table1[[#This Row],[versi 1]],TRUE,FALSE)</f>
        <v>1</v>
      </c>
      <c r="I106" s="35" t="s">
        <v>46</v>
      </c>
    </row>
    <row r="107" spans="1:9" x14ac:dyDescent="0.25">
      <c r="A107" s="31">
        <v>85322</v>
      </c>
      <c r="B107" s="31" t="str">
        <f>VLOOKUP(Table1[[#This Row],[kbli5]],master!$A$2:$B$1560,2,FALSE)</f>
        <v>PENDIDIKAN MENENGAH KEJURUAN UMUM SWASTA</v>
      </c>
      <c r="C107" s="32" t="s">
        <v>1842</v>
      </c>
      <c r="D107" s="53"/>
      <c r="E107" s="35" t="s">
        <v>111</v>
      </c>
      <c r="F107" s="35"/>
      <c r="G107" s="38" t="str">
        <f>VLOOKUP(Table1[[#This Row],[kbli5]],data_versi1!$B$2:$D$101,3, FALSE)</f>
        <v>SMK Swasta;</v>
      </c>
      <c r="H107" s="35" t="b">
        <f>IF(Table1[[#This Row],[contoh_usaha]]=Table1[[#This Row],[versi 1]],TRUE,FALSE)</f>
        <v>1</v>
      </c>
      <c r="I107" s="35" t="s">
        <v>46</v>
      </c>
    </row>
    <row r="108" spans="1:9" x14ac:dyDescent="0.25">
      <c r="A108" s="31">
        <v>85401</v>
      </c>
      <c r="B108" s="31" t="str">
        <f>VLOOKUP(Table1[[#This Row],[kbli5]],master!$A$2:$B$1560,2,FALSE)</f>
        <v>PENDIDIKAN TINGGI UMUM PEMERINTAH</v>
      </c>
      <c r="C108" s="32" t="s">
        <v>1843</v>
      </c>
      <c r="D108" s="53"/>
      <c r="E108" s="35" t="s">
        <v>111</v>
      </c>
      <c r="F108" s="35"/>
      <c r="G108" s="38" t="str">
        <f>VLOOKUP(Table1[[#This Row],[kbli5]],data_versi1!$B$2:$D$101,3, FALSE)</f>
        <v>Universitas Negeri;UNRI;</v>
      </c>
      <c r="H108" s="35" t="b">
        <f>IF(Table1[[#This Row],[contoh_usaha]]=Table1[[#This Row],[versi 1]],TRUE,FALSE)</f>
        <v>1</v>
      </c>
      <c r="I108" s="35" t="s">
        <v>46</v>
      </c>
    </row>
    <row r="109" spans="1:9" ht="26.25" x14ac:dyDescent="0.25">
      <c r="A109" s="31">
        <v>85402</v>
      </c>
      <c r="B109" s="31" t="str">
        <f>VLOOKUP(Table1[[#This Row],[kbli5]],master!$A$2:$B$1560,2,FALSE)</f>
        <v>PENDIDIKAN TINGGI UMUM SWASTA</v>
      </c>
      <c r="C109" s="32" t="s">
        <v>1844</v>
      </c>
      <c r="D109" s="53"/>
      <c r="E109" s="35" t="s">
        <v>111</v>
      </c>
      <c r="F109" s="35"/>
      <c r="G109" s="38" t="str">
        <f>VLOOKUP(Table1[[#This Row],[kbli5]],data_versi1!$B$2:$D$101,3, FALSE)</f>
        <v>Universitas Swasta; UNILAK; UIR; PCR; Univ Muhammadiyah Riau;</v>
      </c>
      <c r="H109" s="35" t="b">
        <f>IF(Table1[[#This Row],[contoh_usaha]]=Table1[[#This Row],[versi 1]],TRUE,FALSE)</f>
        <v>1</v>
      </c>
      <c r="I109" s="35" t="s">
        <v>46</v>
      </c>
    </row>
    <row r="110" spans="1:9" ht="25.5" x14ac:dyDescent="0.25">
      <c r="A110" s="31">
        <v>85403</v>
      </c>
      <c r="B110" s="31" t="str">
        <f>VLOOKUP(Table1[[#This Row],[kbli5]],master!$A$2:$B$1560,2,FALSE)</f>
        <v>PENDIDIKAN TINGGI KEAGAMAAN PEMERINTAH</v>
      </c>
      <c r="C110" s="32" t="s">
        <v>1845</v>
      </c>
      <c r="D110" s="53"/>
      <c r="E110" s="35" t="s">
        <v>111</v>
      </c>
      <c r="F110" s="35"/>
      <c r="G110" s="38" t="str">
        <f>VLOOKUP(Table1[[#This Row],[kbli5]],data_versi1!$B$2:$D$101,3, FALSE)</f>
        <v>Universitas Negeri Keagamaan; UIN Suska Riau;</v>
      </c>
      <c r="H110" s="35" t="b">
        <f>IF(Table1[[#This Row],[contoh_usaha]]=Table1[[#This Row],[versi 1]],TRUE,FALSE)</f>
        <v>1</v>
      </c>
      <c r="I110" s="35" t="s">
        <v>46</v>
      </c>
    </row>
    <row r="111" spans="1:9" x14ac:dyDescent="0.25">
      <c r="A111" s="31">
        <v>85404</v>
      </c>
      <c r="B111" s="31" t="str">
        <f>VLOOKUP(Table1[[#This Row],[kbli5]],master!$A$2:$B$1560,2,FALSE)</f>
        <v>PENDIDIKAN TINGGI KEAGAMAAN SWASTA</v>
      </c>
      <c r="C111" s="32" t="s">
        <v>1846</v>
      </c>
      <c r="D111" s="53"/>
      <c r="E111" s="35" t="s">
        <v>111</v>
      </c>
      <c r="F111" s="35"/>
      <c r="G111" s="38" t="str">
        <f>VLOOKUP(Table1[[#This Row],[kbli5]],data_versi1!$B$2:$D$101,3, FALSE)</f>
        <v>Unviersitas Swasta Keagamaan;</v>
      </c>
      <c r="H111" s="35" t="b">
        <f>IF(Table1[[#This Row],[contoh_usaha]]=Table1[[#This Row],[versi 1]],TRUE,FALSE)</f>
        <v>1</v>
      </c>
      <c r="I111" s="35" t="s">
        <v>46</v>
      </c>
    </row>
    <row r="112" spans="1:9" ht="26.25" x14ac:dyDescent="0.25">
      <c r="A112" s="29">
        <v>85510</v>
      </c>
      <c r="B112" s="31" t="str">
        <f>VLOOKUP(Table1[[#This Row],[kbli5]],master!$A$2:$B$1560,2,FALSE)</f>
        <v>PENDIDIKAN OLAHRAGA DAN REKREASI</v>
      </c>
      <c r="C112" s="32" t="s">
        <v>1966</v>
      </c>
      <c r="D112" s="53"/>
      <c r="E112" s="35" t="s">
        <v>116</v>
      </c>
      <c r="F112" s="35"/>
      <c r="G112" s="38" t="str">
        <f>VLOOKUP(Table1[[#This Row],[kbli5]],data_versi1!$B$2:$D$101,3, FALSE)</f>
        <v>Les Olahraga; Happy Shark Pku; mermaid swimming school;</v>
      </c>
      <c r="H112" s="35" t="b">
        <f>IF(Table1[[#This Row],[contoh_usaha]]=Table1[[#This Row],[versi 1]],TRUE,FALSE)</f>
        <v>1</v>
      </c>
      <c r="I112" s="35" t="s">
        <v>46</v>
      </c>
    </row>
    <row r="113" spans="1:9" ht="25.5" x14ac:dyDescent="0.25">
      <c r="A113" s="29">
        <v>85520</v>
      </c>
      <c r="B113" s="31" t="str">
        <f>VLOOKUP(Table1[[#This Row],[kbli5]],master!$A$2:$B$1560,2,FALSE)</f>
        <v>PENDIDIKAN KEBUDAYAAN</v>
      </c>
      <c r="C113" s="32" t="s">
        <v>1967</v>
      </c>
      <c r="D113" s="53"/>
      <c r="E113" s="35" t="s">
        <v>116</v>
      </c>
      <c r="F113" s="35"/>
      <c r="G113" s="38" t="str">
        <f>VLOOKUP(Table1[[#This Row],[kbli5]],data_versi1!$B$2:$D$101,3, FALSE)</f>
        <v>Les musik; les menari/sanggar tari; sanggar lukis;</v>
      </c>
      <c r="H113" s="35" t="b">
        <f>IF(Table1[[#This Row],[contoh_usaha]]=Table1[[#This Row],[versi 1]],TRUE,FALSE)</f>
        <v>1</v>
      </c>
      <c r="I113" s="35" t="s">
        <v>46</v>
      </c>
    </row>
    <row r="114" spans="1:9" x14ac:dyDescent="0.25">
      <c r="A114" s="29">
        <v>85530</v>
      </c>
      <c r="B114" s="31" t="str">
        <f>VLOOKUP(Table1[[#This Row],[kbli5]],master!$A$2:$B$1560,2,FALSE)</f>
        <v>KEGIATAN SEKOLAH MENGEMUDI</v>
      </c>
      <c r="C114" s="32" t="s">
        <v>1968</v>
      </c>
      <c r="D114" s="53"/>
      <c r="E114" s="35" t="s">
        <v>116</v>
      </c>
      <c r="F114" s="35"/>
      <c r="G114" s="38" t="str">
        <f>VLOOKUP(Table1[[#This Row],[kbli5]],data_versi1!$B$2:$D$101,3, FALSE)</f>
        <v>Sekolah mengemudi mobil;</v>
      </c>
      <c r="H114" s="35" t="b">
        <f>IF(Table1[[#This Row],[contoh_usaha]]=Table1[[#This Row],[versi 1]],TRUE,FALSE)</f>
        <v>1</v>
      </c>
      <c r="I114" s="35" t="s">
        <v>46</v>
      </c>
    </row>
    <row r="115" spans="1:9" x14ac:dyDescent="0.25">
      <c r="A115" s="29">
        <v>85542</v>
      </c>
      <c r="B115" s="31" t="str">
        <f>VLOOKUP(Table1[[#This Row],[kbli5]],master!$A$2:$B$1560,2,FALSE)</f>
        <v>PENDIDIKAN KEAGAMAAN ISLAM NONFORMAL</v>
      </c>
      <c r="C115" s="32" t="s">
        <v>1969</v>
      </c>
      <c r="D115" s="53"/>
      <c r="E115" s="35" t="s">
        <v>116</v>
      </c>
      <c r="F115" s="35"/>
      <c r="G115" s="38" t="str">
        <f>VLOOKUP(Table1[[#This Row],[kbli5]],data_versi1!$B$2:$D$101,3, FALSE)</f>
        <v>kursus mengaji; Rumah tahfiz;</v>
      </c>
      <c r="H115" s="35" t="b">
        <f>IF(Table1[[#This Row],[contoh_usaha]]=Table1[[#This Row],[versi 1]],TRUE,FALSE)</f>
        <v>1</v>
      </c>
      <c r="I115" s="35" t="s">
        <v>46</v>
      </c>
    </row>
    <row r="116" spans="1:9" x14ac:dyDescent="0.25">
      <c r="A116" s="31">
        <v>85560</v>
      </c>
      <c r="B116" s="31" t="str">
        <f>VLOOKUP(Table1[[#This Row],[kbli5]],master!$A$2:$B$1560,2,FALSE)</f>
        <v>PELATIHAN KERJA PEMERINTAH</v>
      </c>
      <c r="C116" s="32" t="s">
        <v>1847</v>
      </c>
      <c r="D116" s="53"/>
      <c r="E116" s="35" t="s">
        <v>111</v>
      </c>
      <c r="F116" s="35"/>
      <c r="G116" s="38" t="str">
        <f>VLOOKUP(Table1[[#This Row],[kbli5]],data_versi1!$B$2:$D$101,3, FALSE)</f>
        <v>Pusdiklat pemerintah; BPMP;</v>
      </c>
      <c r="H116" s="35" t="b">
        <f>IF(Table1[[#This Row],[contoh_usaha]]=Table1[[#This Row],[versi 1]],TRUE,FALSE)</f>
        <v>1</v>
      </c>
      <c r="I116" s="35" t="s">
        <v>46</v>
      </c>
    </row>
    <row r="117" spans="1:9" ht="26.25" x14ac:dyDescent="0.25">
      <c r="A117" s="29">
        <v>85592</v>
      </c>
      <c r="B117" s="31" t="str">
        <f>VLOOKUP(Table1[[#This Row],[kbli5]],master!$A$2:$B$1560,2,FALSE)</f>
        <v>PENDIDIKAN KOMPUTER (TEKNOLOGI INFORMASI DAN KOMUNIKASI)</v>
      </c>
      <c r="C117" s="32" t="s">
        <v>113</v>
      </c>
      <c r="D117" s="53"/>
      <c r="E117" s="35" t="s">
        <v>116</v>
      </c>
      <c r="F117" s="35"/>
      <c r="G117" s="38" t="str">
        <f>VLOOKUP(Table1[[#This Row],[kbli5]],data_versi1!$B$2:$D$101,3, FALSE)</f>
        <v>pendidikan swasta; kursus komputer; kursus public speaking; kursus robotic;</v>
      </c>
      <c r="H117" s="35" t="b">
        <f>IF(Table1[[#This Row],[contoh_usaha]]=Table1[[#This Row],[versi 1]],TRUE,FALSE)</f>
        <v>1</v>
      </c>
      <c r="I117" s="35" t="s">
        <v>46</v>
      </c>
    </row>
    <row r="118" spans="1:9" x14ac:dyDescent="0.25">
      <c r="A118" s="29">
        <v>85593</v>
      </c>
      <c r="B118" s="31" t="str">
        <f>VLOOKUP(Table1[[#This Row],[kbli5]],master!$A$2:$B$1560,2,FALSE)</f>
        <v>PENDIDIKAN BAHASA SWASTA</v>
      </c>
      <c r="C118" s="32" t="s">
        <v>1970</v>
      </c>
      <c r="D118" s="53"/>
      <c r="E118" s="35" t="s">
        <v>116</v>
      </c>
      <c r="F118" s="35"/>
      <c r="G118" s="38" t="str">
        <f>VLOOKUP(Table1[[#This Row],[kbli5]],data_versi1!$B$2:$D$101,3, FALSE)</f>
        <v>pendidikan bahasa swasta; LIA; LTI; EF;</v>
      </c>
      <c r="H118" s="35" t="b">
        <f>IF(Table1[[#This Row],[contoh_usaha]]=Table1[[#This Row],[versi 1]],TRUE,FALSE)</f>
        <v>1</v>
      </c>
      <c r="I118" s="35" t="s">
        <v>46</v>
      </c>
    </row>
    <row r="119" spans="1:9" ht="26.25" x14ac:dyDescent="0.25">
      <c r="A119" s="29">
        <v>85595</v>
      </c>
      <c r="B119" s="31" t="str">
        <f>VLOOKUP(Table1[[#This Row],[kbli5]],master!$A$2:$B$1560,2,FALSE)</f>
        <v>PENDIDIKAN BIMBINGAN BELAJAR DAN KONSELING SWASTA</v>
      </c>
      <c r="C119" s="32" t="s">
        <v>1971</v>
      </c>
      <c r="D119" s="53"/>
      <c r="E119" s="35" t="s">
        <v>116</v>
      </c>
      <c r="F119" s="35"/>
      <c r="G119" s="38" t="str">
        <f>VLOOKUP(Table1[[#This Row],[kbli5]],data_versi1!$B$2:$D$101,3, FALSE)</f>
        <v>ganesha operation; Ruang Guru; Sempoa SIP; Psikolog;</v>
      </c>
      <c r="H119" s="35" t="b">
        <f>IF(Table1[[#This Row],[contoh_usaha]]=Table1[[#This Row],[versi 1]],TRUE,FALSE)</f>
        <v>1</v>
      </c>
      <c r="I119" s="35" t="s">
        <v>46</v>
      </c>
    </row>
    <row r="120" spans="1:9" ht="26.25" x14ac:dyDescent="0.25">
      <c r="A120" s="29">
        <v>85599</v>
      </c>
      <c r="B120" s="31" t="str">
        <f>VLOOKUP(Table1[[#This Row],[kbli5]],master!$A$2:$B$1560,2,FALSE)</f>
        <v>PENDIDIKAN LAINNYA SWASTA</v>
      </c>
      <c r="C120" s="32" t="s">
        <v>1972</v>
      </c>
      <c r="D120" s="53"/>
      <c r="E120" s="35" t="s">
        <v>116</v>
      </c>
      <c r="F120" s="35"/>
      <c r="G120" s="38" t="str">
        <f>VLOOKUP(Table1[[#This Row],[kbli5]],data_versi1!$B$2:$D$101,3, FALSE)</f>
        <v>Pendidikan kerajinan; Kursus Baking; Kursus MUA (Makeup Artist); kursus modelling;</v>
      </c>
      <c r="H120" s="35" t="b">
        <f>IF(Table1[[#This Row],[contoh_usaha]]=Table1[[#This Row],[versi 1]],TRUE,FALSE)</f>
        <v>1</v>
      </c>
      <c r="I120" s="35" t="s">
        <v>46</v>
      </c>
    </row>
    <row r="121" spans="1:9" x14ac:dyDescent="0.25">
      <c r="A121" s="31">
        <v>86101</v>
      </c>
      <c r="B121" s="31" t="str">
        <f>VLOOKUP(Table1[[#This Row],[kbli5]],master!$A$2:$B$1560,2,FALSE)</f>
        <v>AKTIVITAS RUMAH SAKIT PEMERINTAH</v>
      </c>
      <c r="C121" s="32" t="s">
        <v>114</v>
      </c>
      <c r="D121" s="53"/>
      <c r="E121" s="35" t="s">
        <v>111</v>
      </c>
      <c r="F121" s="35"/>
      <c r="G121" s="38" t="str">
        <f>VLOOKUP(Table1[[#This Row],[kbli5]],data_versi1!$B$2:$D$101,3, FALSE)</f>
        <v>RS pemerintah; RSUD; RS Bhayangkara;</v>
      </c>
      <c r="H121" s="35" t="b">
        <f>IF(Table1[[#This Row],[contoh_usaha]]=Table1[[#This Row],[versi 1]],TRUE,FALSE)</f>
        <v>1</v>
      </c>
      <c r="I121" s="35" t="s">
        <v>86</v>
      </c>
    </row>
    <row r="122" spans="1:9" x14ac:dyDescent="0.25">
      <c r="A122" s="31">
        <v>86102</v>
      </c>
      <c r="B122" s="31" t="str">
        <f>VLOOKUP(Table1[[#This Row],[kbli5]],master!$A$2:$B$1560,2,FALSE)</f>
        <v>AKTIVITAS PUSKESMAS</v>
      </c>
      <c r="C122" s="32" t="s">
        <v>1848</v>
      </c>
      <c r="D122" s="53"/>
      <c r="E122" s="35" t="s">
        <v>111</v>
      </c>
      <c r="F122" s="35"/>
      <c r="G122" s="38" t="str">
        <f>VLOOKUP(Table1[[#This Row],[kbli5]],data_versi1!$B$2:$D$101,3, FALSE)</f>
        <v>Puskesmas Kecamatan;</v>
      </c>
      <c r="H122" s="35" t="b">
        <f>IF(Table1[[#This Row],[contoh_usaha]]=Table1[[#This Row],[versi 1]],TRUE,FALSE)</f>
        <v>1</v>
      </c>
      <c r="I122" s="35" t="s">
        <v>86</v>
      </c>
    </row>
    <row r="123" spans="1:9" ht="25.5" x14ac:dyDescent="0.25">
      <c r="A123" s="31">
        <v>86103</v>
      </c>
      <c r="B123" s="31" t="str">
        <f>VLOOKUP(Table1[[#This Row],[kbli5]],master!$A$2:$B$1560,2,FALSE)</f>
        <v>AKTIVITAS RUMAH SAKIT SWASTA</v>
      </c>
      <c r="C123" s="32" t="s">
        <v>1849</v>
      </c>
      <c r="D123" s="53"/>
      <c r="E123" s="35" t="s">
        <v>111</v>
      </c>
      <c r="F123" s="35"/>
      <c r="G123" s="38" t="str">
        <f>VLOOKUP(Table1[[#This Row],[kbli5]],data_versi1!$B$2:$D$101,3, FALSE)</f>
        <v>RS Swasta. RS Awal Bros; Eka Hospital; RS Anisa;</v>
      </c>
      <c r="H123" s="35" t="b">
        <f>IF(Table1[[#This Row],[contoh_usaha]]=Table1[[#This Row],[versi 1]],TRUE,FALSE)</f>
        <v>1</v>
      </c>
      <c r="I123" s="35" t="s">
        <v>86</v>
      </c>
    </row>
    <row r="124" spans="1:9" ht="25.5" x14ac:dyDescent="0.25">
      <c r="A124" s="31">
        <v>86105</v>
      </c>
      <c r="B124" s="31" t="str">
        <f>VLOOKUP(Table1[[#This Row],[kbli5]],master!$A$2:$B$1560,2,FALSE)</f>
        <v>AKTIVITAS KLINIK SWASTA</v>
      </c>
      <c r="C124" s="32" t="s">
        <v>1850</v>
      </c>
      <c r="D124" s="53"/>
      <c r="E124" s="35" t="s">
        <v>111</v>
      </c>
      <c r="F124" s="35"/>
      <c r="G124" s="38" t="str">
        <f>VLOOKUP(Table1[[#This Row],[kbli5]],data_versi1!$B$2:$D$101,3, FALSE)</f>
        <v>Klinik Swasta; Klinik Aisyiah; Klinik Siaga Medika;</v>
      </c>
      <c r="H124" s="35" t="b">
        <f>IF(Table1[[#This Row],[contoh_usaha]]=Table1[[#This Row],[versi 1]],TRUE,FALSE)</f>
        <v>1</v>
      </c>
      <c r="I124" s="35" t="s">
        <v>86</v>
      </c>
    </row>
    <row r="125" spans="1:9" x14ac:dyDescent="0.25">
      <c r="A125" s="31">
        <v>86201</v>
      </c>
      <c r="B125" s="31" t="str">
        <f>VLOOKUP(Table1[[#This Row],[kbli5]],master!$A$2:$B$1560,2,FALSE)</f>
        <v>AKTIVITAS PRAKTIK DOKTER</v>
      </c>
      <c r="C125" s="32" t="s">
        <v>1851</v>
      </c>
      <c r="D125" s="53"/>
      <c r="E125" s="35" t="s">
        <v>111</v>
      </c>
      <c r="F125" s="35"/>
      <c r="G125" s="38" t="str">
        <f>VLOOKUP(Table1[[#This Row],[kbli5]],data_versi1!$B$2:$D$101,3, FALSE)</f>
        <v xml:space="preserve">Praktik dokter umum; </v>
      </c>
      <c r="H125" s="35" t="b">
        <f>IF(Table1[[#This Row],[contoh_usaha]]=Table1[[#This Row],[versi 1]],TRUE,FALSE)</f>
        <v>1</v>
      </c>
      <c r="I125" s="35" t="s">
        <v>86</v>
      </c>
    </row>
    <row r="126" spans="1:9" ht="26.25" x14ac:dyDescent="0.25">
      <c r="A126" s="31">
        <v>86202</v>
      </c>
      <c r="B126" s="31" t="str">
        <f>VLOOKUP(Table1[[#This Row],[kbli5]],master!$A$2:$B$1560,2,FALSE)</f>
        <v>AKTIVITAS PRAKTIK DOKTER SPESIALIS</v>
      </c>
      <c r="C126" s="32" t="s">
        <v>115</v>
      </c>
      <c r="D126" s="53"/>
      <c r="E126" s="35" t="s">
        <v>111</v>
      </c>
      <c r="F126" s="35"/>
      <c r="G126" s="38" t="str">
        <f>VLOOKUP(Table1[[#This Row],[kbli5]],data_versi1!$B$2:$D$101,3, FALSE)</f>
        <v>praktik dokter Dasril Efendi Penyakit Dalam; Praktik Dokter Hotber Spesialis Anak;</v>
      </c>
      <c r="H126" s="35" t="b">
        <f>IF(Table1[[#This Row],[contoh_usaha]]=Table1[[#This Row],[versi 1]],TRUE,FALSE)</f>
        <v>1</v>
      </c>
      <c r="I126" s="35" t="s">
        <v>86</v>
      </c>
    </row>
    <row r="127" spans="1:9" x14ac:dyDescent="0.25">
      <c r="A127" s="29">
        <v>86992</v>
      </c>
      <c r="B127" s="31" t="str">
        <f>VLOOKUP(Table1[[#This Row],[kbli5]],master!$A$2:$B$1560,2,FALSE)</f>
        <v>AKTIVITAS PELAYANAN KESEHATAN TRADISIONAL</v>
      </c>
      <c r="C127" s="32" t="s">
        <v>1973</v>
      </c>
      <c r="D127" s="53"/>
      <c r="E127" s="35" t="s">
        <v>116</v>
      </c>
      <c r="F127" s="35"/>
      <c r="G127" s="38" t="str">
        <f>VLOOKUP(Table1[[#This Row],[kbli5]],data_versi1!$B$2:$D$101,3, FALSE)</f>
        <v>Urut sehat; bekam; shinse;</v>
      </c>
      <c r="H127" s="35" t="b">
        <f>IF(Table1[[#This Row],[contoh_usaha]]=Table1[[#This Row],[versi 1]],TRUE,FALSE)</f>
        <v>1</v>
      </c>
      <c r="I127" s="35" t="s">
        <v>86</v>
      </c>
    </row>
    <row r="128" spans="1:9" ht="26.25" x14ac:dyDescent="0.25">
      <c r="A128" s="31">
        <v>86993</v>
      </c>
      <c r="B128" s="31" t="str">
        <f>VLOOKUP(Table1[[#This Row],[kbli5]],master!$A$2:$B$1560,2,FALSE)</f>
        <v>AKTIVITAS PELAYANAN PENUNJANG KESEHATAN</v>
      </c>
      <c r="C128" s="32" t="s">
        <v>1852</v>
      </c>
      <c r="D128" s="53"/>
      <c r="E128" s="35" t="s">
        <v>111</v>
      </c>
      <c r="F128" s="35"/>
      <c r="G128" s="38" t="str">
        <f>VLOOKUP(Table1[[#This Row],[kbli5]],data_versi1!$B$2:$D$101,3, FALSE)</f>
        <v xml:space="preserve">Aktv Penunjang Kesehatan; Lab Prodia; Lab Pramitha; </v>
      </c>
      <c r="H128" s="35" t="b">
        <f>IF(Table1[[#This Row],[contoh_usaha]]=Table1[[#This Row],[versi 1]],TRUE,FALSE)</f>
        <v>1</v>
      </c>
      <c r="I128" s="35" t="s">
        <v>86</v>
      </c>
    </row>
    <row r="129" spans="1:9" x14ac:dyDescent="0.25">
      <c r="A129" s="31">
        <v>88903</v>
      </c>
      <c r="B129" s="31" t="str">
        <f>VLOOKUP(Table1[[#This Row],[kbli5]],master!$A$2:$B$1560,2,FALSE)</f>
        <v>AKTIVITAS SOSIAL PENGUMPULAN DANA KEISLAMAN</v>
      </c>
      <c r="C129" s="32" t="s">
        <v>1853</v>
      </c>
      <c r="D129" s="53"/>
      <c r="E129" s="35" t="s">
        <v>111</v>
      </c>
      <c r="F129" s="35"/>
      <c r="G129" s="38" t="str">
        <f>VLOOKUP(Table1[[#This Row],[kbli5]],data_versi1!$B$2:$D$101,3, FALSE)</f>
        <v>Baznaz;</v>
      </c>
      <c r="H129" s="35" t="b">
        <f>IF(Table1[[#This Row],[contoh_usaha]]=Table1[[#This Row],[versi 1]],TRUE,FALSE)</f>
        <v>1</v>
      </c>
      <c r="I129" s="35" t="s">
        <v>86</v>
      </c>
    </row>
    <row r="130" spans="1:9" ht="25.5" x14ac:dyDescent="0.25">
      <c r="A130" s="31">
        <v>88906</v>
      </c>
      <c r="B130" s="31" t="str">
        <f>VLOOKUP(Table1[[#This Row],[kbli5]],master!$A$2:$B$1560,2,FALSE)</f>
        <v>PENDIDIKAN KELOMPOK BERMAIN</v>
      </c>
      <c r="C130" s="32" t="s">
        <v>1854</v>
      </c>
      <c r="D130" s="53"/>
      <c r="E130" s="35" t="s">
        <v>111</v>
      </c>
      <c r="F130" s="35"/>
      <c r="G130" s="38" t="str">
        <f>VLOOKUP(Table1[[#This Row],[kbli5]],data_versi1!$B$2:$D$101,3, FALSE)</f>
        <v>KB (Belajar sambil bermain); playgroup; Alumna;</v>
      </c>
      <c r="H130" s="35" t="b">
        <f>IF(Table1[[#This Row],[contoh_usaha]]=Table1[[#This Row],[versi 1]],TRUE,FALSE)</f>
        <v>1</v>
      </c>
      <c r="I130" s="35" t="s">
        <v>86</v>
      </c>
    </row>
    <row r="131" spans="1:9" ht="25.5" x14ac:dyDescent="0.25">
      <c r="A131" s="31">
        <v>88907</v>
      </c>
      <c r="B131" s="31" t="str">
        <f>VLOOKUP(Table1[[#This Row],[kbli5]],master!$A$2:$B$1560,2,FALSE)</f>
        <v>PENDIDIKAN TAMAN PENITIPAN ANAK</v>
      </c>
      <c r="C131" s="32" t="s">
        <v>1855</v>
      </c>
      <c r="D131" s="53"/>
      <c r="E131" s="35" t="s">
        <v>111</v>
      </c>
      <c r="F131" s="35"/>
      <c r="G131" s="38" t="str">
        <f>VLOOKUP(Table1[[#This Row],[kbli5]],data_versi1!$B$2:$D$101,3, FALSE)</f>
        <v>TPA (penitipan dan pengasuhan anak); Daycare;</v>
      </c>
      <c r="H131" s="35" t="b">
        <f>IF(Table1[[#This Row],[contoh_usaha]]=Table1[[#This Row],[versi 1]],TRUE,FALSE)</f>
        <v>1</v>
      </c>
      <c r="I131" s="35" t="s">
        <v>86</v>
      </c>
    </row>
    <row r="132" spans="1:9" x14ac:dyDescent="0.25">
      <c r="A132" s="29">
        <v>90111</v>
      </c>
      <c r="B132" s="31" t="str">
        <f>VLOOKUP(Table1[[#This Row],[kbli5]],master!$A$2:$B$1560,2,FALSE)</f>
        <v>AKTIVITAS PENCIPTAAN KARYA SASTRA</v>
      </c>
      <c r="C132" s="32" t="s">
        <v>1974</v>
      </c>
      <c r="D132" s="53"/>
      <c r="E132" s="35" t="s">
        <v>116</v>
      </c>
      <c r="F132" s="35"/>
      <c r="G132" s="38" t="str">
        <f>VLOOKUP(Table1[[#This Row],[kbli5]],data_versi1!$B$2:$D$101,3, FALSE)</f>
        <v>Penyair; blogger independen;</v>
      </c>
      <c r="H132" s="35" t="b">
        <f>IF(Table1[[#This Row],[contoh_usaha]]=Table1[[#This Row],[versi 1]],TRUE,FALSE)</f>
        <v>1</v>
      </c>
      <c r="I132" s="35" t="s">
        <v>98</v>
      </c>
    </row>
    <row r="133" spans="1:9" x14ac:dyDescent="0.25">
      <c r="A133" s="29">
        <v>90112</v>
      </c>
      <c r="B133" s="31" t="str">
        <f>VLOOKUP(Table1[[#This Row],[kbli5]],master!$A$2:$B$1560,2,FALSE)</f>
        <v>AKTIVITAS PENCIPTAAN KOMPOSISI MUSIK</v>
      </c>
      <c r="C133" s="32" t="s">
        <v>1975</v>
      </c>
      <c r="D133" s="53"/>
      <c r="E133" s="35" t="s">
        <v>116</v>
      </c>
      <c r="F133" s="35"/>
      <c r="G133" s="38" t="str">
        <f>VLOOKUP(Table1[[#This Row],[kbli5]],data_versi1!$B$2:$D$101,3, FALSE)</f>
        <v>komposer musik; pencipta lagu; musisi;</v>
      </c>
      <c r="H133" s="35" t="b">
        <f>IF(Table1[[#This Row],[contoh_usaha]]=Table1[[#This Row],[versi 1]],TRUE,FALSE)</f>
        <v>1</v>
      </c>
      <c r="I133" s="35" t="s">
        <v>98</v>
      </c>
    </row>
    <row r="134" spans="1:9" ht="26.25" x14ac:dyDescent="0.25">
      <c r="A134" s="29">
        <v>90120</v>
      </c>
      <c r="B134" s="31" t="str">
        <f>VLOOKUP(Table1[[#This Row],[kbli5]],master!$A$2:$B$1560,2,FALSE)</f>
        <v>AKTIVITAS PENCIPTAAN KARYA SENI RUPA</v>
      </c>
      <c r="C134" s="32" t="s">
        <v>1976</v>
      </c>
      <c r="D134" s="53"/>
      <c r="E134" s="35" t="s">
        <v>116</v>
      </c>
      <c r="F134" s="35"/>
      <c r="G134" s="38" t="str">
        <f>VLOOKUP(Table1[[#This Row],[kbli5]],data_versi1!$B$2:$D$101,3, FALSE)</f>
        <v>pelukis; pematung; kartunis; pensketsa; karya seni digital;</v>
      </c>
      <c r="H134" s="35" t="b">
        <f>IF(Table1[[#This Row],[contoh_usaha]]=Table1[[#This Row],[versi 1]],TRUE,FALSE)</f>
        <v>1</v>
      </c>
      <c r="I134" s="35" t="s">
        <v>98</v>
      </c>
    </row>
    <row r="135" spans="1:9" ht="25.5" x14ac:dyDescent="0.25">
      <c r="A135" s="29">
        <v>90130</v>
      </c>
      <c r="B135" s="31" t="str">
        <f>VLOOKUP(Table1[[#This Row],[kbli5]],master!$A$2:$B$1560,2,FALSE)</f>
        <v>AKTIVITAS PENCIPTAAN KARYA SENI LAINNYA</v>
      </c>
      <c r="C135" s="32" t="s">
        <v>1977</v>
      </c>
      <c r="D135" s="53"/>
      <c r="E135" s="35" t="s">
        <v>116</v>
      </c>
      <c r="F135" s="35"/>
      <c r="G135" s="38" t="str">
        <f>VLOOKUP(Table1[[#This Row],[kbli5]],data_versi1!$B$2:$D$101,3, FALSE)</f>
        <v>fashion stylist; koreografer;</v>
      </c>
      <c r="H135" s="35" t="b">
        <f>IF(Table1[[#This Row],[contoh_usaha]]=Table1[[#This Row],[versi 1]],TRUE,FALSE)</f>
        <v>0</v>
      </c>
      <c r="I135" s="35" t="s">
        <v>98</v>
      </c>
    </row>
    <row r="136" spans="1:9" ht="89.25" x14ac:dyDescent="0.25">
      <c r="A136" s="34">
        <v>90200</v>
      </c>
      <c r="B136" s="36" t="str">
        <f>VLOOKUP(Table1[[#This Row],[kbli5]],master!$A$2:$B$1560,2,FALSE)</f>
        <v>AKTIVITAS SENI PERTUNJUKAN</v>
      </c>
      <c r="C136" s="33" t="s">
        <v>1978</v>
      </c>
      <c r="D136" s="53"/>
      <c r="E136" s="35" t="s">
        <v>116</v>
      </c>
      <c r="F136" s="35"/>
      <c r="G136" s="38" t="str">
        <f>VLOOKUP(Table1[[#This Row],[kbli5]],data_versi1!$B$2:$D$101,3, FALSE)</f>
        <v>sirkus; stand up comedian; band; orkestra; penari; musisi (orgen tunggal); teater; opera; foto model; influencer; konten creator; youtuber pembuat vlog/konten; wayang; musikalisasi puisi; affiliator (shopee/tiktok/lainnya);</v>
      </c>
      <c r="H136" s="35" t="b">
        <f>IF(Table1[[#This Row],[contoh_usaha]]=Table1[[#This Row],[versi 1]],TRUE,FALSE)</f>
        <v>0</v>
      </c>
      <c r="I136" s="35" t="s">
        <v>98</v>
      </c>
    </row>
    <row r="137" spans="1:9" x14ac:dyDescent="0.25">
      <c r="A137" s="29">
        <v>90391</v>
      </c>
      <c r="B137" s="31" t="str">
        <f>VLOOKUP(Table1[[#This Row],[kbli5]],master!$A$2:$B$1560,2,FALSE)</f>
        <v>PENYELENGGARAAN KEGIATAN KESENIAN DAN KEBUDAYAAN</v>
      </c>
      <c r="C137" s="32" t="s">
        <v>1979</v>
      </c>
      <c r="D137" s="53"/>
      <c r="E137" s="35" t="s">
        <v>116</v>
      </c>
      <c r="F137" s="35"/>
      <c r="G137" s="38" t="str">
        <f>VLOOKUP(Table1[[#This Row],[kbli5]],data_versi1!$B$2:$D$101,3, FALSE)</f>
        <v>vendor/promotor/EO kegiatan kesenian;</v>
      </c>
      <c r="H137" s="35" t="b">
        <f>IF(Table1[[#This Row],[contoh_usaha]]=Table1[[#This Row],[versi 1]],TRUE,FALSE)</f>
        <v>1</v>
      </c>
      <c r="I137" s="35" t="s">
        <v>98</v>
      </c>
    </row>
    <row r="138" spans="1:9" ht="39" x14ac:dyDescent="0.25">
      <c r="A138" s="29">
        <v>90399</v>
      </c>
      <c r="B138" s="31" t="str">
        <f>VLOOKUP(Table1[[#This Row],[kbli5]],master!$A$2:$B$1560,2,FALSE)</f>
        <v>AKTIVITAS PENUNJANG PENCIPTAAN KARYA SENI DAN SENI</v>
      </c>
      <c r="C138" s="32" t="s">
        <v>1980</v>
      </c>
      <c r="D138" s="53"/>
      <c r="E138" s="35" t="s">
        <v>116</v>
      </c>
      <c r="F138" s="35"/>
      <c r="G138" s="38" t="str">
        <f>VLOOKUP(Table1[[#This Row],[kbli5]],data_versi1!$B$2:$D$101,3, FALSE)</f>
        <v>sutradara &amp; produser seni pertunjukan; manager panggung; desainer panggung; penata suara; penata cahaya; penata layar;</v>
      </c>
      <c r="H138" s="35" t="b">
        <f>IF(Table1[[#This Row],[contoh_usaha]]=Table1[[#This Row],[versi 1]],TRUE,FALSE)</f>
        <v>1</v>
      </c>
      <c r="I138" s="35" t="s">
        <v>98</v>
      </c>
    </row>
    <row r="139" spans="1:9" ht="26.25" x14ac:dyDescent="0.25">
      <c r="A139" s="31">
        <v>91111</v>
      </c>
      <c r="B139" s="31" t="str">
        <f>VLOOKUP(Table1[[#This Row],[kbli5]],master!$A$2:$B$1560,2,FALSE)</f>
        <v>AKTIVITAS PERPUSTAKAAN PEMERINTAH</v>
      </c>
      <c r="C139" s="32" t="s">
        <v>1856</v>
      </c>
      <c r="D139" s="53"/>
      <c r="E139" s="35" t="s">
        <v>111</v>
      </c>
      <c r="F139" s="35"/>
      <c r="G139" s="38" t="str">
        <f>VLOOKUP(Table1[[#This Row],[kbli5]],data_versi1!$B$2:$D$101,3, FALSE)</f>
        <v>Perpustakaan Pemerintah; Perpustakaan Soeman HS;</v>
      </c>
      <c r="H139" s="35" t="b">
        <f>IF(Table1[[#This Row],[contoh_usaha]]=Table1[[#This Row],[versi 1]],TRUE,FALSE)</f>
        <v>1</v>
      </c>
      <c r="I139" s="35" t="s">
        <v>98</v>
      </c>
    </row>
    <row r="140" spans="1:9" x14ac:dyDescent="0.25">
      <c r="A140" s="31">
        <v>91211</v>
      </c>
      <c r="B140" s="31" t="str">
        <f>VLOOKUP(Table1[[#This Row],[kbli5]],master!$A$2:$B$1560,2,FALSE)</f>
        <v>MUSEUM YANG DIKELOLA PEMERINTAH</v>
      </c>
      <c r="C140" s="32" t="s">
        <v>1857</v>
      </c>
      <c r="D140" s="53"/>
      <c r="E140" s="35" t="s">
        <v>111</v>
      </c>
      <c r="F140" s="35"/>
      <c r="G140" s="38" t="str">
        <f>VLOOKUP(Table1[[#This Row],[kbli5]],data_versi1!$B$2:$D$101,3, FALSE)</f>
        <v>Museum Pemerintah; Istana Siak;</v>
      </c>
      <c r="H140" s="35" t="b">
        <f>IF(Table1[[#This Row],[contoh_usaha]]=Table1[[#This Row],[versi 1]],TRUE,FALSE)</f>
        <v>1</v>
      </c>
      <c r="I140" s="35" t="s">
        <v>98</v>
      </c>
    </row>
    <row r="141" spans="1:9" x14ac:dyDescent="0.25">
      <c r="A141" s="31">
        <v>91221</v>
      </c>
      <c r="B141" s="31" t="str">
        <f>VLOOKUP(Table1[[#This Row],[kbli5]],master!$A$2:$B$1560,2,FALSE)</f>
        <v>AKTIVITAS SITUS BERSEJARAH DAN MONUMEN YANG DIKELOLA</v>
      </c>
      <c r="C141" s="32" t="s">
        <v>1858</v>
      </c>
      <c r="D141" s="53"/>
      <c r="E141" s="35" t="s">
        <v>111</v>
      </c>
      <c r="F141" s="35"/>
      <c r="G141" s="38" t="str">
        <f>VLOOKUP(Table1[[#This Row],[kbli5]],data_versi1!$B$2:$D$101,3, FALSE)</f>
        <v>Situs Bersejarah; Candi Muara Takus;</v>
      </c>
      <c r="H141" s="35" t="b">
        <f>IF(Table1[[#This Row],[contoh_usaha]]=Table1[[#This Row],[versi 1]],TRUE,FALSE)</f>
        <v>1</v>
      </c>
      <c r="I141" s="35" t="s">
        <v>98</v>
      </c>
    </row>
    <row r="142" spans="1:9" ht="63.75" x14ac:dyDescent="0.25">
      <c r="A142" s="31">
        <v>94110</v>
      </c>
      <c r="B142" s="31" t="str">
        <f>VLOOKUP(Table1[[#This Row],[kbli5]],master!$A$2:$B$1560,2,FALSE)</f>
        <v>AKTIVITAS ORGANISASI BISNIS DAN PENGUSAHA</v>
      </c>
      <c r="C142" s="32" t="s">
        <v>1867</v>
      </c>
      <c r="D142" s="53"/>
      <c r="E142" s="35" t="s">
        <v>111</v>
      </c>
      <c r="F142" s="35"/>
      <c r="G142" s="38" t="e">
        <f>VLOOKUP(Table1[[#This Row],[kbli5]],data_versi1!$B$2:$D$101,3, FALSE)</f>
        <v>#N/A</v>
      </c>
      <c r="H142" s="35" t="e">
        <f>IF(Table1[[#This Row],[contoh_usaha]]=Table1[[#This Row],[versi 1]],TRUE,FALSE)</f>
        <v>#N/A</v>
      </c>
      <c r="I142" s="35" t="s">
        <v>109</v>
      </c>
    </row>
    <row r="143" spans="1:9" ht="51" x14ac:dyDescent="0.25">
      <c r="A143" s="31">
        <v>94121</v>
      </c>
      <c r="B143" s="31" t="str">
        <f>VLOOKUP(Table1[[#This Row],[kbli5]],master!$A$2:$B$1560,2,FALSE)</f>
        <v>AKTIVITAS ORGANISASI ILMU PENGETAHUAN SOSIAL DAN MASYARAKAT</v>
      </c>
      <c r="C143" s="32" t="s">
        <v>1868</v>
      </c>
      <c r="D143" s="53"/>
      <c r="E143" s="35" t="s">
        <v>111</v>
      </c>
      <c r="F143" s="35"/>
      <c r="G143" s="38" t="e">
        <f>VLOOKUP(Table1[[#This Row],[kbli5]],data_versi1!$B$2:$D$101,3, FALSE)</f>
        <v>#N/A</v>
      </c>
      <c r="H143" s="35" t="e">
        <f>IF(Table1[[#This Row],[contoh_usaha]]=Table1[[#This Row],[versi 1]],TRUE,FALSE)</f>
        <v>#N/A</v>
      </c>
      <c r="I143" s="35" t="s">
        <v>109</v>
      </c>
    </row>
    <row r="144" spans="1:9" ht="89.25" x14ac:dyDescent="0.25">
      <c r="A144" s="31">
        <v>94122</v>
      </c>
      <c r="B144" s="31" t="str">
        <f>VLOOKUP(Table1[[#This Row],[kbli5]],master!$A$2:$B$1560,2,FALSE)</f>
        <v>AKTIVITAS ORGANISASI ILMU PENGETAHUAN ALAM DAN TEKNOLOGI</v>
      </c>
      <c r="C144" s="32" t="s">
        <v>1869</v>
      </c>
      <c r="D144" s="53"/>
      <c r="E144" s="35" t="s">
        <v>111</v>
      </c>
      <c r="F144" s="35"/>
      <c r="G144" s="38" t="e">
        <f>VLOOKUP(Table1[[#This Row],[kbli5]],data_versi1!$B$2:$D$101,3, FALSE)</f>
        <v>#N/A</v>
      </c>
      <c r="H144" s="35" t="e">
        <f>IF(Table1[[#This Row],[contoh_usaha]]=Table1[[#This Row],[versi 1]],TRUE,FALSE)</f>
        <v>#N/A</v>
      </c>
      <c r="I144" s="35" t="s">
        <v>109</v>
      </c>
    </row>
    <row r="145" spans="1:9" ht="89.25" x14ac:dyDescent="0.25">
      <c r="A145" s="31">
        <v>94200</v>
      </c>
      <c r="B145" s="31" t="str">
        <f>VLOOKUP(Table1[[#This Row],[kbli5]],master!$A$2:$B$1560,2,FALSE)</f>
        <v>AKTIVITAS ORGANISASI BURUH</v>
      </c>
      <c r="C145" s="32" t="s">
        <v>1870</v>
      </c>
      <c r="D145" s="53"/>
      <c r="E145" s="35" t="s">
        <v>111</v>
      </c>
      <c r="F145" s="35"/>
      <c r="G145" s="38" t="e">
        <f>VLOOKUP(Table1[[#This Row],[kbli5]],data_versi1!$B$2:$D$101,3, FALSE)</f>
        <v>#N/A</v>
      </c>
      <c r="H145" s="35" t="e">
        <f>IF(Table1[[#This Row],[contoh_usaha]]=Table1[[#This Row],[versi 1]],TRUE,FALSE)</f>
        <v>#N/A</v>
      </c>
      <c r="I145" s="35" t="s">
        <v>109</v>
      </c>
    </row>
    <row r="146" spans="1:9" ht="63.75" x14ac:dyDescent="0.25">
      <c r="A146" s="31">
        <v>94910</v>
      </c>
      <c r="B146" s="31" t="str">
        <f>VLOOKUP(Table1[[#This Row],[kbli5]],master!$A$2:$B$1560,2,FALSE)</f>
        <v>AKTIVITAS ORGANISASI KEAGAMAAN</v>
      </c>
      <c r="C146" s="32" t="s">
        <v>1871</v>
      </c>
      <c r="D146" s="53"/>
      <c r="E146" s="35" t="s">
        <v>111</v>
      </c>
      <c r="F146" s="35"/>
      <c r="G146" s="38" t="e">
        <f>VLOOKUP(Table1[[#This Row],[kbli5]],data_versi1!$B$2:$D$101,3, FALSE)</f>
        <v>#N/A</v>
      </c>
      <c r="H146" s="35" t="e">
        <f>IF(Table1[[#This Row],[contoh_usaha]]=Table1[[#This Row],[versi 1]],TRUE,FALSE)</f>
        <v>#N/A</v>
      </c>
      <c r="I146" s="35" t="s">
        <v>109</v>
      </c>
    </row>
    <row r="147" spans="1:9" ht="38.25" x14ac:dyDescent="0.25">
      <c r="A147" s="31">
        <v>94920</v>
      </c>
      <c r="B147" s="31" t="str">
        <f>VLOOKUP(Table1[[#This Row],[kbli5]],master!$A$2:$B$1560,2,FALSE)</f>
        <v>AKTIVITAS ORGANISASI POLITIK</v>
      </c>
      <c r="C147" s="32" t="s">
        <v>1872</v>
      </c>
      <c r="D147" s="53"/>
      <c r="E147" s="35" t="s">
        <v>111</v>
      </c>
      <c r="F147" s="35"/>
      <c r="G147" s="38" t="e">
        <f>VLOOKUP(Table1[[#This Row],[kbli5]],data_versi1!$B$2:$D$101,3, FALSE)</f>
        <v>#N/A</v>
      </c>
      <c r="H147" s="35" t="e">
        <f>IF(Table1[[#This Row],[contoh_usaha]]=Table1[[#This Row],[versi 1]],TRUE,FALSE)</f>
        <v>#N/A</v>
      </c>
      <c r="I147" s="35" t="s">
        <v>109</v>
      </c>
    </row>
    <row r="148" spans="1:9" ht="76.5" x14ac:dyDescent="0.25">
      <c r="A148" s="29">
        <v>94990</v>
      </c>
      <c r="B148" s="31" t="str">
        <f>VLOOKUP(Table1[[#This Row],[kbli5]],master!$A$2:$B$1560,2,FALSE)</f>
        <v>AKTIVITAS ORGANISASI KEANGGOTAAN LAINNYA YTDL</v>
      </c>
      <c r="C148" s="32" t="s">
        <v>1997</v>
      </c>
      <c r="D148" s="53"/>
      <c r="E148" s="35" t="s">
        <v>116</v>
      </c>
      <c r="F148" s="35"/>
      <c r="G148" s="38" t="e">
        <f>VLOOKUP(Table1[[#This Row],[kbli5]],data_versi1!$B$2:$D$101,3, FALSE)</f>
        <v>#N/A</v>
      </c>
      <c r="H148" s="35" t="e">
        <f>IF(Table1[[#This Row],[contoh_usaha]]=Table1[[#This Row],[versi 1]],TRUE,FALSE)</f>
        <v>#N/A</v>
      </c>
      <c r="I148" s="35" t="s">
        <v>109</v>
      </c>
    </row>
    <row r="149" spans="1:9" ht="63.75" x14ac:dyDescent="0.25">
      <c r="A149" s="29">
        <v>95101</v>
      </c>
      <c r="B149" s="31" t="str">
        <f>VLOOKUP(Table1[[#This Row],[kbli5]],master!$A$2:$B$1560,2,FALSE)</f>
        <v>REPARASI DAN PEMELIHARAAN KOMPUTER DAN PERALATAN SEJENISNYA</v>
      </c>
      <c r="C149" s="32" t="s">
        <v>1998</v>
      </c>
      <c r="D149" s="53"/>
      <c r="E149" s="35" t="s">
        <v>116</v>
      </c>
      <c r="F149" s="35" t="s">
        <v>2092</v>
      </c>
      <c r="G149" s="38" t="e">
        <f>VLOOKUP(Table1[[#This Row],[kbli5]],data_versi1!$B$2:$D$101,3, FALSE)</f>
        <v>#N/A</v>
      </c>
      <c r="H149" s="35" t="e">
        <f>IF(Table1[[#This Row],[contoh_usaha]]=Table1[[#This Row],[versi 1]],TRUE,FALSE)</f>
        <v>#N/A</v>
      </c>
      <c r="I149" s="35" t="s">
        <v>109</v>
      </c>
    </row>
    <row r="150" spans="1:9" ht="63.75" x14ac:dyDescent="0.25">
      <c r="A150" s="29">
        <v>95102</v>
      </c>
      <c r="B150" s="31" t="str">
        <f>VLOOKUP(Table1[[#This Row],[kbli5]],master!$A$2:$B$1560,2,FALSE)</f>
        <v>REPARASI DAN PEMELIHARAAN PERALATAN KOMUNIKASI</v>
      </c>
      <c r="C150" s="32" t="s">
        <v>1999</v>
      </c>
      <c r="D150" s="53"/>
      <c r="E150" s="35" t="s">
        <v>116</v>
      </c>
      <c r="F150" s="35"/>
      <c r="G150" s="38" t="e">
        <f>VLOOKUP(Table1[[#This Row],[kbli5]],data_versi1!$B$2:$D$101,3, FALSE)</f>
        <v>#N/A</v>
      </c>
      <c r="H150" s="35" t="e">
        <f>IF(Table1[[#This Row],[contoh_usaha]]=Table1[[#This Row],[versi 1]],TRUE,FALSE)</f>
        <v>#N/A</v>
      </c>
      <c r="I150" s="35" t="s">
        <v>109</v>
      </c>
    </row>
    <row r="151" spans="1:9" ht="25.5" x14ac:dyDescent="0.25">
      <c r="A151" s="29">
        <v>95210</v>
      </c>
      <c r="B151" s="31" t="str">
        <f>VLOOKUP(Table1[[#This Row],[kbli5]],master!$A$2:$B$1560,2,FALSE)</f>
        <v>REPARASI DAN PEMELIHARAAN ALAT-ALAT ELEKTRONIK KONSUMEN</v>
      </c>
      <c r="C151" s="32" t="s">
        <v>2000</v>
      </c>
      <c r="D151" s="53"/>
      <c r="E151" s="35" t="s">
        <v>116</v>
      </c>
      <c r="F151" s="35"/>
      <c r="G151" s="38" t="e">
        <f>VLOOKUP(Table1[[#This Row],[kbli5]],data_versi1!$B$2:$D$101,3, FALSE)</f>
        <v>#N/A</v>
      </c>
      <c r="H151" s="35" t="e">
        <f>IF(Table1[[#This Row],[contoh_usaha]]=Table1[[#This Row],[versi 1]],TRUE,FALSE)</f>
        <v>#N/A</v>
      </c>
      <c r="I151" s="35" t="s">
        <v>109</v>
      </c>
    </row>
    <row r="152" spans="1:9" ht="51" x14ac:dyDescent="0.25">
      <c r="A152" s="29">
        <v>95220</v>
      </c>
      <c r="B152" s="31" t="str">
        <f>VLOOKUP(Table1[[#This Row],[kbli5]],master!$A$2:$B$1560,2,FALSE)</f>
        <v>REPARASI DAN PEMELIHARAAN PERALATAN RUMAH TANGGA DAN</v>
      </c>
      <c r="C152" s="32" t="s">
        <v>2001</v>
      </c>
      <c r="D152" s="53"/>
      <c r="E152" s="35" t="s">
        <v>116</v>
      </c>
      <c r="F152" s="35"/>
      <c r="G152" s="38" t="e">
        <f>VLOOKUP(Table1[[#This Row],[kbli5]],data_versi1!$B$2:$D$101,3, FALSE)</f>
        <v>#N/A</v>
      </c>
      <c r="H152" s="35" t="e">
        <f>IF(Table1[[#This Row],[contoh_usaha]]=Table1[[#This Row],[versi 1]],TRUE,FALSE)</f>
        <v>#N/A</v>
      </c>
      <c r="I152" s="35" t="s">
        <v>109</v>
      </c>
    </row>
    <row r="153" spans="1:9" ht="38.25" x14ac:dyDescent="0.25">
      <c r="A153" s="29">
        <v>95230</v>
      </c>
      <c r="B153" s="31" t="str">
        <f>VLOOKUP(Table1[[#This Row],[kbli5]],master!$A$2:$B$1560,2,FALSE)</f>
        <v>REPARASI DAN PEMELIHARAAN ALAS KAKI DAN BARANG DARI KULIT</v>
      </c>
      <c r="C153" s="32" t="s">
        <v>2002</v>
      </c>
      <c r="D153" s="53"/>
      <c r="E153" s="35" t="s">
        <v>116</v>
      </c>
      <c r="F153" s="35"/>
      <c r="G153" s="38" t="e">
        <f>VLOOKUP(Table1[[#This Row],[kbli5]],data_versi1!$B$2:$D$101,3, FALSE)</f>
        <v>#N/A</v>
      </c>
      <c r="H153" s="35" t="e">
        <f>IF(Table1[[#This Row],[contoh_usaha]]=Table1[[#This Row],[versi 1]],TRUE,FALSE)</f>
        <v>#N/A</v>
      </c>
      <c r="I153" s="35" t="s">
        <v>109</v>
      </c>
    </row>
    <row r="154" spans="1:9" x14ac:dyDescent="0.25">
      <c r="A154" s="29">
        <v>95240</v>
      </c>
      <c r="B154" s="31" t="str">
        <f>VLOOKUP(Table1[[#This Row],[kbli5]],master!$A$2:$B$1560,2,FALSE)</f>
        <v>REPARASI DAN PEMELIHARAAN FURNITUR DAN PERLENGKAPAN RUMAH</v>
      </c>
      <c r="C154" s="32" t="s">
        <v>2003</v>
      </c>
      <c r="D154" s="53"/>
      <c r="E154" s="35" t="s">
        <v>116</v>
      </c>
      <c r="F154" s="35"/>
      <c r="G154" s="38" t="e">
        <f>VLOOKUP(Table1[[#This Row],[kbli5]],data_versi1!$B$2:$D$101,3, FALSE)</f>
        <v>#N/A</v>
      </c>
      <c r="H154" s="35" t="e">
        <f>IF(Table1[[#This Row],[contoh_usaha]]=Table1[[#This Row],[versi 1]],TRUE,FALSE)</f>
        <v>#N/A</v>
      </c>
      <c r="I154" s="35" t="s">
        <v>109</v>
      </c>
    </row>
    <row r="155" spans="1:9" ht="25.5" x14ac:dyDescent="0.25">
      <c r="A155" s="29">
        <v>95291</v>
      </c>
      <c r="B155" s="31" t="str">
        <f>VLOOKUP(Table1[[#This Row],[kbli5]],master!$A$2:$B$1560,2,FALSE)</f>
        <v>AKTIVITAS VERMAK PAKAIAN</v>
      </c>
      <c r="C155" s="32" t="s">
        <v>2004</v>
      </c>
      <c r="D155" s="53"/>
      <c r="E155" s="35" t="s">
        <v>116</v>
      </c>
      <c r="F155" s="35"/>
      <c r="G155" s="38" t="e">
        <f>VLOOKUP(Table1[[#This Row],[kbli5]],data_versi1!$B$2:$D$101,3, FALSE)</f>
        <v>#N/A</v>
      </c>
      <c r="H155" s="35" t="e">
        <f>IF(Table1[[#This Row],[contoh_usaha]]=Table1[[#This Row],[versi 1]],TRUE,FALSE)</f>
        <v>#N/A</v>
      </c>
      <c r="I155" s="35" t="s">
        <v>109</v>
      </c>
    </row>
    <row r="156" spans="1:9" ht="38.25" x14ac:dyDescent="0.25">
      <c r="A156" s="29">
        <v>95311</v>
      </c>
      <c r="B156" s="31" t="str">
        <f>VLOOKUP(Table1[[#This Row],[kbli5]],master!$A$2:$B$1560,2,FALSE)</f>
        <v>REPARASI MOBIL</v>
      </c>
      <c r="C156" s="32" t="s">
        <v>2005</v>
      </c>
      <c r="D156" s="53"/>
      <c r="E156" s="35" t="s">
        <v>116</v>
      </c>
      <c r="F156" s="35"/>
      <c r="G156" s="38" t="e">
        <f>VLOOKUP(Table1[[#This Row],[kbli5]],data_versi1!$B$2:$D$101,3, FALSE)</f>
        <v>#N/A</v>
      </c>
      <c r="H156" s="35" t="e">
        <f>IF(Table1[[#This Row],[contoh_usaha]]=Table1[[#This Row],[versi 1]],TRUE,FALSE)</f>
        <v>#N/A</v>
      </c>
      <c r="I156" s="35" t="s">
        <v>109</v>
      </c>
    </row>
    <row r="157" spans="1:9" ht="25.5" x14ac:dyDescent="0.25">
      <c r="A157" s="29">
        <v>95312</v>
      </c>
      <c r="B157" s="31" t="str">
        <f>VLOOKUP(Table1[[#This Row],[kbli5]],master!$A$2:$B$1560,2,FALSE)</f>
        <v>PENCUCIAN DAN SALON MOBIL</v>
      </c>
      <c r="C157" s="32" t="s">
        <v>2006</v>
      </c>
      <c r="D157" s="53"/>
      <c r="E157" s="35" t="s">
        <v>116</v>
      </c>
      <c r="F157" s="35"/>
      <c r="G157" s="38" t="e">
        <f>VLOOKUP(Table1[[#This Row],[kbli5]],data_versi1!$B$2:$D$101,3, FALSE)</f>
        <v>#N/A</v>
      </c>
      <c r="H157" s="35" t="e">
        <f>IF(Table1[[#This Row],[contoh_usaha]]=Table1[[#This Row],[versi 1]],TRUE,FALSE)</f>
        <v>#N/A</v>
      </c>
      <c r="I157" s="35" t="s">
        <v>109</v>
      </c>
    </row>
    <row r="158" spans="1:9" ht="38.25" x14ac:dyDescent="0.25">
      <c r="A158" s="29">
        <v>95320</v>
      </c>
      <c r="B158" s="31" t="str">
        <f>VLOOKUP(Table1[[#This Row],[kbli5]],master!$A$2:$B$1560,2,FALSE)</f>
        <v>REPARASI DAN PERAWATAN SEPEDA MOTOR</v>
      </c>
      <c r="C158" s="32" t="s">
        <v>2007</v>
      </c>
      <c r="D158" s="53"/>
      <c r="E158" s="35" t="s">
        <v>116</v>
      </c>
      <c r="F158" s="35"/>
      <c r="G158" s="38" t="e">
        <f>VLOOKUP(Table1[[#This Row],[kbli5]],data_versi1!$B$2:$D$101,3, FALSE)</f>
        <v>#N/A</v>
      </c>
      <c r="H158" s="35" t="e">
        <f>IF(Table1[[#This Row],[contoh_usaha]]=Table1[[#This Row],[versi 1]],TRUE,FALSE)</f>
        <v>#N/A</v>
      </c>
      <c r="I158" s="35" t="s">
        <v>109</v>
      </c>
    </row>
    <row r="159" spans="1:9" ht="51" x14ac:dyDescent="0.25">
      <c r="A159" s="29">
        <v>96100</v>
      </c>
      <c r="B159" s="31" t="str">
        <f>VLOOKUP(Table1[[#This Row],[kbli5]],master!$A$2:$B$1560,2,FALSE)</f>
        <v>AKTIVITAS PENCUCIAN DAN PEMBERSIHAN PRODUK TEKSTIL DAN BULU</v>
      </c>
      <c r="C159" s="32" t="s">
        <v>2008</v>
      </c>
      <c r="D159" s="53"/>
      <c r="E159" s="35" t="s">
        <v>116</v>
      </c>
      <c r="F159" s="35"/>
      <c r="G159" s="38" t="e">
        <f>VLOOKUP(Table1[[#This Row],[kbli5]],data_versi1!$B$2:$D$101,3, FALSE)</f>
        <v>#N/A</v>
      </c>
      <c r="H159" s="35" t="e">
        <f>IF(Table1[[#This Row],[contoh_usaha]]=Table1[[#This Row],[versi 1]],TRUE,FALSE)</f>
        <v>#N/A</v>
      </c>
      <c r="I159" s="35" t="s">
        <v>109</v>
      </c>
    </row>
    <row r="160" spans="1:9" ht="51" x14ac:dyDescent="0.25">
      <c r="A160" s="29">
        <v>96210</v>
      </c>
      <c r="B160" s="31" t="str">
        <f>VLOOKUP(Table1[[#This Row],[kbli5]],master!$A$2:$B$1560,2,FALSE)</f>
        <v>AKTIVITAS PENATAAN DAN PANGKAS RAMBUT</v>
      </c>
      <c r="C160" s="32" t="s">
        <v>2009</v>
      </c>
      <c r="D160" s="53"/>
      <c r="E160" s="35" t="s">
        <v>116</v>
      </c>
      <c r="F160" s="35"/>
      <c r="G160" s="38" t="e">
        <f>VLOOKUP(Table1[[#This Row],[kbli5]],data_versi1!$B$2:$D$101,3, FALSE)</f>
        <v>#N/A</v>
      </c>
      <c r="H160" s="35" t="e">
        <f>IF(Table1[[#This Row],[contoh_usaha]]=Table1[[#This Row],[versi 1]],TRUE,FALSE)</f>
        <v>#N/A</v>
      </c>
      <c r="I160" s="35" t="s">
        <v>109</v>
      </c>
    </row>
    <row r="161" spans="1:9" ht="51" x14ac:dyDescent="0.25">
      <c r="A161" s="29">
        <v>96220</v>
      </c>
      <c r="B161" s="31" t="str">
        <f>VLOOKUP(Table1[[#This Row],[kbli5]],master!$A$2:$B$1560,2,FALSE)</f>
        <v>AKTIVITAS PERAWATAN KECANTIKAN DAN PERAWATAN KECANTIKAN</v>
      </c>
      <c r="C161" s="32" t="s">
        <v>2010</v>
      </c>
      <c r="D161" s="53"/>
      <c r="E161" s="35" t="s">
        <v>116</v>
      </c>
      <c r="F161" s="35"/>
      <c r="G161" s="38" t="e">
        <f>VLOOKUP(Table1[[#This Row],[kbli5]],data_versi1!$B$2:$D$101,3, FALSE)</f>
        <v>#N/A</v>
      </c>
      <c r="H161" s="35" t="e">
        <f>IF(Table1[[#This Row],[contoh_usaha]]=Table1[[#This Row],[versi 1]],TRUE,FALSE)</f>
        <v>#N/A</v>
      </c>
      <c r="I161" s="35" t="s">
        <v>109</v>
      </c>
    </row>
    <row r="162" spans="1:9" ht="25.5" x14ac:dyDescent="0.25">
      <c r="A162" s="29">
        <v>96230</v>
      </c>
      <c r="B162" s="31" t="str">
        <f>VLOOKUP(Table1[[#This Row],[kbli5]],master!$A$2:$B$1560,2,FALSE)</f>
        <v>AKTIVITAS SANTE PAR AQUA (SPA) HARIAN, SAUNA, DAN PEMANDIAN</v>
      </c>
      <c r="C162" s="32" t="s">
        <v>2011</v>
      </c>
      <c r="D162" s="53"/>
      <c r="E162" s="35" t="s">
        <v>116</v>
      </c>
      <c r="F162" s="35"/>
      <c r="G162" s="38" t="e">
        <f>VLOOKUP(Table1[[#This Row],[kbli5]],data_versi1!$B$2:$D$101,3, FALSE)</f>
        <v>#N/A</v>
      </c>
      <c r="H162" s="35" t="e">
        <f>IF(Table1[[#This Row],[contoh_usaha]]=Table1[[#This Row],[versi 1]],TRUE,FALSE)</f>
        <v>#N/A</v>
      </c>
      <c r="I162" s="35" t="s">
        <v>109</v>
      </c>
    </row>
    <row r="163" spans="1:9" ht="51" x14ac:dyDescent="0.25">
      <c r="A163" s="31">
        <v>96300</v>
      </c>
      <c r="B163" s="31" t="str">
        <f>VLOOKUP(Table1[[#This Row],[kbli5]],master!$A$2:$B$1560,2,FALSE)</f>
        <v>AKTIVITAS PEMAKAMAN DAN KEGIATAN TERKAIT</v>
      </c>
      <c r="C163" s="32" t="s">
        <v>1873</v>
      </c>
      <c r="D163" s="53"/>
      <c r="E163" s="35" t="s">
        <v>111</v>
      </c>
      <c r="F163" s="35"/>
      <c r="G163" s="38" t="e">
        <f>VLOOKUP(Table1[[#This Row],[kbli5]],data_versi1!$B$2:$D$101,3, FALSE)</f>
        <v>#N/A</v>
      </c>
      <c r="H163" s="35" t="e">
        <f>IF(Table1[[#This Row],[contoh_usaha]]=Table1[[#This Row],[versi 1]],TRUE,FALSE)</f>
        <v>#N/A</v>
      </c>
      <c r="I163" s="35" t="s">
        <v>109</v>
      </c>
    </row>
    <row r="164" spans="1:9" ht="89.25" x14ac:dyDescent="0.25">
      <c r="A164" s="29">
        <v>96900</v>
      </c>
      <c r="B164" s="31" t="str">
        <f>VLOOKUP(Table1[[#This Row],[kbli5]],master!$A$2:$B$1560,2,FALSE)</f>
        <v>AKTIVITAS JASA PERORANGAN LAINNYA YTDL</v>
      </c>
      <c r="C164" s="32" t="s">
        <v>2012</v>
      </c>
      <c r="D164" s="53"/>
      <c r="E164" s="35" t="s">
        <v>116</v>
      </c>
      <c r="F164" s="35"/>
      <c r="G164" s="38" t="e">
        <f>VLOOKUP(Table1[[#This Row],[kbli5]],data_versi1!$B$2:$D$101,3, FALSE)</f>
        <v>#N/A</v>
      </c>
      <c r="H164" s="35" t="e">
        <f>IF(Table1[[#This Row],[contoh_usaha]]=Table1[[#This Row],[versi 1]],TRUE,FALSE)</f>
        <v>#N/A</v>
      </c>
      <c r="I164" s="35" t="s">
        <v>109</v>
      </c>
    </row>
    <row r="165" spans="1:9" ht="114.75" x14ac:dyDescent="0.25">
      <c r="A165" s="31">
        <v>99000</v>
      </c>
      <c r="B165" s="31" t="str">
        <f>VLOOKUP(Table1[[#This Row],[kbli5]],master!$A$2:$B$1560,2,FALSE)</f>
        <v>AKTIVITAS BADAN INTERNASIONAL DAN BADAN EKSTRA</v>
      </c>
      <c r="C165" s="32" t="s">
        <v>1874</v>
      </c>
      <c r="D165" s="53"/>
      <c r="E165" s="35" t="s">
        <v>111</v>
      </c>
      <c r="F165" s="35"/>
      <c r="G165" s="38" t="e">
        <f>VLOOKUP(Table1[[#This Row],[kbli5]],data_versi1!$B$2:$D$101,3, FALSE)</f>
        <v>#N/A</v>
      </c>
      <c r="H165" s="35" t="e">
        <f>IF(Table1[[#This Row],[contoh_usaha]]=Table1[[#This Row],[versi 1]],TRUE,FALSE)</f>
        <v>#N/A</v>
      </c>
      <c r="I165" s="35" t="s">
        <v>1732</v>
      </c>
    </row>
    <row r="166" spans="1:9" x14ac:dyDescent="0.25">
      <c r="A166" s="21"/>
      <c r="B166" s="21"/>
    </row>
    <row r="167" spans="1:9" x14ac:dyDescent="0.25">
      <c r="A167" s="21"/>
      <c r="B167" s="21"/>
    </row>
    <row r="168" spans="1:9" x14ac:dyDescent="0.25">
      <c r="A168" s="21"/>
      <c r="B168" s="21"/>
    </row>
    <row r="169" spans="1:9" x14ac:dyDescent="0.25">
      <c r="A169" s="21"/>
      <c r="B169" s="21"/>
    </row>
    <row r="170" spans="1:9" x14ac:dyDescent="0.25">
      <c r="A170" s="21"/>
      <c r="B170" s="21"/>
    </row>
    <row r="171" spans="1:9" x14ac:dyDescent="0.25">
      <c r="A171" s="21"/>
      <c r="B171" s="21"/>
    </row>
    <row r="172" spans="1:9" x14ac:dyDescent="0.25">
      <c r="A172" s="21"/>
      <c r="B172" s="21"/>
    </row>
    <row r="173" spans="1:9" x14ac:dyDescent="0.25">
      <c r="A173" s="22"/>
      <c r="B173" s="22"/>
    </row>
    <row r="174" spans="1:9" x14ac:dyDescent="0.25">
      <c r="A174" s="22"/>
      <c r="B174" s="22"/>
    </row>
    <row r="175" spans="1:9" x14ac:dyDescent="0.25">
      <c r="A175" s="22"/>
      <c r="B175" s="22"/>
    </row>
    <row r="176" spans="1:9" x14ac:dyDescent="0.25">
      <c r="A176" s="22"/>
      <c r="B176" s="22"/>
    </row>
    <row r="177" spans="1:2" x14ac:dyDescent="0.25">
      <c r="A177" s="22"/>
      <c r="B177" s="22"/>
    </row>
    <row r="178" spans="1:2" x14ac:dyDescent="0.25">
      <c r="A178" s="22"/>
      <c r="B178" s="22"/>
    </row>
    <row r="179" spans="1:2" x14ac:dyDescent="0.25">
      <c r="A179" s="22"/>
      <c r="B179" s="22"/>
    </row>
    <row r="180" spans="1:2" x14ac:dyDescent="0.25">
      <c r="A180" s="21"/>
      <c r="B180" s="22"/>
    </row>
    <row r="181" spans="1:2" x14ac:dyDescent="0.25">
      <c r="A181" s="21"/>
      <c r="B181" s="22"/>
    </row>
    <row r="182" spans="1:2" x14ac:dyDescent="0.25">
      <c r="A182" s="21"/>
      <c r="B182" s="22"/>
    </row>
    <row r="183" spans="1:2" x14ac:dyDescent="0.25">
      <c r="A183" s="21"/>
      <c r="B183" s="22"/>
    </row>
    <row r="184" spans="1:2" x14ac:dyDescent="0.25">
      <c r="A184" s="22"/>
      <c r="B184" s="22"/>
    </row>
    <row r="185" spans="1:2" x14ac:dyDescent="0.25">
      <c r="A185" s="22"/>
      <c r="B185" s="22"/>
    </row>
    <row r="186" spans="1:2" x14ac:dyDescent="0.25">
      <c r="A186" s="22"/>
      <c r="B186" s="22"/>
    </row>
    <row r="187" spans="1:2" x14ac:dyDescent="0.25">
      <c r="A187" s="22"/>
      <c r="B187" s="22"/>
    </row>
    <row r="188" spans="1:2" x14ac:dyDescent="0.25">
      <c r="A188" s="22"/>
      <c r="B188" s="22"/>
    </row>
    <row r="189" spans="1:2" x14ac:dyDescent="0.25">
      <c r="A189" s="22"/>
      <c r="B189" s="22"/>
    </row>
    <row r="190" spans="1:2" x14ac:dyDescent="0.25">
      <c r="A190" s="22"/>
      <c r="B190" s="22"/>
    </row>
    <row r="191" spans="1:2" x14ac:dyDescent="0.25">
      <c r="A191" s="22"/>
      <c r="B191" s="22"/>
    </row>
    <row r="192" spans="1:2" x14ac:dyDescent="0.25">
      <c r="A192" s="22"/>
      <c r="B192" s="22"/>
    </row>
    <row r="193" spans="1:2" x14ac:dyDescent="0.25">
      <c r="A193" s="22"/>
      <c r="B193" s="22"/>
    </row>
    <row r="194" spans="1:2" x14ac:dyDescent="0.25">
      <c r="A194" s="22"/>
      <c r="B194" s="22"/>
    </row>
    <row r="195" spans="1:2" x14ac:dyDescent="0.25">
      <c r="A195" s="22"/>
      <c r="B195" s="22"/>
    </row>
    <row r="196" spans="1:2" x14ac:dyDescent="0.25">
      <c r="A196" s="22"/>
      <c r="B196" s="22"/>
    </row>
    <row r="197" spans="1:2" x14ac:dyDescent="0.25">
      <c r="A197" s="22"/>
      <c r="B197" s="22"/>
    </row>
    <row r="198" spans="1:2" x14ac:dyDescent="0.25">
      <c r="A198" s="22"/>
      <c r="B198" s="22"/>
    </row>
    <row r="199" spans="1:2" x14ac:dyDescent="0.25">
      <c r="A199" s="22"/>
      <c r="B199" s="22"/>
    </row>
    <row r="200" spans="1:2" x14ac:dyDescent="0.25">
      <c r="A200" s="22"/>
      <c r="B200" s="22"/>
    </row>
    <row r="201" spans="1:2" x14ac:dyDescent="0.25">
      <c r="A201" s="22"/>
      <c r="B201" s="22"/>
    </row>
    <row r="202" spans="1:2" x14ac:dyDescent="0.25">
      <c r="A202" s="22"/>
      <c r="B202" s="22"/>
    </row>
    <row r="203" spans="1:2" x14ac:dyDescent="0.25">
      <c r="A203" s="22"/>
      <c r="B203" s="22"/>
    </row>
    <row r="204" spans="1:2" x14ac:dyDescent="0.25">
      <c r="A204" s="22"/>
      <c r="B204" s="22"/>
    </row>
    <row r="205" spans="1:2" x14ac:dyDescent="0.25">
      <c r="A205" s="22"/>
      <c r="B205" s="22"/>
    </row>
    <row r="206" spans="1:2" x14ac:dyDescent="0.25">
      <c r="A206" s="22"/>
      <c r="B206" s="22"/>
    </row>
    <row r="207" spans="1:2" x14ac:dyDescent="0.25">
      <c r="A207" s="22"/>
      <c r="B207" s="22"/>
    </row>
    <row r="208" spans="1:2" x14ac:dyDescent="0.25">
      <c r="A208" s="22"/>
      <c r="B208" s="22"/>
    </row>
    <row r="209" spans="1:2" x14ac:dyDescent="0.25">
      <c r="A209" s="22"/>
      <c r="B209" s="22"/>
    </row>
    <row r="210" spans="1:2" x14ac:dyDescent="0.25">
      <c r="A210" s="22"/>
      <c r="B210" s="22"/>
    </row>
    <row r="211" spans="1:2" x14ac:dyDescent="0.25">
      <c r="A211" s="22"/>
      <c r="B211" s="22"/>
    </row>
    <row r="212" spans="1:2" x14ac:dyDescent="0.25">
      <c r="A212" s="22"/>
      <c r="B212" s="22"/>
    </row>
    <row r="213" spans="1:2" x14ac:dyDescent="0.25">
      <c r="A213" s="22"/>
      <c r="B213" s="22"/>
    </row>
    <row r="214" spans="1:2" x14ac:dyDescent="0.25">
      <c r="A214" s="22"/>
      <c r="B214" s="22"/>
    </row>
    <row r="215" spans="1:2" x14ac:dyDescent="0.25">
      <c r="A215" s="22"/>
      <c r="B215" s="22"/>
    </row>
    <row r="216" spans="1:2" x14ac:dyDescent="0.25">
      <c r="A216" s="22"/>
      <c r="B216" s="22"/>
    </row>
    <row r="217" spans="1:2" x14ac:dyDescent="0.25">
      <c r="A217" s="22"/>
      <c r="B217" s="22"/>
    </row>
    <row r="218" spans="1:2" x14ac:dyDescent="0.25">
      <c r="A218" s="22"/>
      <c r="B218" s="22"/>
    </row>
    <row r="219" spans="1:2" x14ac:dyDescent="0.25">
      <c r="A219" s="22"/>
      <c r="B219" s="22"/>
    </row>
    <row r="220" spans="1:2" x14ac:dyDescent="0.25">
      <c r="A220" s="22"/>
      <c r="B220" s="22"/>
    </row>
    <row r="221" spans="1:2" x14ac:dyDescent="0.25">
      <c r="A221" s="22"/>
      <c r="B221" s="22"/>
    </row>
    <row r="222" spans="1:2" x14ac:dyDescent="0.25">
      <c r="A222" s="22"/>
      <c r="B222" s="22"/>
    </row>
    <row r="223" spans="1:2" x14ac:dyDescent="0.25">
      <c r="A223" s="22"/>
      <c r="B223" s="22"/>
    </row>
    <row r="224" spans="1:2" x14ac:dyDescent="0.25">
      <c r="A224" s="22"/>
      <c r="B224" s="22"/>
    </row>
    <row r="225" spans="1:2" x14ac:dyDescent="0.25">
      <c r="A225" s="22"/>
      <c r="B225" s="22"/>
    </row>
    <row r="226" spans="1:2" x14ac:dyDescent="0.25">
      <c r="A226" s="22"/>
      <c r="B226" s="22"/>
    </row>
    <row r="227" spans="1:2" x14ac:dyDescent="0.25">
      <c r="A227" s="22"/>
      <c r="B227" s="22"/>
    </row>
    <row r="229" spans="1:2" x14ac:dyDescent="0.25">
      <c r="A229" s="22"/>
      <c r="B229" s="22"/>
    </row>
    <row r="230" spans="1:2" x14ac:dyDescent="0.25">
      <c r="A230" s="22"/>
      <c r="B230" s="22"/>
    </row>
    <row r="231" spans="1:2" x14ac:dyDescent="0.25">
      <c r="A231" s="22"/>
      <c r="B231" s="22"/>
    </row>
    <row r="232" spans="1:2" x14ac:dyDescent="0.25">
      <c r="A232" s="22"/>
      <c r="B232" s="22"/>
    </row>
    <row r="233" spans="1:2" x14ac:dyDescent="0.25">
      <c r="A233" s="22"/>
      <c r="B233" s="22"/>
    </row>
    <row r="234" spans="1:2" x14ac:dyDescent="0.25">
      <c r="A234" s="22"/>
      <c r="B234" s="22"/>
    </row>
    <row r="235" spans="1:2" x14ac:dyDescent="0.25">
      <c r="A235" s="22"/>
      <c r="B235" s="22"/>
    </row>
    <row r="237" spans="1:2" x14ac:dyDescent="0.25">
      <c r="A237" s="21"/>
      <c r="B237" s="22"/>
    </row>
    <row r="238" spans="1:2" x14ac:dyDescent="0.25">
      <c r="A238" s="21"/>
      <c r="B238" s="22"/>
    </row>
    <row r="239" spans="1:2" x14ac:dyDescent="0.25">
      <c r="A239" s="21"/>
      <c r="B239" s="22"/>
    </row>
    <row r="240" spans="1:2" x14ac:dyDescent="0.25">
      <c r="A240" s="21"/>
      <c r="B240" s="22"/>
    </row>
    <row r="241" spans="1:2" x14ac:dyDescent="0.25">
      <c r="A241" s="21"/>
      <c r="B241" s="22"/>
    </row>
    <row r="242" spans="1:2" x14ac:dyDescent="0.25">
      <c r="A242" s="21"/>
      <c r="B242" s="22"/>
    </row>
    <row r="243" spans="1:2" x14ac:dyDescent="0.25">
      <c r="A243" s="21"/>
      <c r="B243" s="22"/>
    </row>
    <row r="244" spans="1:2" x14ac:dyDescent="0.25">
      <c r="A244" s="21"/>
      <c r="B244" s="22"/>
    </row>
    <row r="245" spans="1:2" x14ac:dyDescent="0.25">
      <c r="A245" s="21"/>
      <c r="B245" s="22"/>
    </row>
    <row r="246" spans="1:2" x14ac:dyDescent="0.25">
      <c r="A246" s="21"/>
      <c r="B246" s="22"/>
    </row>
    <row r="247" spans="1:2" x14ac:dyDescent="0.25">
      <c r="A247" s="21"/>
      <c r="B247" s="22"/>
    </row>
    <row r="248" spans="1:2" x14ac:dyDescent="0.25">
      <c r="A248" s="21"/>
      <c r="B248" s="22"/>
    </row>
    <row r="249" spans="1:2" x14ac:dyDescent="0.25">
      <c r="A249" s="21"/>
      <c r="B249" s="22"/>
    </row>
    <row r="250" spans="1:2" x14ac:dyDescent="0.25">
      <c r="A250" s="21"/>
      <c r="B250" s="22"/>
    </row>
    <row r="251" spans="1:2" x14ac:dyDescent="0.25">
      <c r="A251" s="21"/>
      <c r="B251" s="22"/>
    </row>
    <row r="252" spans="1:2" x14ac:dyDescent="0.25">
      <c r="A252" s="21"/>
      <c r="B252" s="22"/>
    </row>
    <row r="253" spans="1:2" x14ac:dyDescent="0.25">
      <c r="A253" s="21"/>
      <c r="B253" s="22"/>
    </row>
    <row r="254" spans="1:2" x14ac:dyDescent="0.25">
      <c r="A254" s="21"/>
      <c r="B254" s="22"/>
    </row>
    <row r="255" spans="1:2" x14ac:dyDescent="0.25">
      <c r="A255" s="21"/>
      <c r="B255" s="22"/>
    </row>
    <row r="256" spans="1:2" x14ac:dyDescent="0.25">
      <c r="A256" s="21"/>
      <c r="B256" s="22"/>
    </row>
    <row r="257" spans="1:2" x14ac:dyDescent="0.25">
      <c r="A257" s="21"/>
      <c r="B257" s="22"/>
    </row>
    <row r="258" spans="1:2" x14ac:dyDescent="0.25">
      <c r="A258" s="21"/>
      <c r="B258" s="22"/>
    </row>
    <row r="259" spans="1:2" x14ac:dyDescent="0.25">
      <c r="A259" s="21"/>
      <c r="B259" s="22"/>
    </row>
    <row r="260" spans="1:2" x14ac:dyDescent="0.25">
      <c r="A260" s="21"/>
      <c r="B260" s="22"/>
    </row>
    <row r="261" spans="1:2" x14ac:dyDescent="0.25">
      <c r="A261" s="21"/>
      <c r="B261" s="22"/>
    </row>
    <row r="262" spans="1:2" x14ac:dyDescent="0.25">
      <c r="A262" s="21"/>
      <c r="B262" s="22"/>
    </row>
    <row r="263" spans="1:2" x14ac:dyDescent="0.25">
      <c r="A263" s="21"/>
      <c r="B263" s="22"/>
    </row>
    <row r="264" spans="1:2" x14ac:dyDescent="0.25">
      <c r="A264" s="21"/>
      <c r="B264" s="22"/>
    </row>
    <row r="265" spans="1:2" x14ac:dyDescent="0.25">
      <c r="A265" s="21"/>
      <c r="B265" s="22"/>
    </row>
    <row r="266" spans="1:2" x14ac:dyDescent="0.25">
      <c r="A266" s="21"/>
      <c r="B266" s="22"/>
    </row>
    <row r="267" spans="1:2" x14ac:dyDescent="0.25">
      <c r="A267" s="21"/>
      <c r="B267" s="22"/>
    </row>
    <row r="268" spans="1:2" x14ac:dyDescent="0.25">
      <c r="A268" s="21"/>
      <c r="B268" s="22"/>
    </row>
    <row r="269" spans="1:2" x14ac:dyDescent="0.25">
      <c r="A269" s="21"/>
      <c r="B269" s="22"/>
    </row>
    <row r="270" spans="1:2" x14ac:dyDescent="0.25">
      <c r="A270" s="21"/>
      <c r="B270" s="22"/>
    </row>
    <row r="271" spans="1:2" x14ac:dyDescent="0.25">
      <c r="A271" s="21"/>
      <c r="B271" s="22"/>
    </row>
    <row r="272" spans="1:2" x14ac:dyDescent="0.25">
      <c r="A272" s="21"/>
      <c r="B272" s="22"/>
    </row>
    <row r="273" spans="1:2" x14ac:dyDescent="0.25">
      <c r="A273" s="21"/>
      <c r="B273" s="22"/>
    </row>
    <row r="274" spans="1:2" x14ac:dyDescent="0.25">
      <c r="A274" s="21"/>
      <c r="B274" s="22"/>
    </row>
    <row r="275" spans="1:2" x14ac:dyDescent="0.25">
      <c r="A275" s="21"/>
      <c r="B275" s="22"/>
    </row>
    <row r="276" spans="1:2" x14ac:dyDescent="0.25">
      <c r="A276" s="21"/>
      <c r="B276" s="22"/>
    </row>
    <row r="277" spans="1:2" x14ac:dyDescent="0.25">
      <c r="A277" s="21"/>
      <c r="B277" s="22"/>
    </row>
    <row r="278" spans="1:2" x14ac:dyDescent="0.25">
      <c r="A278" s="21"/>
      <c r="B278" s="22"/>
    </row>
    <row r="279" spans="1:2" x14ac:dyDescent="0.25">
      <c r="A279" s="21"/>
      <c r="B279" s="22"/>
    </row>
    <row r="280" spans="1:2" x14ac:dyDescent="0.25">
      <c r="A280" s="21"/>
      <c r="B280" s="22"/>
    </row>
    <row r="281" spans="1:2" x14ac:dyDescent="0.25">
      <c r="A281" s="21"/>
      <c r="B281" s="22"/>
    </row>
    <row r="282" spans="1:2" x14ac:dyDescent="0.25">
      <c r="A282" s="21"/>
      <c r="B282" s="22"/>
    </row>
    <row r="283" spans="1:2" x14ac:dyDescent="0.25">
      <c r="A283" s="21"/>
      <c r="B283" s="22"/>
    </row>
    <row r="284" spans="1:2" x14ac:dyDescent="0.25">
      <c r="A284" s="21"/>
      <c r="B284" s="22"/>
    </row>
    <row r="285" spans="1:2" x14ac:dyDescent="0.25">
      <c r="A285" s="21"/>
      <c r="B285" s="22"/>
    </row>
    <row r="286" spans="1:2" x14ac:dyDescent="0.25">
      <c r="A286" s="21"/>
      <c r="B286" s="22"/>
    </row>
    <row r="287" spans="1:2" x14ac:dyDescent="0.25">
      <c r="A287" s="21"/>
      <c r="B287" s="22"/>
    </row>
    <row r="288" spans="1:2" x14ac:dyDescent="0.25">
      <c r="A288" s="21"/>
      <c r="B288" s="22"/>
    </row>
    <row r="289" spans="1:2" x14ac:dyDescent="0.25">
      <c r="A289" s="21"/>
      <c r="B289" s="22"/>
    </row>
    <row r="291" spans="1:2" x14ac:dyDescent="0.25">
      <c r="A291" s="21"/>
      <c r="B291" s="22"/>
    </row>
    <row r="292" spans="1:2" x14ac:dyDescent="0.25">
      <c r="A292" s="21"/>
      <c r="B292" s="22"/>
    </row>
    <row r="293" spans="1:2" x14ac:dyDescent="0.25">
      <c r="A293" s="21"/>
      <c r="B293" s="22"/>
    </row>
    <row r="294" spans="1:2" x14ac:dyDescent="0.25">
      <c r="A294" s="21"/>
      <c r="B294" s="22"/>
    </row>
    <row r="295" spans="1:2" x14ac:dyDescent="0.25">
      <c r="A295" s="21"/>
      <c r="B295" s="22"/>
    </row>
    <row r="296" spans="1:2" x14ac:dyDescent="0.25">
      <c r="A296" s="21"/>
      <c r="B296" s="22"/>
    </row>
    <row r="297" spans="1:2" x14ac:dyDescent="0.25">
      <c r="A297" s="21"/>
      <c r="B297" s="22"/>
    </row>
    <row r="298" spans="1:2" x14ac:dyDescent="0.25">
      <c r="A298" s="21"/>
      <c r="B298" s="22"/>
    </row>
    <row r="299" spans="1:2" x14ac:dyDescent="0.25">
      <c r="A299" s="21"/>
      <c r="B299" s="22"/>
    </row>
    <row r="300" spans="1:2" x14ac:dyDescent="0.25">
      <c r="A300" s="21"/>
      <c r="B300" s="22"/>
    </row>
    <row r="301" spans="1:2" x14ac:dyDescent="0.25">
      <c r="A301" s="21"/>
      <c r="B301" s="22"/>
    </row>
    <row r="302" spans="1:2" x14ac:dyDescent="0.25">
      <c r="A302" s="21"/>
      <c r="B302" s="22"/>
    </row>
    <row r="303" spans="1:2" x14ac:dyDescent="0.25">
      <c r="A303" s="21"/>
      <c r="B303" s="22"/>
    </row>
    <row r="304" spans="1:2" x14ac:dyDescent="0.25">
      <c r="A304" s="21"/>
      <c r="B304" s="22"/>
    </row>
    <row r="305" spans="1:2" x14ac:dyDescent="0.25">
      <c r="A305" s="21"/>
      <c r="B305" s="22"/>
    </row>
    <row r="307" spans="1:2" x14ac:dyDescent="0.25">
      <c r="A307" s="21"/>
      <c r="B307" s="22"/>
    </row>
    <row r="308" spans="1:2" x14ac:dyDescent="0.25">
      <c r="A308" s="21"/>
      <c r="B308" s="22"/>
    </row>
    <row r="309" spans="1:2" x14ac:dyDescent="0.25">
      <c r="A309" s="21"/>
      <c r="B309" s="22"/>
    </row>
    <row r="310" spans="1:2" x14ac:dyDescent="0.25">
      <c r="A310" s="21"/>
      <c r="B310" s="22"/>
    </row>
    <row r="311" spans="1:2" x14ac:dyDescent="0.25">
      <c r="A311" s="21"/>
      <c r="B311" s="22"/>
    </row>
    <row r="312" spans="1:2" x14ac:dyDescent="0.25">
      <c r="A312" s="21"/>
      <c r="B312" s="22"/>
    </row>
    <row r="313" spans="1:2" x14ac:dyDescent="0.25">
      <c r="A313" s="21"/>
      <c r="B313" s="22"/>
    </row>
    <row r="314" spans="1:2" x14ac:dyDescent="0.25">
      <c r="A314" s="21"/>
      <c r="B314" s="22"/>
    </row>
    <row r="315" spans="1:2" x14ac:dyDescent="0.25">
      <c r="A315" s="21"/>
      <c r="B315" s="22"/>
    </row>
    <row r="316" spans="1:2" x14ac:dyDescent="0.25">
      <c r="A316" s="21"/>
      <c r="B316" s="22"/>
    </row>
    <row r="317" spans="1:2" x14ac:dyDescent="0.25">
      <c r="A317" s="21"/>
      <c r="B317" s="22"/>
    </row>
    <row r="318" spans="1:2" x14ac:dyDescent="0.25">
      <c r="A318" s="21"/>
      <c r="B318" s="22"/>
    </row>
    <row r="319" spans="1:2" x14ac:dyDescent="0.25">
      <c r="A319" s="21"/>
      <c r="B319" s="22"/>
    </row>
    <row r="320" spans="1:2" x14ac:dyDescent="0.25">
      <c r="A320" s="21"/>
      <c r="B320" s="22"/>
    </row>
    <row r="321" spans="1:2" x14ac:dyDescent="0.25">
      <c r="A321" s="21"/>
      <c r="B321" s="22"/>
    </row>
    <row r="322" spans="1:2" x14ac:dyDescent="0.25">
      <c r="A322" s="21"/>
      <c r="B322" s="22"/>
    </row>
    <row r="323" spans="1:2" x14ac:dyDescent="0.25">
      <c r="A323" s="21"/>
      <c r="B323" s="22"/>
    </row>
    <row r="324" spans="1:2" x14ac:dyDescent="0.25">
      <c r="A324" s="21"/>
      <c r="B324" s="22"/>
    </row>
    <row r="325" spans="1:2" x14ac:dyDescent="0.25">
      <c r="A325" s="21"/>
      <c r="B325" s="22"/>
    </row>
    <row r="326" spans="1:2" x14ac:dyDescent="0.25">
      <c r="A326" s="21"/>
      <c r="B326" s="22"/>
    </row>
    <row r="327" spans="1:2" x14ac:dyDescent="0.25">
      <c r="A327" s="21"/>
      <c r="B327" s="22"/>
    </row>
    <row r="328" spans="1:2" x14ac:dyDescent="0.25">
      <c r="A328" s="22"/>
      <c r="B328" s="22"/>
    </row>
    <row r="329" spans="1:2" x14ac:dyDescent="0.25">
      <c r="A329" s="23"/>
      <c r="B329" s="23"/>
    </row>
    <row r="330" spans="1:2" x14ac:dyDescent="0.25">
      <c r="A330" s="22"/>
    </row>
    <row r="331" spans="1:2" x14ac:dyDescent="0.25">
      <c r="A331" s="23"/>
    </row>
    <row r="332" spans="1:2" x14ac:dyDescent="0.25">
      <c r="A332" s="22"/>
    </row>
    <row r="333" spans="1:2" x14ac:dyDescent="0.25">
      <c r="A333" s="23"/>
    </row>
    <row r="334" spans="1:2" x14ac:dyDescent="0.25">
      <c r="A334" s="22"/>
    </row>
    <row r="335" spans="1:2" x14ac:dyDescent="0.25">
      <c r="A335" s="23"/>
    </row>
    <row r="336" spans="1:2" x14ac:dyDescent="0.25">
      <c r="A336" s="22"/>
    </row>
    <row r="337" spans="1:1" x14ac:dyDescent="0.25">
      <c r="A337" s="23"/>
    </row>
    <row r="338" spans="1:1" x14ac:dyDescent="0.25">
      <c r="A338" s="22"/>
    </row>
    <row r="339" spans="1:1" x14ac:dyDescent="0.25">
      <c r="A339" s="23"/>
    </row>
    <row r="340" spans="1:1" x14ac:dyDescent="0.25">
      <c r="A340" s="22"/>
    </row>
    <row r="341" spans="1:1" x14ac:dyDescent="0.25">
      <c r="A341" s="23"/>
    </row>
    <row r="342" spans="1:1" x14ac:dyDescent="0.25">
      <c r="A342" s="22"/>
    </row>
    <row r="343" spans="1:1" x14ac:dyDescent="0.25">
      <c r="A343" s="23"/>
    </row>
    <row r="344" spans="1:1" x14ac:dyDescent="0.25">
      <c r="A344" s="22"/>
    </row>
    <row r="345" spans="1:1" x14ac:dyDescent="0.25">
      <c r="A345" s="23"/>
    </row>
    <row r="346" spans="1:1" x14ac:dyDescent="0.25">
      <c r="A346" s="22"/>
    </row>
    <row r="347" spans="1:1" x14ac:dyDescent="0.25">
      <c r="A347" s="23"/>
    </row>
    <row r="348" spans="1:1" x14ac:dyDescent="0.25">
      <c r="A348" s="22"/>
    </row>
    <row r="349" spans="1:1" x14ac:dyDescent="0.25">
      <c r="A349" s="23"/>
    </row>
    <row r="350" spans="1:1" x14ac:dyDescent="0.25">
      <c r="A350" s="22"/>
    </row>
    <row r="351" spans="1:1" x14ac:dyDescent="0.25">
      <c r="A351" s="23"/>
    </row>
    <row r="352" spans="1:1" x14ac:dyDescent="0.25">
      <c r="A352" s="22"/>
    </row>
    <row r="353" spans="1:1" x14ac:dyDescent="0.25">
      <c r="A353" s="23"/>
    </row>
    <row r="354" spans="1:1" x14ac:dyDescent="0.25">
      <c r="A354" s="22"/>
    </row>
    <row r="355" spans="1:1" x14ac:dyDescent="0.25">
      <c r="A355" s="23"/>
    </row>
    <row r="356" spans="1:1" x14ac:dyDescent="0.25">
      <c r="A356" s="22"/>
    </row>
    <row r="357" spans="1:1" x14ac:dyDescent="0.25">
      <c r="A357" s="23"/>
    </row>
    <row r="358" spans="1:1" x14ac:dyDescent="0.25">
      <c r="A358" s="22"/>
    </row>
    <row r="359" spans="1:1" x14ac:dyDescent="0.25">
      <c r="A359" s="23"/>
    </row>
    <row r="360" spans="1:1" x14ac:dyDescent="0.25">
      <c r="A360" s="22"/>
    </row>
    <row r="361" spans="1:1" x14ac:dyDescent="0.25">
      <c r="A361" s="23"/>
    </row>
    <row r="362" spans="1:1" x14ac:dyDescent="0.25">
      <c r="A362" s="22"/>
    </row>
    <row r="363" spans="1:1" x14ac:dyDescent="0.25">
      <c r="A363" s="23"/>
    </row>
    <row r="364" spans="1:1" x14ac:dyDescent="0.25">
      <c r="A364" s="22"/>
    </row>
    <row r="365" spans="1:1" x14ac:dyDescent="0.25">
      <c r="A365" s="23"/>
    </row>
    <row r="366" spans="1:1" x14ac:dyDescent="0.25">
      <c r="A366" s="22"/>
    </row>
    <row r="367" spans="1:1" x14ac:dyDescent="0.25">
      <c r="A367" s="23"/>
    </row>
    <row r="368" spans="1:1" x14ac:dyDescent="0.25">
      <c r="A368" s="22"/>
    </row>
    <row r="369" spans="1:1" x14ac:dyDescent="0.25">
      <c r="A369" s="23"/>
    </row>
    <row r="370" spans="1:1" x14ac:dyDescent="0.25">
      <c r="A370" s="22"/>
    </row>
    <row r="371" spans="1:1" x14ac:dyDescent="0.25">
      <c r="A371" s="23"/>
    </row>
    <row r="372" spans="1:1" x14ac:dyDescent="0.25">
      <c r="A372" s="22"/>
    </row>
    <row r="373" spans="1:1" x14ac:dyDescent="0.25">
      <c r="A373" s="23"/>
    </row>
  </sheetData>
  <sortState ref="A1:C327">
    <sortCondition ref="A1"/>
  </sortState>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73"/>
  <sheetViews>
    <sheetView topLeftCell="A306" workbookViewId="0">
      <selection activeCell="B317" sqref="B317"/>
    </sheetView>
  </sheetViews>
  <sheetFormatPr defaultRowHeight="15" x14ac:dyDescent="0.25"/>
  <cols>
    <col min="2" max="2" width="47.85546875" style="18" customWidth="1"/>
  </cols>
  <sheetData>
    <row r="1" spans="1:3" ht="36" x14ac:dyDescent="0.25">
      <c r="A1" s="20" t="s">
        <v>1734</v>
      </c>
      <c r="B1" s="20" t="s">
        <v>1798</v>
      </c>
      <c r="C1" t="s">
        <v>111</v>
      </c>
    </row>
    <row r="2" spans="1:3" x14ac:dyDescent="0.25">
      <c r="A2" s="21"/>
      <c r="B2" s="21"/>
    </row>
    <row r="3" spans="1:3" ht="24" x14ac:dyDescent="0.25">
      <c r="A3" s="20" t="s">
        <v>1735</v>
      </c>
      <c r="B3" s="20" t="s">
        <v>1799</v>
      </c>
      <c r="C3" t="s">
        <v>111</v>
      </c>
    </row>
    <row r="4" spans="1:3" x14ac:dyDescent="0.25">
      <c r="A4" s="21"/>
      <c r="B4" s="21"/>
    </row>
    <row r="5" spans="1:3" ht="36" x14ac:dyDescent="0.25">
      <c r="A5" s="20" t="s">
        <v>1736</v>
      </c>
      <c r="B5" s="20" t="s">
        <v>1800</v>
      </c>
      <c r="C5" t="s">
        <v>111</v>
      </c>
    </row>
    <row r="6" spans="1:3" x14ac:dyDescent="0.25">
      <c r="A6" s="21"/>
      <c r="B6" s="21"/>
    </row>
    <row r="7" spans="1:3" ht="48" x14ac:dyDescent="0.25">
      <c r="A7" s="20" t="s">
        <v>1737</v>
      </c>
      <c r="B7" s="20" t="s">
        <v>1801</v>
      </c>
      <c r="C7" t="s">
        <v>111</v>
      </c>
    </row>
    <row r="8" spans="1:3" x14ac:dyDescent="0.25">
      <c r="A8" s="21"/>
      <c r="B8" s="21"/>
    </row>
    <row r="9" spans="1:3" ht="48" x14ac:dyDescent="0.25">
      <c r="A9" s="20" t="s">
        <v>1738</v>
      </c>
      <c r="B9" s="20" t="s">
        <v>1802</v>
      </c>
      <c r="C9" t="s">
        <v>111</v>
      </c>
    </row>
    <row r="10" spans="1:3" x14ac:dyDescent="0.25">
      <c r="A10" s="21"/>
      <c r="B10" s="21"/>
    </row>
    <row r="11" spans="1:3" ht="24" x14ac:dyDescent="0.25">
      <c r="A11" s="20" t="s">
        <v>1739</v>
      </c>
      <c r="B11" s="20" t="s">
        <v>1803</v>
      </c>
      <c r="C11" t="s">
        <v>111</v>
      </c>
    </row>
    <row r="12" spans="1:3" x14ac:dyDescent="0.25">
      <c r="A12" s="21"/>
      <c r="B12" s="21"/>
    </row>
    <row r="13" spans="1:3" ht="24" x14ac:dyDescent="0.25">
      <c r="A13" s="20" t="s">
        <v>1740</v>
      </c>
      <c r="B13" s="20" t="s">
        <v>1804</v>
      </c>
      <c r="C13" t="s">
        <v>111</v>
      </c>
    </row>
    <row r="14" spans="1:3" x14ac:dyDescent="0.25">
      <c r="A14" s="21"/>
      <c r="B14" s="21"/>
    </row>
    <row r="15" spans="1:3" ht="36" x14ac:dyDescent="0.25">
      <c r="A15" s="20" t="s">
        <v>1741</v>
      </c>
      <c r="B15" s="20" t="s">
        <v>1805</v>
      </c>
      <c r="C15" t="s">
        <v>111</v>
      </c>
    </row>
    <row r="16" spans="1:3" x14ac:dyDescent="0.25">
      <c r="A16" s="21"/>
      <c r="B16" s="21"/>
    </row>
    <row r="17" spans="1:3" ht="36" x14ac:dyDescent="0.25">
      <c r="A17" s="20" t="s">
        <v>1742</v>
      </c>
      <c r="B17" s="20" t="s">
        <v>1806</v>
      </c>
      <c r="C17" t="s">
        <v>111</v>
      </c>
    </row>
    <row r="18" spans="1:3" x14ac:dyDescent="0.25">
      <c r="A18" s="22"/>
      <c r="B18" s="22"/>
    </row>
    <row r="19" spans="1:3" x14ac:dyDescent="0.25">
      <c r="A19" s="23" t="s">
        <v>1743</v>
      </c>
      <c r="B19" s="23" t="s">
        <v>1807</v>
      </c>
      <c r="C19" t="s">
        <v>111</v>
      </c>
    </row>
    <row r="20" spans="1:3" x14ac:dyDescent="0.25">
      <c r="A20" s="22"/>
      <c r="B20" s="22"/>
    </row>
    <row r="21" spans="1:3" x14ac:dyDescent="0.25">
      <c r="A21" s="23" t="s">
        <v>1744</v>
      </c>
      <c r="B21" s="23" t="s">
        <v>1808</v>
      </c>
      <c r="C21" t="s">
        <v>111</v>
      </c>
    </row>
    <row r="22" spans="1:3" x14ac:dyDescent="0.25">
      <c r="A22" s="22"/>
      <c r="B22" s="22"/>
    </row>
    <row r="23" spans="1:3" x14ac:dyDescent="0.25">
      <c r="A23" s="23" t="s">
        <v>1745</v>
      </c>
      <c r="B23" s="23" t="s">
        <v>1809</v>
      </c>
      <c r="C23" t="s">
        <v>111</v>
      </c>
    </row>
    <row r="24" spans="1:3" x14ac:dyDescent="0.25">
      <c r="A24" s="22"/>
      <c r="B24" s="22"/>
    </row>
    <row r="25" spans="1:3" x14ac:dyDescent="0.25">
      <c r="A25" s="23" t="s">
        <v>1746</v>
      </c>
      <c r="B25" s="23" t="s">
        <v>1810</v>
      </c>
      <c r="C25" t="s">
        <v>111</v>
      </c>
    </row>
    <row r="26" spans="1:3" x14ac:dyDescent="0.25">
      <c r="A26" s="22"/>
      <c r="B26" s="22"/>
    </row>
    <row r="27" spans="1:3" x14ac:dyDescent="0.25">
      <c r="A27" s="23" t="s">
        <v>1747</v>
      </c>
      <c r="B27" s="23" t="s">
        <v>1811</v>
      </c>
      <c r="C27" t="s">
        <v>111</v>
      </c>
    </row>
    <row r="28" spans="1:3" x14ac:dyDescent="0.25">
      <c r="A28" s="22"/>
      <c r="B28" s="22"/>
    </row>
    <row r="29" spans="1:3" x14ac:dyDescent="0.25">
      <c r="A29" s="23" t="s">
        <v>1748</v>
      </c>
      <c r="B29" s="23" t="s">
        <v>1812</v>
      </c>
      <c r="C29" t="s">
        <v>111</v>
      </c>
    </row>
    <row r="30" spans="1:3" x14ac:dyDescent="0.25">
      <c r="A30" s="22"/>
      <c r="B30" s="22"/>
    </row>
    <row r="31" spans="1:3" x14ac:dyDescent="0.25">
      <c r="A31" s="23" t="s">
        <v>1749</v>
      </c>
      <c r="B31" s="23" t="s">
        <v>1813</v>
      </c>
      <c r="C31" t="s">
        <v>111</v>
      </c>
    </row>
    <row r="32" spans="1:3" x14ac:dyDescent="0.25">
      <c r="A32" s="21"/>
      <c r="B32" s="22"/>
    </row>
    <row r="33" spans="1:3" ht="24" x14ac:dyDescent="0.25">
      <c r="A33" s="20" t="s">
        <v>1750</v>
      </c>
      <c r="B33" s="23" t="s">
        <v>1814</v>
      </c>
      <c r="C33" t="s">
        <v>111</v>
      </c>
    </row>
    <row r="34" spans="1:3" x14ac:dyDescent="0.25">
      <c r="A34" s="21"/>
      <c r="B34" s="22"/>
    </row>
    <row r="35" spans="1:3" ht="24" x14ac:dyDescent="0.25">
      <c r="A35" s="20" t="s">
        <v>1751</v>
      </c>
      <c r="B35" s="23" t="s">
        <v>1815</v>
      </c>
      <c r="C35" t="s">
        <v>111</v>
      </c>
    </row>
    <row r="36" spans="1:3" x14ac:dyDescent="0.25">
      <c r="A36" s="21"/>
      <c r="B36" s="22"/>
    </row>
    <row r="37" spans="1:3" ht="24" x14ac:dyDescent="0.25">
      <c r="A37" s="20" t="s">
        <v>1752</v>
      </c>
      <c r="B37" s="23" t="s">
        <v>1816</v>
      </c>
      <c r="C37" t="s">
        <v>111</v>
      </c>
    </row>
    <row r="38" spans="1:3" x14ac:dyDescent="0.25">
      <c r="A38" s="21"/>
      <c r="B38" s="22"/>
    </row>
    <row r="39" spans="1:3" ht="24" x14ac:dyDescent="0.25">
      <c r="A39" s="20" t="s">
        <v>1753</v>
      </c>
      <c r="B39" s="23" t="s">
        <v>1817</v>
      </c>
      <c r="C39" t="s">
        <v>111</v>
      </c>
    </row>
    <row r="40" spans="1:3" x14ac:dyDescent="0.25">
      <c r="A40" s="22"/>
      <c r="B40" s="22"/>
    </row>
    <row r="41" spans="1:3" x14ac:dyDescent="0.25">
      <c r="A41" s="23" t="s">
        <v>1754</v>
      </c>
      <c r="B41" s="23" t="s">
        <v>1818</v>
      </c>
      <c r="C41" t="s">
        <v>111</v>
      </c>
    </row>
    <row r="42" spans="1:3" x14ac:dyDescent="0.25">
      <c r="A42" s="22"/>
      <c r="B42" s="22"/>
    </row>
    <row r="43" spans="1:3" x14ac:dyDescent="0.25">
      <c r="A43" s="23" t="s">
        <v>1755</v>
      </c>
      <c r="B43" s="23" t="s">
        <v>1819</v>
      </c>
      <c r="C43" t="s">
        <v>111</v>
      </c>
    </row>
    <row r="44" spans="1:3" x14ac:dyDescent="0.25">
      <c r="A44" s="22"/>
      <c r="B44" s="22"/>
    </row>
    <row r="45" spans="1:3" x14ac:dyDescent="0.25">
      <c r="A45" s="23" t="s">
        <v>1756</v>
      </c>
      <c r="B45" s="23" t="s">
        <v>1820</v>
      </c>
      <c r="C45" t="s">
        <v>111</v>
      </c>
    </row>
    <row r="46" spans="1:3" x14ac:dyDescent="0.25">
      <c r="A46" s="22"/>
      <c r="B46" s="22"/>
    </row>
    <row r="47" spans="1:3" x14ac:dyDescent="0.25">
      <c r="A47" s="23" t="s">
        <v>1757</v>
      </c>
      <c r="B47" s="23" t="s">
        <v>1821</v>
      </c>
      <c r="C47" t="s">
        <v>111</v>
      </c>
    </row>
    <row r="48" spans="1:3" x14ac:dyDescent="0.25">
      <c r="A48" s="22"/>
      <c r="B48" s="22"/>
    </row>
    <row r="49" spans="1:3" x14ac:dyDescent="0.25">
      <c r="A49" s="23" t="s">
        <v>1758</v>
      </c>
      <c r="B49" s="23" t="s">
        <v>1822</v>
      </c>
      <c r="C49" t="s">
        <v>111</v>
      </c>
    </row>
    <row r="50" spans="1:3" x14ac:dyDescent="0.25">
      <c r="A50" s="22"/>
      <c r="B50" s="22"/>
    </row>
    <row r="51" spans="1:3" x14ac:dyDescent="0.25">
      <c r="A51" s="23" t="s">
        <v>1759</v>
      </c>
      <c r="B51" s="23" t="s">
        <v>1823</v>
      </c>
      <c r="C51" t="s">
        <v>111</v>
      </c>
    </row>
    <row r="52" spans="1:3" x14ac:dyDescent="0.25">
      <c r="A52" s="22"/>
      <c r="B52" s="22"/>
    </row>
    <row r="53" spans="1:3" x14ac:dyDescent="0.25">
      <c r="A53" s="23" t="s">
        <v>1760</v>
      </c>
      <c r="B53" s="23" t="s">
        <v>1824</v>
      </c>
      <c r="C53" t="s">
        <v>111</v>
      </c>
    </row>
    <row r="54" spans="1:3" x14ac:dyDescent="0.25">
      <c r="A54" s="22"/>
      <c r="B54" s="22"/>
    </row>
    <row r="55" spans="1:3" x14ac:dyDescent="0.25">
      <c r="A55" s="23" t="s">
        <v>1761</v>
      </c>
      <c r="B55" s="23" t="s">
        <v>1825</v>
      </c>
      <c r="C55" t="s">
        <v>111</v>
      </c>
    </row>
    <row r="56" spans="1:3" x14ac:dyDescent="0.25">
      <c r="A56" s="22"/>
      <c r="B56" s="22"/>
    </row>
    <row r="57" spans="1:3" x14ac:dyDescent="0.25">
      <c r="A57" s="23" t="s">
        <v>1762</v>
      </c>
      <c r="B57" s="23" t="s">
        <v>112</v>
      </c>
      <c r="C57" t="s">
        <v>111</v>
      </c>
    </row>
    <row r="58" spans="1:3" x14ac:dyDescent="0.25">
      <c r="A58" s="22"/>
      <c r="B58" s="22"/>
    </row>
    <row r="59" spans="1:3" x14ac:dyDescent="0.25">
      <c r="A59" s="23" t="s">
        <v>1763</v>
      </c>
      <c r="B59" s="23" t="s">
        <v>1826</v>
      </c>
      <c r="C59" t="s">
        <v>111</v>
      </c>
    </row>
    <row r="60" spans="1:3" x14ac:dyDescent="0.25">
      <c r="A60" s="22"/>
      <c r="B60" s="22"/>
    </row>
    <row r="61" spans="1:3" x14ac:dyDescent="0.25">
      <c r="A61" s="23" t="s">
        <v>1764</v>
      </c>
      <c r="B61" s="23" t="s">
        <v>1827</v>
      </c>
      <c r="C61" t="s">
        <v>111</v>
      </c>
    </row>
    <row r="62" spans="1:3" x14ac:dyDescent="0.25">
      <c r="A62" s="22"/>
      <c r="B62" s="22"/>
    </row>
    <row r="63" spans="1:3" x14ac:dyDescent="0.25">
      <c r="A63" s="23" t="s">
        <v>1765</v>
      </c>
      <c r="B63" s="23" t="s">
        <v>1828</v>
      </c>
      <c r="C63" t="s">
        <v>111</v>
      </c>
    </row>
    <row r="64" spans="1:3" x14ac:dyDescent="0.25">
      <c r="A64" s="22"/>
      <c r="B64" s="22"/>
    </row>
    <row r="65" spans="1:3" x14ac:dyDescent="0.25">
      <c r="A65" s="23" t="s">
        <v>1766</v>
      </c>
      <c r="B65" s="23" t="s">
        <v>1829</v>
      </c>
      <c r="C65" t="s">
        <v>111</v>
      </c>
    </row>
    <row r="66" spans="1:3" x14ac:dyDescent="0.25">
      <c r="A66" s="22"/>
      <c r="B66" s="22"/>
    </row>
    <row r="67" spans="1:3" x14ac:dyDescent="0.25">
      <c r="A67" s="23" t="s">
        <v>1767</v>
      </c>
      <c r="B67" s="23" t="s">
        <v>1830</v>
      </c>
      <c r="C67" t="s">
        <v>111</v>
      </c>
    </row>
    <row r="68" spans="1:3" x14ac:dyDescent="0.25">
      <c r="A68" s="22"/>
      <c r="B68" s="22"/>
    </row>
    <row r="69" spans="1:3" x14ac:dyDescent="0.25">
      <c r="A69" s="23" t="s">
        <v>1768</v>
      </c>
      <c r="B69" s="23" t="s">
        <v>1831</v>
      </c>
      <c r="C69" t="s">
        <v>111</v>
      </c>
    </row>
    <row r="70" spans="1:3" x14ac:dyDescent="0.25">
      <c r="A70" s="22"/>
      <c r="B70" s="22"/>
    </row>
    <row r="71" spans="1:3" x14ac:dyDescent="0.25">
      <c r="A71" s="23" t="s">
        <v>1769</v>
      </c>
      <c r="B71" s="23" t="s">
        <v>1832</v>
      </c>
      <c r="C71" t="s">
        <v>111</v>
      </c>
    </row>
    <row r="72" spans="1:3" x14ac:dyDescent="0.25">
      <c r="A72" s="22"/>
      <c r="B72" s="22"/>
    </row>
    <row r="73" spans="1:3" x14ac:dyDescent="0.25">
      <c r="A73" s="23" t="s">
        <v>1770</v>
      </c>
      <c r="B73" s="23" t="s">
        <v>1833</v>
      </c>
      <c r="C73" t="s">
        <v>111</v>
      </c>
    </row>
    <row r="74" spans="1:3" x14ac:dyDescent="0.25">
      <c r="A74" s="22"/>
      <c r="B74" s="22"/>
    </row>
    <row r="75" spans="1:3" x14ac:dyDescent="0.25">
      <c r="A75" s="23" t="s">
        <v>1771</v>
      </c>
      <c r="B75" s="23" t="s">
        <v>1834</v>
      </c>
      <c r="C75" t="s">
        <v>111</v>
      </c>
    </row>
    <row r="76" spans="1:3" x14ac:dyDescent="0.25">
      <c r="A76" s="22"/>
      <c r="B76" s="22"/>
    </row>
    <row r="77" spans="1:3" x14ac:dyDescent="0.25">
      <c r="A77" s="23" t="s">
        <v>1772</v>
      </c>
      <c r="B77" s="23" t="s">
        <v>1835</v>
      </c>
      <c r="C77" t="s">
        <v>111</v>
      </c>
    </row>
    <row r="78" spans="1:3" x14ac:dyDescent="0.25">
      <c r="A78" s="22"/>
      <c r="B78" s="22"/>
    </row>
    <row r="79" spans="1:3" x14ac:dyDescent="0.25">
      <c r="A79" s="23" t="s">
        <v>1773</v>
      </c>
      <c r="B79" s="23" t="s">
        <v>1836</v>
      </c>
      <c r="C79" t="s">
        <v>111</v>
      </c>
    </row>
    <row r="80" spans="1:3" x14ac:dyDescent="0.25">
      <c r="A80" s="22"/>
      <c r="B80" s="22"/>
    </row>
    <row r="81" spans="1:3" x14ac:dyDescent="0.25">
      <c r="A81" s="23" t="s">
        <v>1774</v>
      </c>
      <c r="B81" s="23" t="s">
        <v>1837</v>
      </c>
      <c r="C81" t="s">
        <v>111</v>
      </c>
    </row>
    <row r="82" spans="1:3" x14ac:dyDescent="0.25">
      <c r="A82" s="22"/>
      <c r="B82" s="22"/>
    </row>
    <row r="83" spans="1:3" x14ac:dyDescent="0.25">
      <c r="A83" s="23" t="s">
        <v>1775</v>
      </c>
      <c r="B83" s="23" t="s">
        <v>1838</v>
      </c>
      <c r="C83" t="s">
        <v>111</v>
      </c>
    </row>
    <row r="84" spans="1:3" x14ac:dyDescent="0.25">
      <c r="A84" s="22"/>
      <c r="B84" s="22"/>
    </row>
    <row r="85" spans="1:3" x14ac:dyDescent="0.25">
      <c r="A85" s="23" t="s">
        <v>1776</v>
      </c>
      <c r="B85" s="23" t="s">
        <v>1839</v>
      </c>
      <c r="C85" t="s">
        <v>111</v>
      </c>
    </row>
    <row r="86" spans="1:3" x14ac:dyDescent="0.25">
      <c r="A86" s="22"/>
      <c r="B86" s="22"/>
    </row>
    <row r="87" spans="1:3" x14ac:dyDescent="0.25">
      <c r="A87" s="23" t="s">
        <v>1777</v>
      </c>
      <c r="B87" s="23" t="s">
        <v>1840</v>
      </c>
      <c r="C87" t="s">
        <v>111</v>
      </c>
    </row>
    <row r="88" spans="1:3" x14ac:dyDescent="0.25">
      <c r="A88" s="22"/>
      <c r="B88" s="22"/>
    </row>
    <row r="89" spans="1:3" x14ac:dyDescent="0.25">
      <c r="A89" s="23" t="s">
        <v>1778</v>
      </c>
      <c r="B89" s="23" t="s">
        <v>1841</v>
      </c>
      <c r="C89" t="s">
        <v>111</v>
      </c>
    </row>
    <row r="90" spans="1:3" x14ac:dyDescent="0.25">
      <c r="A90" s="22"/>
      <c r="B90" s="22"/>
    </row>
    <row r="91" spans="1:3" x14ac:dyDescent="0.25">
      <c r="A91" s="23" t="s">
        <v>1779</v>
      </c>
      <c r="B91" s="23" t="s">
        <v>1842</v>
      </c>
      <c r="C91" t="s">
        <v>111</v>
      </c>
    </row>
    <row r="92" spans="1:3" x14ac:dyDescent="0.25">
      <c r="A92" s="22"/>
      <c r="B92" s="22"/>
    </row>
    <row r="93" spans="1:3" x14ac:dyDescent="0.25">
      <c r="A93" s="23" t="s">
        <v>1780</v>
      </c>
      <c r="B93" s="23" t="s">
        <v>1843</v>
      </c>
      <c r="C93" t="s">
        <v>111</v>
      </c>
    </row>
    <row r="94" spans="1:3" x14ac:dyDescent="0.25">
      <c r="A94" s="22"/>
      <c r="B94" s="22"/>
    </row>
    <row r="95" spans="1:3" x14ac:dyDescent="0.25">
      <c r="A95" s="23" t="s">
        <v>1781</v>
      </c>
      <c r="B95" s="23" t="s">
        <v>1844</v>
      </c>
      <c r="C95" t="s">
        <v>111</v>
      </c>
    </row>
    <row r="96" spans="1:3" x14ac:dyDescent="0.25">
      <c r="A96" s="22"/>
      <c r="B96" s="22"/>
    </row>
    <row r="97" spans="1:3" x14ac:dyDescent="0.25">
      <c r="A97" s="23" t="s">
        <v>1782</v>
      </c>
      <c r="B97" s="23" t="s">
        <v>1845</v>
      </c>
      <c r="C97" t="s">
        <v>111</v>
      </c>
    </row>
    <row r="98" spans="1:3" x14ac:dyDescent="0.25">
      <c r="A98" s="22"/>
      <c r="B98" s="22"/>
    </row>
    <row r="99" spans="1:3" x14ac:dyDescent="0.25">
      <c r="A99" s="23" t="s">
        <v>1783</v>
      </c>
      <c r="B99" s="23" t="s">
        <v>1846</v>
      </c>
      <c r="C99" t="s">
        <v>111</v>
      </c>
    </row>
    <row r="100" spans="1:3" x14ac:dyDescent="0.25">
      <c r="A100" s="22"/>
      <c r="B100" s="22"/>
    </row>
    <row r="101" spans="1:3" x14ac:dyDescent="0.25">
      <c r="A101" s="23" t="s">
        <v>1784</v>
      </c>
      <c r="B101" s="23" t="s">
        <v>1847</v>
      </c>
      <c r="C101" t="s">
        <v>111</v>
      </c>
    </row>
    <row r="102" spans="1:3" x14ac:dyDescent="0.25">
      <c r="A102" s="22"/>
      <c r="B102" s="22"/>
    </row>
    <row r="103" spans="1:3" x14ac:dyDescent="0.25">
      <c r="A103" s="23" t="s">
        <v>1785</v>
      </c>
      <c r="B103" s="23" t="s">
        <v>114</v>
      </c>
      <c r="C103" t="s">
        <v>111</v>
      </c>
    </row>
    <row r="104" spans="1:3" x14ac:dyDescent="0.25">
      <c r="A104" s="22"/>
      <c r="B104" s="22"/>
    </row>
    <row r="105" spans="1:3" x14ac:dyDescent="0.25">
      <c r="A105" s="23" t="s">
        <v>1786</v>
      </c>
      <c r="B105" s="23" t="s">
        <v>1848</v>
      </c>
      <c r="C105" t="s">
        <v>111</v>
      </c>
    </row>
    <row r="106" spans="1:3" x14ac:dyDescent="0.25">
      <c r="A106" s="22"/>
      <c r="B106" s="22"/>
    </row>
    <row r="107" spans="1:3" x14ac:dyDescent="0.25">
      <c r="A107" s="23" t="s">
        <v>1787</v>
      </c>
      <c r="B107" s="23" t="s">
        <v>1849</v>
      </c>
      <c r="C107" t="s">
        <v>111</v>
      </c>
    </row>
    <row r="108" spans="1:3" x14ac:dyDescent="0.25">
      <c r="A108" s="22"/>
      <c r="B108" s="22"/>
    </row>
    <row r="109" spans="1:3" x14ac:dyDescent="0.25">
      <c r="A109" s="23" t="s">
        <v>1788</v>
      </c>
      <c r="B109" s="23" t="s">
        <v>1850</v>
      </c>
      <c r="C109" t="s">
        <v>111</v>
      </c>
    </row>
    <row r="110" spans="1:3" x14ac:dyDescent="0.25">
      <c r="A110" s="22"/>
      <c r="B110" s="22"/>
    </row>
    <row r="111" spans="1:3" x14ac:dyDescent="0.25">
      <c r="A111" s="23" t="s">
        <v>1789</v>
      </c>
      <c r="B111" s="23" t="s">
        <v>1851</v>
      </c>
      <c r="C111" t="s">
        <v>111</v>
      </c>
    </row>
    <row r="112" spans="1:3" x14ac:dyDescent="0.25">
      <c r="A112" s="22"/>
      <c r="B112" s="22"/>
    </row>
    <row r="113" spans="1:3" x14ac:dyDescent="0.25">
      <c r="A113" s="23" t="s">
        <v>1790</v>
      </c>
      <c r="B113" s="23" t="s">
        <v>115</v>
      </c>
      <c r="C113" t="s">
        <v>111</v>
      </c>
    </row>
    <row r="114" spans="1:3" x14ac:dyDescent="0.25">
      <c r="A114" s="22"/>
      <c r="B114" s="22"/>
    </row>
    <row r="115" spans="1:3" x14ac:dyDescent="0.25">
      <c r="A115" s="23" t="s">
        <v>1791</v>
      </c>
      <c r="B115" s="23" t="s">
        <v>1852</v>
      </c>
      <c r="C115" t="s">
        <v>111</v>
      </c>
    </row>
    <row r="116" spans="1:3" x14ac:dyDescent="0.25">
      <c r="A116" s="22"/>
      <c r="B116" s="22"/>
    </row>
    <row r="117" spans="1:3" x14ac:dyDescent="0.25">
      <c r="A117" s="23" t="s">
        <v>1792</v>
      </c>
      <c r="B117" s="23" t="s">
        <v>1853</v>
      </c>
      <c r="C117" t="s">
        <v>111</v>
      </c>
    </row>
    <row r="118" spans="1:3" x14ac:dyDescent="0.25">
      <c r="A118" s="22"/>
      <c r="B118" s="22"/>
    </row>
    <row r="119" spans="1:3" x14ac:dyDescent="0.25">
      <c r="A119" s="23" t="s">
        <v>1793</v>
      </c>
      <c r="B119" s="23" t="s">
        <v>1854</v>
      </c>
      <c r="C119" t="s">
        <v>111</v>
      </c>
    </row>
    <row r="120" spans="1:3" x14ac:dyDescent="0.25">
      <c r="A120" s="22"/>
      <c r="B120" s="22"/>
    </row>
    <row r="121" spans="1:3" x14ac:dyDescent="0.25">
      <c r="A121" s="23" t="s">
        <v>1794</v>
      </c>
      <c r="B121" s="23" t="s">
        <v>1855</v>
      </c>
      <c r="C121" t="s">
        <v>111</v>
      </c>
    </row>
    <row r="122" spans="1:3" x14ac:dyDescent="0.25">
      <c r="A122" s="22"/>
      <c r="B122" s="22"/>
    </row>
    <row r="123" spans="1:3" x14ac:dyDescent="0.25">
      <c r="A123" s="23" t="s">
        <v>1795</v>
      </c>
      <c r="B123" s="23" t="s">
        <v>1856</v>
      </c>
      <c r="C123" t="s">
        <v>111</v>
      </c>
    </row>
    <row r="124" spans="1:3" x14ac:dyDescent="0.25">
      <c r="A124" s="22"/>
      <c r="B124" s="22"/>
    </row>
    <row r="125" spans="1:3" x14ac:dyDescent="0.25">
      <c r="A125" s="23" t="s">
        <v>1796</v>
      </c>
      <c r="B125" s="23" t="s">
        <v>1857</v>
      </c>
      <c r="C125" t="s">
        <v>111</v>
      </c>
    </row>
    <row r="126" spans="1:3" x14ac:dyDescent="0.25">
      <c r="A126" s="22"/>
      <c r="B126" s="22"/>
    </row>
    <row r="127" spans="1:3" x14ac:dyDescent="0.25">
      <c r="A127" s="23" t="s">
        <v>1797</v>
      </c>
      <c r="B127" s="23" t="s">
        <v>1858</v>
      </c>
      <c r="C127" t="s">
        <v>111</v>
      </c>
    </row>
    <row r="129" spans="1:3" ht="15.75" x14ac:dyDescent="0.25">
      <c r="A129" s="24" t="s">
        <v>1859</v>
      </c>
      <c r="B129" s="24" t="s">
        <v>1867</v>
      </c>
      <c r="C129" t="s">
        <v>111</v>
      </c>
    </row>
    <row r="130" spans="1:3" x14ac:dyDescent="0.25">
      <c r="A130" s="22"/>
      <c r="B130" s="22"/>
    </row>
    <row r="131" spans="1:3" ht="15.75" x14ac:dyDescent="0.25">
      <c r="A131" s="24" t="s">
        <v>1860</v>
      </c>
      <c r="B131" s="24" t="s">
        <v>1868</v>
      </c>
      <c r="C131" t="s">
        <v>111</v>
      </c>
    </row>
    <row r="132" spans="1:3" x14ac:dyDescent="0.25">
      <c r="A132" s="22"/>
      <c r="B132" s="22"/>
    </row>
    <row r="133" spans="1:3" ht="15.75" x14ac:dyDescent="0.25">
      <c r="A133" s="24" t="s">
        <v>1861</v>
      </c>
      <c r="B133" s="24" t="s">
        <v>1869</v>
      </c>
      <c r="C133" t="s">
        <v>111</v>
      </c>
    </row>
    <row r="134" spans="1:3" x14ac:dyDescent="0.25">
      <c r="A134" s="22"/>
      <c r="B134" s="22"/>
    </row>
    <row r="135" spans="1:3" ht="15.75" x14ac:dyDescent="0.25">
      <c r="A135" s="24" t="s">
        <v>1862</v>
      </c>
      <c r="B135" s="24" t="s">
        <v>1870</v>
      </c>
      <c r="C135" t="s">
        <v>111</v>
      </c>
    </row>
    <row r="136" spans="1:3" x14ac:dyDescent="0.25">
      <c r="A136" s="22"/>
      <c r="B136" s="22"/>
    </row>
    <row r="137" spans="1:3" ht="15.75" x14ac:dyDescent="0.25">
      <c r="A137" s="24" t="s">
        <v>1863</v>
      </c>
      <c r="B137" s="24" t="s">
        <v>1871</v>
      </c>
      <c r="C137" t="s">
        <v>111</v>
      </c>
    </row>
    <row r="138" spans="1:3" x14ac:dyDescent="0.25">
      <c r="A138" s="22"/>
      <c r="B138" s="22"/>
    </row>
    <row r="139" spans="1:3" ht="15.75" x14ac:dyDescent="0.25">
      <c r="A139" s="24" t="s">
        <v>1864</v>
      </c>
      <c r="B139" s="24" t="s">
        <v>1872</v>
      </c>
      <c r="C139" t="s">
        <v>111</v>
      </c>
    </row>
    <row r="140" spans="1:3" x14ac:dyDescent="0.25">
      <c r="A140" s="22"/>
      <c r="B140" s="22"/>
    </row>
    <row r="141" spans="1:3" ht="15.75" x14ac:dyDescent="0.25">
      <c r="A141" s="24" t="s">
        <v>1865</v>
      </c>
      <c r="B141" s="24" t="s">
        <v>1873</v>
      </c>
      <c r="C141" t="s">
        <v>111</v>
      </c>
    </row>
    <row r="142" spans="1:3" x14ac:dyDescent="0.25">
      <c r="A142" s="22"/>
      <c r="B142" s="22"/>
    </row>
    <row r="143" spans="1:3" ht="15.75" x14ac:dyDescent="0.25">
      <c r="A143" s="24" t="s">
        <v>1866</v>
      </c>
      <c r="B143" s="24" t="s">
        <v>1874</v>
      </c>
      <c r="C143" t="s">
        <v>111</v>
      </c>
    </row>
    <row r="145" spans="1:3" x14ac:dyDescent="0.25">
      <c r="A145" s="20" t="s">
        <v>1875</v>
      </c>
      <c r="B145" s="23" t="s">
        <v>1929</v>
      </c>
      <c r="C145" t="s">
        <v>116</v>
      </c>
    </row>
    <row r="146" spans="1:3" x14ac:dyDescent="0.25">
      <c r="A146" s="21"/>
      <c r="B146" s="22"/>
    </row>
    <row r="147" spans="1:3" x14ac:dyDescent="0.25">
      <c r="A147" s="20" t="s">
        <v>1876</v>
      </c>
      <c r="B147" s="23" t="s">
        <v>1930</v>
      </c>
      <c r="C147" t="s">
        <v>116</v>
      </c>
    </row>
    <row r="148" spans="1:3" x14ac:dyDescent="0.25">
      <c r="A148" s="21"/>
      <c r="B148" s="22"/>
    </row>
    <row r="149" spans="1:3" x14ac:dyDescent="0.25">
      <c r="A149" s="20" t="s">
        <v>1877</v>
      </c>
      <c r="B149" s="23" t="s">
        <v>1931</v>
      </c>
      <c r="C149" t="s">
        <v>116</v>
      </c>
    </row>
    <row r="150" spans="1:3" x14ac:dyDescent="0.25">
      <c r="A150" s="21"/>
      <c r="B150" s="22"/>
    </row>
    <row r="151" spans="1:3" x14ac:dyDescent="0.25">
      <c r="A151" s="20" t="s">
        <v>1878</v>
      </c>
      <c r="B151" s="23" t="s">
        <v>1932</v>
      </c>
      <c r="C151" t="s">
        <v>116</v>
      </c>
    </row>
    <row r="152" spans="1:3" x14ac:dyDescent="0.25">
      <c r="A152" s="21"/>
      <c r="B152" s="22"/>
    </row>
    <row r="153" spans="1:3" x14ac:dyDescent="0.25">
      <c r="A153" s="20" t="s">
        <v>1879</v>
      </c>
      <c r="B153" s="23" t="s">
        <v>1933</v>
      </c>
      <c r="C153" t="s">
        <v>116</v>
      </c>
    </row>
    <row r="154" spans="1:3" x14ac:dyDescent="0.25">
      <c r="A154" s="21"/>
      <c r="B154" s="22"/>
    </row>
    <row r="155" spans="1:3" x14ac:dyDescent="0.25">
      <c r="A155" s="20" t="s">
        <v>1880</v>
      </c>
      <c r="B155" s="23" t="s">
        <v>1934</v>
      </c>
      <c r="C155" t="s">
        <v>116</v>
      </c>
    </row>
    <row r="156" spans="1:3" x14ac:dyDescent="0.25">
      <c r="A156" s="21"/>
      <c r="B156" s="22"/>
    </row>
    <row r="157" spans="1:3" x14ac:dyDescent="0.25">
      <c r="A157" s="20" t="s">
        <v>1881</v>
      </c>
      <c r="B157" s="23" t="s">
        <v>1935</v>
      </c>
      <c r="C157" t="s">
        <v>116</v>
      </c>
    </row>
    <row r="158" spans="1:3" x14ac:dyDescent="0.25">
      <c r="A158" s="21"/>
      <c r="B158" s="22"/>
    </row>
    <row r="159" spans="1:3" x14ac:dyDescent="0.25">
      <c r="A159" s="20" t="s">
        <v>1882</v>
      </c>
      <c r="B159" s="23" t="s">
        <v>1936</v>
      </c>
      <c r="C159" t="s">
        <v>116</v>
      </c>
    </row>
    <row r="160" spans="1:3" x14ac:dyDescent="0.25">
      <c r="A160" s="21"/>
      <c r="B160" s="22"/>
    </row>
    <row r="161" spans="1:3" x14ac:dyDescent="0.25">
      <c r="A161" s="20" t="s">
        <v>1883</v>
      </c>
      <c r="B161" s="23" t="s">
        <v>1937</v>
      </c>
      <c r="C161" t="s">
        <v>116</v>
      </c>
    </row>
    <row r="162" spans="1:3" x14ac:dyDescent="0.25">
      <c r="A162" s="21"/>
      <c r="B162" s="22"/>
    </row>
    <row r="163" spans="1:3" x14ac:dyDescent="0.25">
      <c r="A163" s="20" t="s">
        <v>1884</v>
      </c>
      <c r="B163" s="23" t="s">
        <v>1938</v>
      </c>
      <c r="C163" t="s">
        <v>116</v>
      </c>
    </row>
    <row r="164" spans="1:3" x14ac:dyDescent="0.25">
      <c r="A164" s="21"/>
      <c r="B164" s="22"/>
    </row>
    <row r="165" spans="1:3" x14ac:dyDescent="0.25">
      <c r="A165" s="20" t="s">
        <v>1885</v>
      </c>
      <c r="B165" s="23" t="s">
        <v>1939</v>
      </c>
      <c r="C165" t="s">
        <v>116</v>
      </c>
    </row>
    <row r="166" spans="1:3" x14ac:dyDescent="0.25">
      <c r="A166" s="21"/>
      <c r="B166" s="22"/>
    </row>
    <row r="167" spans="1:3" x14ac:dyDescent="0.25">
      <c r="A167" s="20" t="s">
        <v>1886</v>
      </c>
      <c r="B167" s="23" t="s">
        <v>1940</v>
      </c>
      <c r="C167" t="s">
        <v>116</v>
      </c>
    </row>
    <row r="168" spans="1:3" x14ac:dyDescent="0.25">
      <c r="A168" s="21"/>
      <c r="B168" s="22"/>
    </row>
    <row r="169" spans="1:3" x14ac:dyDescent="0.25">
      <c r="A169" s="20" t="s">
        <v>1887</v>
      </c>
      <c r="B169" s="23" t="s">
        <v>1941</v>
      </c>
      <c r="C169" t="s">
        <v>116</v>
      </c>
    </row>
    <row r="170" spans="1:3" x14ac:dyDescent="0.25">
      <c r="A170" s="21"/>
      <c r="B170" s="22"/>
    </row>
    <row r="171" spans="1:3" x14ac:dyDescent="0.25">
      <c r="A171" s="20" t="s">
        <v>1888</v>
      </c>
      <c r="B171" s="23" t="s">
        <v>1942</v>
      </c>
      <c r="C171" t="s">
        <v>116</v>
      </c>
    </row>
    <row r="172" spans="1:3" x14ac:dyDescent="0.25">
      <c r="A172" s="21"/>
      <c r="B172" s="22"/>
    </row>
    <row r="173" spans="1:3" x14ac:dyDescent="0.25">
      <c r="A173" s="20" t="s">
        <v>1889</v>
      </c>
      <c r="B173" s="23" t="s">
        <v>1943</v>
      </c>
      <c r="C173" t="s">
        <v>116</v>
      </c>
    </row>
    <row r="174" spans="1:3" x14ac:dyDescent="0.25">
      <c r="A174" s="21"/>
      <c r="B174" s="22"/>
    </row>
    <row r="175" spans="1:3" x14ac:dyDescent="0.25">
      <c r="A175" s="20" t="s">
        <v>1890</v>
      </c>
      <c r="B175" s="23" t="s">
        <v>1944</v>
      </c>
      <c r="C175" t="s">
        <v>116</v>
      </c>
    </row>
    <row r="176" spans="1:3" x14ac:dyDescent="0.25">
      <c r="A176" s="21"/>
      <c r="B176" s="22"/>
    </row>
    <row r="177" spans="1:3" x14ac:dyDescent="0.25">
      <c r="A177" s="20" t="s">
        <v>1891</v>
      </c>
      <c r="B177" s="23" t="s">
        <v>1945</v>
      </c>
      <c r="C177" t="s">
        <v>116</v>
      </c>
    </row>
    <row r="178" spans="1:3" x14ac:dyDescent="0.25">
      <c r="A178" s="21"/>
      <c r="B178" s="22"/>
    </row>
    <row r="179" spans="1:3" x14ac:dyDescent="0.25">
      <c r="A179" s="20" t="s">
        <v>1892</v>
      </c>
      <c r="B179" s="23" t="s">
        <v>1946</v>
      </c>
      <c r="C179" t="s">
        <v>116</v>
      </c>
    </row>
    <row r="180" spans="1:3" x14ac:dyDescent="0.25">
      <c r="A180" s="21"/>
      <c r="B180" s="22"/>
    </row>
    <row r="181" spans="1:3" x14ac:dyDescent="0.25">
      <c r="A181" s="20" t="s">
        <v>1893</v>
      </c>
      <c r="B181" s="23" t="s">
        <v>1947</v>
      </c>
      <c r="C181" t="s">
        <v>116</v>
      </c>
    </row>
    <row r="182" spans="1:3" x14ac:dyDescent="0.25">
      <c r="A182" s="21"/>
      <c r="B182" s="22"/>
    </row>
    <row r="183" spans="1:3" x14ac:dyDescent="0.25">
      <c r="A183" s="20" t="s">
        <v>1894</v>
      </c>
      <c r="B183" s="23" t="s">
        <v>1948</v>
      </c>
      <c r="C183" t="s">
        <v>116</v>
      </c>
    </row>
    <row r="184" spans="1:3" x14ac:dyDescent="0.25">
      <c r="A184" s="21"/>
      <c r="B184" s="22"/>
    </row>
    <row r="185" spans="1:3" x14ac:dyDescent="0.25">
      <c r="A185" s="20" t="s">
        <v>1895</v>
      </c>
      <c r="B185" s="23" t="s">
        <v>1949</v>
      </c>
      <c r="C185" t="s">
        <v>116</v>
      </c>
    </row>
    <row r="186" spans="1:3" x14ac:dyDescent="0.25">
      <c r="A186" s="21"/>
      <c r="B186" s="22"/>
    </row>
    <row r="187" spans="1:3" x14ac:dyDescent="0.25">
      <c r="A187" s="20" t="s">
        <v>1896</v>
      </c>
      <c r="B187" s="23" t="s">
        <v>1950</v>
      </c>
      <c r="C187" t="s">
        <v>116</v>
      </c>
    </row>
    <row r="188" spans="1:3" x14ac:dyDescent="0.25">
      <c r="A188" s="21"/>
      <c r="B188" s="22"/>
    </row>
    <row r="189" spans="1:3" x14ac:dyDescent="0.25">
      <c r="A189" s="20" t="s">
        <v>1897</v>
      </c>
      <c r="B189" s="23" t="s">
        <v>1951</v>
      </c>
      <c r="C189" t="s">
        <v>116</v>
      </c>
    </row>
    <row r="190" spans="1:3" x14ac:dyDescent="0.25">
      <c r="A190" s="21"/>
      <c r="B190" s="22"/>
    </row>
    <row r="191" spans="1:3" x14ac:dyDescent="0.25">
      <c r="A191" s="20" t="s">
        <v>1898</v>
      </c>
      <c r="B191" s="23" t="s">
        <v>1952</v>
      </c>
      <c r="C191" t="s">
        <v>116</v>
      </c>
    </row>
    <row r="192" spans="1:3" x14ac:dyDescent="0.25">
      <c r="A192" s="21"/>
      <c r="B192" s="22"/>
    </row>
    <row r="193" spans="1:3" x14ac:dyDescent="0.25">
      <c r="A193" s="20" t="s">
        <v>1899</v>
      </c>
      <c r="B193" s="23" t="s">
        <v>1953</v>
      </c>
      <c r="C193" t="s">
        <v>116</v>
      </c>
    </row>
    <row r="194" spans="1:3" x14ac:dyDescent="0.25">
      <c r="A194" s="21"/>
      <c r="B194" s="22"/>
    </row>
    <row r="195" spans="1:3" ht="24" x14ac:dyDescent="0.25">
      <c r="A195" s="20" t="s">
        <v>1900</v>
      </c>
      <c r="B195" s="23" t="s">
        <v>1954</v>
      </c>
      <c r="C195" t="s">
        <v>116</v>
      </c>
    </row>
    <row r="196" spans="1:3" x14ac:dyDescent="0.25">
      <c r="A196" s="21"/>
      <c r="B196" s="22"/>
    </row>
    <row r="197" spans="1:3" ht="24" x14ac:dyDescent="0.25">
      <c r="A197" s="20" t="s">
        <v>1901</v>
      </c>
      <c r="B197" s="23" t="s">
        <v>1955</v>
      </c>
      <c r="C197" t="s">
        <v>116</v>
      </c>
    </row>
    <row r="198" spans="1:3" x14ac:dyDescent="0.25">
      <c r="A198" s="21"/>
      <c r="B198" s="22"/>
    </row>
    <row r="199" spans="1:3" ht="24" x14ac:dyDescent="0.25">
      <c r="A199" s="20" t="s">
        <v>1902</v>
      </c>
      <c r="B199" s="23" t="s">
        <v>117</v>
      </c>
      <c r="C199" t="s">
        <v>116</v>
      </c>
    </row>
    <row r="200" spans="1:3" x14ac:dyDescent="0.25">
      <c r="A200" s="21"/>
      <c r="B200" s="22"/>
    </row>
    <row r="201" spans="1:3" ht="24" x14ac:dyDescent="0.25">
      <c r="A201" s="20" t="s">
        <v>1903</v>
      </c>
      <c r="B201" s="23" t="s">
        <v>1956</v>
      </c>
      <c r="C201" t="s">
        <v>116</v>
      </c>
    </row>
    <row r="202" spans="1:3" x14ac:dyDescent="0.25">
      <c r="A202" s="21"/>
      <c r="B202" s="22"/>
    </row>
    <row r="203" spans="1:3" ht="24" x14ac:dyDescent="0.25">
      <c r="A203" s="20" t="s">
        <v>1904</v>
      </c>
      <c r="B203" s="23" t="s">
        <v>1957</v>
      </c>
      <c r="C203" t="s">
        <v>116</v>
      </c>
    </row>
    <row r="204" spans="1:3" x14ac:dyDescent="0.25">
      <c r="A204" s="21"/>
      <c r="B204" s="22"/>
    </row>
    <row r="205" spans="1:3" ht="24" x14ac:dyDescent="0.25">
      <c r="A205" s="20" t="s">
        <v>1905</v>
      </c>
      <c r="B205" s="23" t="s">
        <v>1958</v>
      </c>
      <c r="C205" t="s">
        <v>116</v>
      </c>
    </row>
    <row r="206" spans="1:3" x14ac:dyDescent="0.25">
      <c r="A206" s="21"/>
      <c r="B206" s="22"/>
    </row>
    <row r="207" spans="1:3" ht="24" x14ac:dyDescent="0.25">
      <c r="A207" s="20" t="s">
        <v>1906</v>
      </c>
      <c r="B207" s="23" t="s">
        <v>1959</v>
      </c>
      <c r="C207" t="s">
        <v>116</v>
      </c>
    </row>
    <row r="208" spans="1:3" x14ac:dyDescent="0.25">
      <c r="A208" s="21"/>
      <c r="B208" s="22"/>
    </row>
    <row r="209" spans="1:3" ht="24" x14ac:dyDescent="0.25">
      <c r="A209" s="20" t="s">
        <v>1907</v>
      </c>
      <c r="B209" s="23" t="s">
        <v>1960</v>
      </c>
      <c r="C209" t="s">
        <v>116</v>
      </c>
    </row>
    <row r="210" spans="1:3" x14ac:dyDescent="0.25">
      <c r="A210" s="21"/>
      <c r="B210" s="22"/>
    </row>
    <row r="211" spans="1:3" ht="24" x14ac:dyDescent="0.25">
      <c r="A211" s="20" t="s">
        <v>1908</v>
      </c>
      <c r="B211" s="26" t="s">
        <v>1961</v>
      </c>
      <c r="C211" t="s">
        <v>116</v>
      </c>
    </row>
    <row r="212" spans="1:3" x14ac:dyDescent="0.25">
      <c r="A212" s="21"/>
      <c r="B212" s="22"/>
    </row>
    <row r="213" spans="1:3" ht="24" x14ac:dyDescent="0.25">
      <c r="A213" s="20" t="s">
        <v>1909</v>
      </c>
      <c r="B213" s="23" t="s">
        <v>1962</v>
      </c>
      <c r="C213" t="s">
        <v>116</v>
      </c>
    </row>
    <row r="214" spans="1:3" x14ac:dyDescent="0.25">
      <c r="A214" s="21"/>
      <c r="B214" s="22"/>
    </row>
    <row r="215" spans="1:3" ht="24" x14ac:dyDescent="0.25">
      <c r="A215" s="20" t="s">
        <v>1910</v>
      </c>
      <c r="B215" s="23" t="s">
        <v>1963</v>
      </c>
      <c r="C215" t="s">
        <v>116</v>
      </c>
    </row>
    <row r="216" spans="1:3" x14ac:dyDescent="0.25">
      <c r="A216" s="21"/>
      <c r="B216" s="22"/>
    </row>
    <row r="217" spans="1:3" ht="24" x14ac:dyDescent="0.25">
      <c r="A217" s="20" t="s">
        <v>1911</v>
      </c>
      <c r="B217" s="23" t="s">
        <v>1964</v>
      </c>
      <c r="C217" t="s">
        <v>116</v>
      </c>
    </row>
    <row r="218" spans="1:3" x14ac:dyDescent="0.25">
      <c r="A218" s="21"/>
      <c r="B218" s="22"/>
    </row>
    <row r="219" spans="1:3" x14ac:dyDescent="0.25">
      <c r="A219" s="20" t="s">
        <v>1912</v>
      </c>
      <c r="B219" s="23" t="s">
        <v>1965</v>
      </c>
      <c r="C219" t="s">
        <v>116</v>
      </c>
    </row>
    <row r="220" spans="1:3" x14ac:dyDescent="0.25">
      <c r="A220" s="21"/>
      <c r="B220" s="22"/>
    </row>
    <row r="221" spans="1:3" x14ac:dyDescent="0.25">
      <c r="A221" s="20" t="s">
        <v>1913</v>
      </c>
      <c r="B221" s="23" t="s">
        <v>1966</v>
      </c>
      <c r="C221" t="s">
        <v>116</v>
      </c>
    </row>
    <row r="222" spans="1:3" x14ac:dyDescent="0.25">
      <c r="A222" s="21"/>
      <c r="B222" s="22"/>
    </row>
    <row r="223" spans="1:3" x14ac:dyDescent="0.25">
      <c r="A223" s="20" t="s">
        <v>1914</v>
      </c>
      <c r="B223" s="23" t="s">
        <v>1967</v>
      </c>
      <c r="C223" t="s">
        <v>116</v>
      </c>
    </row>
    <row r="224" spans="1:3" x14ac:dyDescent="0.25">
      <c r="A224" s="21"/>
      <c r="B224" s="22"/>
    </row>
    <row r="225" spans="1:3" x14ac:dyDescent="0.25">
      <c r="A225" s="20" t="s">
        <v>1915</v>
      </c>
      <c r="B225" s="23" t="s">
        <v>1968</v>
      </c>
      <c r="C225" t="s">
        <v>116</v>
      </c>
    </row>
    <row r="226" spans="1:3" x14ac:dyDescent="0.25">
      <c r="A226" s="21"/>
      <c r="B226" s="22"/>
    </row>
    <row r="227" spans="1:3" x14ac:dyDescent="0.25">
      <c r="A227" s="20" t="s">
        <v>1916</v>
      </c>
      <c r="B227" s="23" t="s">
        <v>1969</v>
      </c>
      <c r="C227" t="s">
        <v>116</v>
      </c>
    </row>
    <row r="228" spans="1:3" x14ac:dyDescent="0.25">
      <c r="A228" s="21"/>
      <c r="B228" s="22"/>
    </row>
    <row r="229" spans="1:3" x14ac:dyDescent="0.25">
      <c r="A229" s="20" t="s">
        <v>1917</v>
      </c>
      <c r="B229" s="23" t="s">
        <v>113</v>
      </c>
      <c r="C229" t="s">
        <v>116</v>
      </c>
    </row>
    <row r="230" spans="1:3" x14ac:dyDescent="0.25">
      <c r="A230" s="21"/>
      <c r="B230" s="22"/>
    </row>
    <row r="231" spans="1:3" x14ac:dyDescent="0.25">
      <c r="A231" s="20" t="s">
        <v>1918</v>
      </c>
      <c r="B231" s="23" t="s">
        <v>1970</v>
      </c>
      <c r="C231" t="s">
        <v>116</v>
      </c>
    </row>
    <row r="232" spans="1:3" x14ac:dyDescent="0.25">
      <c r="A232" s="21"/>
      <c r="B232" s="22"/>
    </row>
    <row r="233" spans="1:3" x14ac:dyDescent="0.25">
      <c r="A233" s="20" t="s">
        <v>1919</v>
      </c>
      <c r="B233" s="23" t="s">
        <v>1971</v>
      </c>
      <c r="C233" t="s">
        <v>116</v>
      </c>
    </row>
    <row r="234" spans="1:3" x14ac:dyDescent="0.25">
      <c r="A234" s="21"/>
      <c r="B234" s="22"/>
    </row>
    <row r="235" spans="1:3" x14ac:dyDescent="0.25">
      <c r="A235" s="20" t="s">
        <v>1920</v>
      </c>
      <c r="B235" s="23" t="s">
        <v>1972</v>
      </c>
      <c r="C235" t="s">
        <v>116</v>
      </c>
    </row>
    <row r="236" spans="1:3" x14ac:dyDescent="0.25">
      <c r="A236" s="21"/>
      <c r="B236" s="22"/>
    </row>
    <row r="237" spans="1:3" x14ac:dyDescent="0.25">
      <c r="A237" s="20" t="s">
        <v>1921</v>
      </c>
      <c r="B237" s="23" t="s">
        <v>1973</v>
      </c>
      <c r="C237" t="s">
        <v>116</v>
      </c>
    </row>
    <row r="238" spans="1:3" x14ac:dyDescent="0.25">
      <c r="A238" s="21"/>
      <c r="B238" s="22"/>
    </row>
    <row r="239" spans="1:3" x14ac:dyDescent="0.25">
      <c r="A239" s="20" t="s">
        <v>1922</v>
      </c>
      <c r="B239" s="23" t="s">
        <v>1974</v>
      </c>
      <c r="C239" t="s">
        <v>116</v>
      </c>
    </row>
    <row r="240" spans="1:3" x14ac:dyDescent="0.25">
      <c r="A240" s="21"/>
      <c r="B240" s="22"/>
    </row>
    <row r="241" spans="1:3" x14ac:dyDescent="0.25">
      <c r="A241" s="20" t="s">
        <v>1923</v>
      </c>
      <c r="B241" s="23" t="s">
        <v>1975</v>
      </c>
      <c r="C241" t="s">
        <v>116</v>
      </c>
    </row>
    <row r="242" spans="1:3" x14ac:dyDescent="0.25">
      <c r="A242" s="21"/>
      <c r="B242" s="22"/>
    </row>
    <row r="243" spans="1:3" x14ac:dyDescent="0.25">
      <c r="A243" s="20" t="s">
        <v>1924</v>
      </c>
      <c r="B243" s="23" t="s">
        <v>1976</v>
      </c>
      <c r="C243" t="s">
        <v>116</v>
      </c>
    </row>
    <row r="244" spans="1:3" x14ac:dyDescent="0.25">
      <c r="A244" s="21"/>
      <c r="B244" s="22"/>
    </row>
    <row r="245" spans="1:3" x14ac:dyDescent="0.25">
      <c r="A245" s="20" t="s">
        <v>1925</v>
      </c>
      <c r="B245" s="23" t="s">
        <v>1977</v>
      </c>
      <c r="C245" t="s">
        <v>116</v>
      </c>
    </row>
    <row r="246" spans="1:3" x14ac:dyDescent="0.25">
      <c r="A246" s="21"/>
      <c r="B246" s="22"/>
    </row>
    <row r="247" spans="1:3" x14ac:dyDescent="0.25">
      <c r="A247" s="25" t="s">
        <v>1926</v>
      </c>
      <c r="B247" s="26" t="s">
        <v>1978</v>
      </c>
      <c r="C247" t="s">
        <v>116</v>
      </c>
    </row>
    <row r="248" spans="1:3" x14ac:dyDescent="0.25">
      <c r="A248" s="21"/>
      <c r="B248" s="22"/>
    </row>
    <row r="249" spans="1:3" x14ac:dyDescent="0.25">
      <c r="A249" s="20" t="s">
        <v>1927</v>
      </c>
      <c r="B249" s="23" t="s">
        <v>1979</v>
      </c>
      <c r="C249" t="s">
        <v>116</v>
      </c>
    </row>
    <row r="250" spans="1:3" x14ac:dyDescent="0.25">
      <c r="A250" s="21"/>
      <c r="B250" s="22"/>
    </row>
    <row r="251" spans="1:3" x14ac:dyDescent="0.25">
      <c r="A251" s="20" t="s">
        <v>1928</v>
      </c>
      <c r="B251" s="23" t="s">
        <v>1980</v>
      </c>
      <c r="C251" t="s">
        <v>116</v>
      </c>
    </row>
    <row r="253" spans="1:3" x14ac:dyDescent="0.25">
      <c r="A253" s="20" t="s">
        <v>1981</v>
      </c>
      <c r="B253" s="23" t="s">
        <v>1997</v>
      </c>
      <c r="C253" t="s">
        <v>116</v>
      </c>
    </row>
    <row r="254" spans="1:3" x14ac:dyDescent="0.25">
      <c r="A254" s="21"/>
      <c r="B254" s="22"/>
    </row>
    <row r="255" spans="1:3" ht="24" x14ac:dyDescent="0.25">
      <c r="A255" s="20" t="s">
        <v>1982</v>
      </c>
      <c r="B255" s="23" t="s">
        <v>1998</v>
      </c>
      <c r="C255" t="s">
        <v>116</v>
      </c>
    </row>
    <row r="256" spans="1:3" x14ac:dyDescent="0.25">
      <c r="A256" s="21"/>
      <c r="B256" s="22"/>
    </row>
    <row r="257" spans="1:3" x14ac:dyDescent="0.25">
      <c r="A257" s="20" t="s">
        <v>1983</v>
      </c>
      <c r="B257" s="23" t="s">
        <v>1999</v>
      </c>
      <c r="C257" t="s">
        <v>116</v>
      </c>
    </row>
    <row r="258" spans="1:3" x14ac:dyDescent="0.25">
      <c r="A258" s="21"/>
      <c r="B258" s="22"/>
    </row>
    <row r="259" spans="1:3" x14ac:dyDescent="0.25">
      <c r="A259" s="20" t="s">
        <v>1984</v>
      </c>
      <c r="B259" s="23" t="s">
        <v>2000</v>
      </c>
      <c r="C259" t="s">
        <v>116</v>
      </c>
    </row>
    <row r="260" spans="1:3" x14ac:dyDescent="0.25">
      <c r="A260" s="21"/>
      <c r="B260" s="22"/>
    </row>
    <row r="261" spans="1:3" x14ac:dyDescent="0.25">
      <c r="A261" s="20" t="s">
        <v>1985</v>
      </c>
      <c r="B261" s="23" t="s">
        <v>2001</v>
      </c>
      <c r="C261" t="s">
        <v>116</v>
      </c>
    </row>
    <row r="262" spans="1:3" x14ac:dyDescent="0.25">
      <c r="A262" s="21"/>
      <c r="B262" s="22"/>
    </row>
    <row r="263" spans="1:3" x14ac:dyDescent="0.25">
      <c r="A263" s="20" t="s">
        <v>1986</v>
      </c>
      <c r="B263" s="23" t="s">
        <v>2002</v>
      </c>
      <c r="C263" t="s">
        <v>116</v>
      </c>
    </row>
    <row r="264" spans="1:3" x14ac:dyDescent="0.25">
      <c r="A264" s="21"/>
      <c r="B264" s="22"/>
    </row>
    <row r="265" spans="1:3" x14ac:dyDescent="0.25">
      <c r="A265" s="20" t="s">
        <v>1987</v>
      </c>
      <c r="B265" s="23" t="s">
        <v>2003</v>
      </c>
      <c r="C265" t="s">
        <v>116</v>
      </c>
    </row>
    <row r="266" spans="1:3" x14ac:dyDescent="0.25">
      <c r="A266" s="21"/>
      <c r="B266" s="22"/>
    </row>
    <row r="267" spans="1:3" x14ac:dyDescent="0.25">
      <c r="A267" s="20" t="s">
        <v>1988</v>
      </c>
      <c r="B267" s="23" t="s">
        <v>2004</v>
      </c>
      <c r="C267" t="s">
        <v>116</v>
      </c>
    </row>
    <row r="268" spans="1:3" x14ac:dyDescent="0.25">
      <c r="A268" s="21"/>
      <c r="B268" s="22"/>
    </row>
    <row r="269" spans="1:3" x14ac:dyDescent="0.25">
      <c r="A269" s="20" t="s">
        <v>1989</v>
      </c>
      <c r="B269" s="23" t="s">
        <v>2005</v>
      </c>
      <c r="C269" t="s">
        <v>116</v>
      </c>
    </row>
    <row r="270" spans="1:3" x14ac:dyDescent="0.25">
      <c r="A270" s="21"/>
      <c r="B270" s="22"/>
    </row>
    <row r="271" spans="1:3" x14ac:dyDescent="0.25">
      <c r="A271" s="20" t="s">
        <v>1990</v>
      </c>
      <c r="B271" s="23" t="s">
        <v>2006</v>
      </c>
      <c r="C271" t="s">
        <v>116</v>
      </c>
    </row>
    <row r="272" spans="1:3" x14ac:dyDescent="0.25">
      <c r="A272" s="21"/>
      <c r="B272" s="22"/>
    </row>
    <row r="273" spans="1:3" x14ac:dyDescent="0.25">
      <c r="A273" s="20" t="s">
        <v>1991</v>
      </c>
      <c r="B273" s="23" t="s">
        <v>2007</v>
      </c>
      <c r="C273" t="s">
        <v>116</v>
      </c>
    </row>
    <row r="274" spans="1:3" x14ac:dyDescent="0.25">
      <c r="A274" s="21"/>
      <c r="B274" s="22"/>
    </row>
    <row r="275" spans="1:3" x14ac:dyDescent="0.25">
      <c r="A275" s="20" t="s">
        <v>1992</v>
      </c>
      <c r="B275" s="23" t="s">
        <v>2008</v>
      </c>
      <c r="C275" t="s">
        <v>116</v>
      </c>
    </row>
    <row r="276" spans="1:3" x14ac:dyDescent="0.25">
      <c r="A276" s="21"/>
      <c r="B276" s="22"/>
    </row>
    <row r="277" spans="1:3" x14ac:dyDescent="0.25">
      <c r="A277" s="20" t="s">
        <v>1993</v>
      </c>
      <c r="B277" s="23" t="s">
        <v>2009</v>
      </c>
      <c r="C277" t="s">
        <v>116</v>
      </c>
    </row>
    <row r="278" spans="1:3" x14ac:dyDescent="0.25">
      <c r="A278" s="21"/>
      <c r="B278" s="22"/>
    </row>
    <row r="279" spans="1:3" x14ac:dyDescent="0.25">
      <c r="A279" s="20" t="s">
        <v>1994</v>
      </c>
      <c r="B279" s="23" t="s">
        <v>2010</v>
      </c>
      <c r="C279" t="s">
        <v>116</v>
      </c>
    </row>
    <row r="280" spans="1:3" x14ac:dyDescent="0.25">
      <c r="A280" s="21"/>
      <c r="B280" s="22"/>
    </row>
    <row r="281" spans="1:3" x14ac:dyDescent="0.25">
      <c r="A281" s="20" t="s">
        <v>1995</v>
      </c>
      <c r="B281" s="23" t="s">
        <v>2011</v>
      </c>
      <c r="C281" t="s">
        <v>116</v>
      </c>
    </row>
    <row r="282" spans="1:3" x14ac:dyDescent="0.25">
      <c r="A282" s="21"/>
      <c r="B282" s="22"/>
    </row>
    <row r="283" spans="1:3" x14ac:dyDescent="0.25">
      <c r="A283" s="20" t="s">
        <v>1996</v>
      </c>
      <c r="B283" s="23" t="s">
        <v>2012</v>
      </c>
      <c r="C283" t="s">
        <v>116</v>
      </c>
    </row>
    <row r="285" spans="1:3" x14ac:dyDescent="0.25">
      <c r="A285" s="20" t="s">
        <v>2013</v>
      </c>
      <c r="B285" s="23" t="s">
        <v>2035</v>
      </c>
    </row>
    <row r="286" spans="1:3" x14ac:dyDescent="0.25">
      <c r="A286" s="21"/>
      <c r="B286" s="22"/>
    </row>
    <row r="287" spans="1:3" x14ac:dyDescent="0.25">
      <c r="A287" s="20" t="s">
        <v>2014</v>
      </c>
      <c r="B287" s="23" t="s">
        <v>2036</v>
      </c>
    </row>
    <row r="288" spans="1:3" x14ac:dyDescent="0.25">
      <c r="A288" s="21"/>
      <c r="B288" s="22"/>
    </row>
    <row r="289" spans="1:2" x14ac:dyDescent="0.25">
      <c r="A289" s="20" t="s">
        <v>2015</v>
      </c>
      <c r="B289" s="23" t="s">
        <v>2037</v>
      </c>
    </row>
    <row r="290" spans="1:2" x14ac:dyDescent="0.25">
      <c r="A290" s="21"/>
      <c r="B290" s="22"/>
    </row>
    <row r="291" spans="1:2" x14ac:dyDescent="0.25">
      <c r="A291" s="20" t="s">
        <v>2016</v>
      </c>
      <c r="B291" s="23" t="s">
        <v>2038</v>
      </c>
    </row>
    <row r="292" spans="1:2" x14ac:dyDescent="0.25">
      <c r="A292" s="21"/>
      <c r="B292" s="22"/>
    </row>
    <row r="293" spans="1:2" x14ac:dyDescent="0.25">
      <c r="A293" s="20" t="s">
        <v>2017</v>
      </c>
      <c r="B293" s="23" t="s">
        <v>2039</v>
      </c>
    </row>
    <row r="294" spans="1:2" x14ac:dyDescent="0.25">
      <c r="A294" s="21"/>
      <c r="B294" s="22"/>
    </row>
    <row r="295" spans="1:2" x14ac:dyDescent="0.25">
      <c r="A295" s="20" t="s">
        <v>2018</v>
      </c>
      <c r="B295" s="23" t="s">
        <v>2057</v>
      </c>
    </row>
    <row r="296" spans="1:2" x14ac:dyDescent="0.25">
      <c r="A296" s="21"/>
      <c r="B296" s="22"/>
    </row>
    <row r="297" spans="1:2" x14ac:dyDescent="0.25">
      <c r="A297" s="20" t="s">
        <v>2019</v>
      </c>
      <c r="B297" s="23" t="s">
        <v>2040</v>
      </c>
    </row>
    <row r="298" spans="1:2" x14ac:dyDescent="0.25">
      <c r="A298" s="21"/>
      <c r="B298" s="22"/>
    </row>
    <row r="299" spans="1:2" x14ac:dyDescent="0.25">
      <c r="A299" s="20" t="s">
        <v>2020</v>
      </c>
      <c r="B299" s="23" t="s">
        <v>2041</v>
      </c>
    </row>
    <row r="300" spans="1:2" x14ac:dyDescent="0.25">
      <c r="A300" s="21"/>
      <c r="B300" s="22"/>
    </row>
    <row r="301" spans="1:2" ht="24" x14ac:dyDescent="0.25">
      <c r="A301" s="20" t="s">
        <v>2021</v>
      </c>
      <c r="B301" s="23" t="s">
        <v>2042</v>
      </c>
    </row>
    <row r="302" spans="1:2" x14ac:dyDescent="0.25">
      <c r="A302" s="21"/>
      <c r="B302" s="22"/>
    </row>
    <row r="303" spans="1:2" ht="24" x14ac:dyDescent="0.25">
      <c r="A303" s="20" t="s">
        <v>2022</v>
      </c>
      <c r="B303" s="23" t="s">
        <v>2043</v>
      </c>
    </row>
    <row r="304" spans="1:2" x14ac:dyDescent="0.25">
      <c r="A304" s="21"/>
      <c r="B304" s="22"/>
    </row>
    <row r="305" spans="1:2" ht="24" x14ac:dyDescent="0.25">
      <c r="A305" s="20" t="s">
        <v>2023</v>
      </c>
      <c r="B305" s="23" t="s">
        <v>2044</v>
      </c>
    </row>
    <row r="306" spans="1:2" x14ac:dyDescent="0.25">
      <c r="A306" s="21"/>
      <c r="B306" s="22"/>
    </row>
    <row r="307" spans="1:2" ht="24" x14ac:dyDescent="0.25">
      <c r="A307" s="20" t="s">
        <v>2024</v>
      </c>
      <c r="B307" s="23" t="s">
        <v>2045</v>
      </c>
    </row>
    <row r="308" spans="1:2" x14ac:dyDescent="0.25">
      <c r="A308" s="21"/>
      <c r="B308" s="22"/>
    </row>
    <row r="309" spans="1:2" ht="24" x14ac:dyDescent="0.25">
      <c r="A309" s="20" t="s">
        <v>2025</v>
      </c>
      <c r="B309" s="23" t="s">
        <v>2046</v>
      </c>
    </row>
    <row r="310" spans="1:2" x14ac:dyDescent="0.25">
      <c r="A310" s="21"/>
      <c r="B310" s="22"/>
    </row>
    <row r="311" spans="1:2" ht="24" x14ac:dyDescent="0.25">
      <c r="A311" s="20" t="s">
        <v>2026</v>
      </c>
      <c r="B311" s="23" t="s">
        <v>2047</v>
      </c>
    </row>
    <row r="312" spans="1:2" x14ac:dyDescent="0.25">
      <c r="A312" s="21"/>
      <c r="B312" s="22"/>
    </row>
    <row r="313" spans="1:2" ht="24" x14ac:dyDescent="0.25">
      <c r="A313" s="20" t="s">
        <v>2027</v>
      </c>
      <c r="B313" s="23" t="s">
        <v>2048</v>
      </c>
    </row>
    <row r="314" spans="1:2" x14ac:dyDescent="0.25">
      <c r="A314" s="21"/>
      <c r="B314" s="22"/>
    </row>
    <row r="315" spans="1:2" ht="24" x14ac:dyDescent="0.25">
      <c r="A315" s="20" t="s">
        <v>2028</v>
      </c>
      <c r="B315" s="23" t="s">
        <v>2049</v>
      </c>
    </row>
    <row r="316" spans="1:2" x14ac:dyDescent="0.25">
      <c r="A316" s="21"/>
      <c r="B316" s="22"/>
    </row>
    <row r="317" spans="1:2" ht="24" x14ac:dyDescent="0.25">
      <c r="A317" s="20" t="s">
        <v>2029</v>
      </c>
      <c r="B317" s="23" t="s">
        <v>2050</v>
      </c>
    </row>
    <row r="318" spans="1:2" x14ac:dyDescent="0.25">
      <c r="A318" s="21"/>
      <c r="B318" s="22"/>
    </row>
    <row r="319" spans="1:2" ht="24" x14ac:dyDescent="0.25">
      <c r="A319" s="20" t="s">
        <v>2030</v>
      </c>
      <c r="B319" s="23" t="s">
        <v>2051</v>
      </c>
    </row>
    <row r="320" spans="1:2" x14ac:dyDescent="0.25">
      <c r="A320" s="21"/>
      <c r="B320" s="22"/>
    </row>
    <row r="321" spans="1:2" ht="24" x14ac:dyDescent="0.25">
      <c r="A321" s="20" t="s">
        <v>2031</v>
      </c>
      <c r="B321" s="23" t="s">
        <v>2052</v>
      </c>
    </row>
    <row r="322" spans="1:2" x14ac:dyDescent="0.25">
      <c r="A322" s="21"/>
      <c r="B322" s="22"/>
    </row>
    <row r="323" spans="1:2" ht="24" x14ac:dyDescent="0.25">
      <c r="A323" s="20" t="s">
        <v>2032</v>
      </c>
      <c r="B323" s="23" t="s">
        <v>2053</v>
      </c>
    </row>
    <row r="324" spans="1:2" x14ac:dyDescent="0.25">
      <c r="A324" s="21"/>
      <c r="B324" s="22"/>
    </row>
    <row r="325" spans="1:2" ht="24" x14ac:dyDescent="0.25">
      <c r="A325" s="20" t="s">
        <v>2033</v>
      </c>
      <c r="B325" s="23" t="s">
        <v>2054</v>
      </c>
    </row>
    <row r="326" spans="1:2" x14ac:dyDescent="0.25">
      <c r="A326" s="21"/>
      <c r="B326" s="22"/>
    </row>
    <row r="327" spans="1:2" ht="24" x14ac:dyDescent="0.25">
      <c r="A327" s="20" t="s">
        <v>2034</v>
      </c>
      <c r="B327" s="23" t="s">
        <v>2055</v>
      </c>
    </row>
    <row r="328" spans="1:2" x14ac:dyDescent="0.25">
      <c r="A328" s="22"/>
      <c r="B328" s="22"/>
    </row>
    <row r="329" spans="1:2" x14ac:dyDescent="0.25">
      <c r="A329" s="23"/>
      <c r="B329" s="23"/>
    </row>
    <row r="330" spans="1:2" x14ac:dyDescent="0.25">
      <c r="A330" s="22"/>
    </row>
    <row r="331" spans="1:2" x14ac:dyDescent="0.25">
      <c r="A331" s="23"/>
    </row>
    <row r="332" spans="1:2" x14ac:dyDescent="0.25">
      <c r="A332" s="22"/>
    </row>
    <row r="333" spans="1:2" x14ac:dyDescent="0.25">
      <c r="A333" s="23"/>
    </row>
    <row r="334" spans="1:2" x14ac:dyDescent="0.25">
      <c r="A334" s="22"/>
    </row>
    <row r="335" spans="1:2" x14ac:dyDescent="0.25">
      <c r="A335" s="23"/>
    </row>
    <row r="336" spans="1:2" x14ac:dyDescent="0.25">
      <c r="A336" s="22"/>
    </row>
    <row r="337" spans="1:1" x14ac:dyDescent="0.25">
      <c r="A337" s="23"/>
    </row>
    <row r="338" spans="1:1" x14ac:dyDescent="0.25">
      <c r="A338" s="22"/>
    </row>
    <row r="339" spans="1:1" x14ac:dyDescent="0.25">
      <c r="A339" s="23"/>
    </row>
    <row r="340" spans="1:1" x14ac:dyDescent="0.25">
      <c r="A340" s="22"/>
    </row>
    <row r="341" spans="1:1" x14ac:dyDescent="0.25">
      <c r="A341" s="23"/>
    </row>
    <row r="342" spans="1:1" x14ac:dyDescent="0.25">
      <c r="A342" s="22"/>
    </row>
    <row r="343" spans="1:1" x14ac:dyDescent="0.25">
      <c r="A343" s="23"/>
    </row>
    <row r="344" spans="1:1" x14ac:dyDescent="0.25">
      <c r="A344" s="22"/>
    </row>
    <row r="345" spans="1:1" x14ac:dyDescent="0.25">
      <c r="A345" s="23"/>
    </row>
    <row r="346" spans="1:1" x14ac:dyDescent="0.25">
      <c r="A346" s="22"/>
    </row>
    <row r="347" spans="1:1" x14ac:dyDescent="0.25">
      <c r="A347" s="23"/>
    </row>
    <row r="348" spans="1:1" x14ac:dyDescent="0.25">
      <c r="A348" s="22"/>
    </row>
    <row r="349" spans="1:1" x14ac:dyDescent="0.25">
      <c r="A349" s="23"/>
    </row>
    <row r="350" spans="1:1" x14ac:dyDescent="0.25">
      <c r="A350" s="22"/>
    </row>
    <row r="351" spans="1:1" x14ac:dyDescent="0.25">
      <c r="A351" s="23"/>
    </row>
    <row r="352" spans="1:1" x14ac:dyDescent="0.25">
      <c r="A352" s="22"/>
    </row>
    <row r="353" spans="1:1" x14ac:dyDescent="0.25">
      <c r="A353" s="23"/>
    </row>
    <row r="354" spans="1:1" x14ac:dyDescent="0.25">
      <c r="A354" s="22"/>
    </row>
    <row r="355" spans="1:1" x14ac:dyDescent="0.25">
      <c r="A355" s="23"/>
    </row>
    <row r="356" spans="1:1" x14ac:dyDescent="0.25">
      <c r="A356" s="22"/>
    </row>
    <row r="357" spans="1:1" x14ac:dyDescent="0.25">
      <c r="A357" s="23"/>
    </row>
    <row r="358" spans="1:1" x14ac:dyDescent="0.25">
      <c r="A358" s="22"/>
    </row>
    <row r="359" spans="1:1" x14ac:dyDescent="0.25">
      <c r="A359" s="23"/>
    </row>
    <row r="360" spans="1:1" x14ac:dyDescent="0.25">
      <c r="A360" s="22"/>
    </row>
    <row r="361" spans="1:1" x14ac:dyDescent="0.25">
      <c r="A361" s="23"/>
    </row>
    <row r="362" spans="1:1" x14ac:dyDescent="0.25">
      <c r="A362" s="22"/>
    </row>
    <row r="363" spans="1:1" x14ac:dyDescent="0.25">
      <c r="A363" s="23"/>
    </row>
    <row r="364" spans="1:1" x14ac:dyDescent="0.25">
      <c r="A364" s="22"/>
    </row>
    <row r="365" spans="1:1" x14ac:dyDescent="0.25">
      <c r="A365" s="23"/>
    </row>
    <row r="366" spans="1:1" x14ac:dyDescent="0.25">
      <c r="A366" s="22"/>
    </row>
    <row r="367" spans="1:1" x14ac:dyDescent="0.25">
      <c r="A367" s="23"/>
    </row>
    <row r="368" spans="1:1" x14ac:dyDescent="0.25">
      <c r="A368" s="22"/>
    </row>
    <row r="369" spans="1:1" x14ac:dyDescent="0.25">
      <c r="A369" s="23"/>
    </row>
    <row r="370" spans="1:1" x14ac:dyDescent="0.25">
      <c r="A370" s="22"/>
    </row>
    <row r="371" spans="1:1" x14ac:dyDescent="0.25">
      <c r="A371" s="23"/>
    </row>
    <row r="372" spans="1:1" x14ac:dyDescent="0.25">
      <c r="A372" s="22"/>
    </row>
    <row r="373" spans="1:1" x14ac:dyDescent="0.25">
      <c r="A373" s="2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1"/>
  <sheetViews>
    <sheetView topLeftCell="A89" workbookViewId="0">
      <selection activeCell="F92" sqref="F92"/>
    </sheetView>
  </sheetViews>
  <sheetFormatPr defaultRowHeight="15" x14ac:dyDescent="0.25"/>
  <cols>
    <col min="3" max="3" width="17.28515625" customWidth="1"/>
    <col min="4" max="4" width="38.140625" customWidth="1"/>
  </cols>
  <sheetData>
    <row r="1" spans="1:6" ht="30" x14ac:dyDescent="0.25">
      <c r="A1" s="44" t="s">
        <v>1</v>
      </c>
      <c r="B1" s="44" t="s">
        <v>2</v>
      </c>
      <c r="C1" s="45" t="s">
        <v>3</v>
      </c>
      <c r="D1" s="44" t="s">
        <v>4</v>
      </c>
      <c r="E1" s="44" t="s">
        <v>5</v>
      </c>
      <c r="F1" s="44" t="s">
        <v>0</v>
      </c>
    </row>
    <row r="2" spans="1:6" ht="108" x14ac:dyDescent="0.25">
      <c r="A2" s="49" t="s">
        <v>6</v>
      </c>
      <c r="B2" s="49">
        <v>36001</v>
      </c>
      <c r="C2" s="45" t="s">
        <v>7</v>
      </c>
      <c r="D2" s="46" t="s">
        <v>1803</v>
      </c>
      <c r="E2" s="45"/>
      <c r="F2" s="42" t="s">
        <v>111</v>
      </c>
    </row>
    <row r="3" spans="1:6" ht="144" x14ac:dyDescent="0.25">
      <c r="A3" s="49" t="s">
        <v>6</v>
      </c>
      <c r="B3" s="49">
        <v>36002</v>
      </c>
      <c r="C3" s="45" t="s">
        <v>8</v>
      </c>
      <c r="D3" s="46" t="s">
        <v>1804</v>
      </c>
      <c r="E3" s="45"/>
      <c r="F3" s="42" t="s">
        <v>111</v>
      </c>
    </row>
    <row r="4" spans="1:6" ht="156" x14ac:dyDescent="0.25">
      <c r="A4" s="49" t="s">
        <v>6</v>
      </c>
      <c r="B4" s="49">
        <v>38219</v>
      </c>
      <c r="C4" s="45" t="s">
        <v>13</v>
      </c>
      <c r="D4" s="46" t="s">
        <v>1805</v>
      </c>
      <c r="E4" s="45"/>
      <c r="F4" s="42" t="s">
        <v>111</v>
      </c>
    </row>
    <row r="5" spans="1:6" ht="240" x14ac:dyDescent="0.25">
      <c r="A5" s="49" t="s">
        <v>19</v>
      </c>
      <c r="B5" s="49">
        <v>55101</v>
      </c>
      <c r="C5" s="45" t="s">
        <v>20</v>
      </c>
      <c r="D5" s="46" t="s">
        <v>1806</v>
      </c>
      <c r="E5" s="45" t="s">
        <v>2061</v>
      </c>
      <c r="F5" s="42" t="s">
        <v>111</v>
      </c>
    </row>
    <row r="6" spans="1:6" ht="84" x14ac:dyDescent="0.25">
      <c r="A6" s="49" t="s">
        <v>19</v>
      </c>
      <c r="B6" s="49">
        <v>55102</v>
      </c>
      <c r="C6" s="45" t="s">
        <v>21</v>
      </c>
      <c r="D6" s="46" t="s">
        <v>1807</v>
      </c>
      <c r="E6" s="45" t="s">
        <v>2062</v>
      </c>
      <c r="F6" s="42" t="s">
        <v>111</v>
      </c>
    </row>
    <row r="7" spans="1:6" ht="72" x14ac:dyDescent="0.25">
      <c r="A7" s="49" t="s">
        <v>19</v>
      </c>
      <c r="B7" s="49">
        <v>55103</v>
      </c>
      <c r="C7" s="45" t="s">
        <v>22</v>
      </c>
      <c r="D7" s="46" t="s">
        <v>1808</v>
      </c>
      <c r="E7" s="45" t="s">
        <v>2063</v>
      </c>
      <c r="F7" s="42" t="s">
        <v>111</v>
      </c>
    </row>
    <row r="8" spans="1:6" ht="24" x14ac:dyDescent="0.25">
      <c r="A8" s="49" t="s">
        <v>19</v>
      </c>
      <c r="B8" s="49">
        <v>55104</v>
      </c>
      <c r="C8" s="45" t="s">
        <v>23</v>
      </c>
      <c r="D8" s="46" t="s">
        <v>1809</v>
      </c>
      <c r="E8" s="45" t="s">
        <v>2064</v>
      </c>
      <c r="F8" s="42" t="s">
        <v>111</v>
      </c>
    </row>
    <row r="9" spans="1:6" ht="192" x14ac:dyDescent="0.25">
      <c r="A9" s="49" t="s">
        <v>19</v>
      </c>
      <c r="B9" s="49">
        <v>55105</v>
      </c>
      <c r="C9" s="45" t="s">
        <v>24</v>
      </c>
      <c r="D9" s="46" t="s">
        <v>1810</v>
      </c>
      <c r="E9" s="45" t="s">
        <v>2065</v>
      </c>
      <c r="F9" s="42" t="s">
        <v>111</v>
      </c>
    </row>
    <row r="10" spans="1:6" ht="168" x14ac:dyDescent="0.25">
      <c r="A10" s="49" t="s">
        <v>19</v>
      </c>
      <c r="B10" s="49">
        <v>55106</v>
      </c>
      <c r="C10" s="45" t="s">
        <v>25</v>
      </c>
      <c r="D10" s="46" t="s">
        <v>1811</v>
      </c>
      <c r="E10" s="45" t="s">
        <v>2066</v>
      </c>
      <c r="F10" s="42" t="s">
        <v>111</v>
      </c>
    </row>
    <row r="11" spans="1:6" ht="156" x14ac:dyDescent="0.25">
      <c r="A11" s="49" t="s">
        <v>19</v>
      </c>
      <c r="B11" s="50">
        <v>55201</v>
      </c>
      <c r="C11" s="45" t="s">
        <v>26</v>
      </c>
      <c r="D11" s="46" t="s">
        <v>1812</v>
      </c>
      <c r="E11" s="45" t="s">
        <v>2067</v>
      </c>
      <c r="F11" s="42" t="s">
        <v>111</v>
      </c>
    </row>
    <row r="12" spans="1:6" ht="132" x14ac:dyDescent="0.25">
      <c r="A12" s="49" t="s">
        <v>27</v>
      </c>
      <c r="B12" s="50">
        <v>58120</v>
      </c>
      <c r="C12" s="45" t="s">
        <v>28</v>
      </c>
      <c r="D12" s="46" t="s">
        <v>1813</v>
      </c>
      <c r="E12" s="45"/>
      <c r="F12" s="42" t="s">
        <v>111</v>
      </c>
    </row>
    <row r="13" spans="1:6" ht="72" x14ac:dyDescent="0.25">
      <c r="A13" s="49" t="s">
        <v>27</v>
      </c>
      <c r="B13" s="49">
        <v>60201</v>
      </c>
      <c r="C13" s="45" t="s">
        <v>33</v>
      </c>
      <c r="D13" s="46" t="s">
        <v>1814</v>
      </c>
      <c r="E13" s="45"/>
      <c r="F13" s="42" t="s">
        <v>111</v>
      </c>
    </row>
    <row r="14" spans="1:6" ht="60" x14ac:dyDescent="0.25">
      <c r="A14" s="49" t="s">
        <v>27</v>
      </c>
      <c r="B14" s="49">
        <v>60311</v>
      </c>
      <c r="C14" s="45" t="s">
        <v>34</v>
      </c>
      <c r="D14" s="46" t="s">
        <v>1815</v>
      </c>
      <c r="E14" s="45"/>
      <c r="F14" s="42" t="s">
        <v>111</v>
      </c>
    </row>
    <row r="15" spans="1:6" ht="60" x14ac:dyDescent="0.25">
      <c r="A15" s="49" t="s">
        <v>35</v>
      </c>
      <c r="B15" s="49">
        <v>61108</v>
      </c>
      <c r="C15" s="45" t="s">
        <v>40</v>
      </c>
      <c r="D15" s="46" t="s">
        <v>1816</v>
      </c>
      <c r="E15" s="45"/>
      <c r="F15" s="42" t="s">
        <v>111</v>
      </c>
    </row>
    <row r="16" spans="1:6" ht="120" x14ac:dyDescent="0.25">
      <c r="A16" s="49" t="s">
        <v>35</v>
      </c>
      <c r="B16" s="49">
        <v>61103</v>
      </c>
      <c r="C16" s="45" t="s">
        <v>1326</v>
      </c>
      <c r="D16" s="46" t="s">
        <v>1817</v>
      </c>
      <c r="E16" s="45"/>
      <c r="F16" s="42" t="s">
        <v>111</v>
      </c>
    </row>
    <row r="17" spans="1:6" ht="36" x14ac:dyDescent="0.25">
      <c r="A17" s="49" t="s">
        <v>46</v>
      </c>
      <c r="B17" s="49">
        <v>85101</v>
      </c>
      <c r="C17" s="45" t="s">
        <v>47</v>
      </c>
      <c r="D17" s="46" t="s">
        <v>112</v>
      </c>
      <c r="E17" s="45"/>
      <c r="F17" s="42" t="s">
        <v>111</v>
      </c>
    </row>
    <row r="18" spans="1:6" ht="60" x14ac:dyDescent="0.25">
      <c r="A18" s="49" t="s">
        <v>46</v>
      </c>
      <c r="B18" s="49">
        <v>85102</v>
      </c>
      <c r="C18" s="45" t="s">
        <v>48</v>
      </c>
      <c r="D18" s="46" t="s">
        <v>1826</v>
      </c>
      <c r="E18" s="45"/>
      <c r="F18" s="42" t="s">
        <v>111</v>
      </c>
    </row>
    <row r="19" spans="1:6" ht="72" x14ac:dyDescent="0.25">
      <c r="A19" s="49" t="s">
        <v>46</v>
      </c>
      <c r="B19" s="49">
        <v>85103</v>
      </c>
      <c r="C19" s="45" t="s">
        <v>49</v>
      </c>
      <c r="D19" s="46" t="s">
        <v>1827</v>
      </c>
      <c r="E19" s="45"/>
      <c r="F19" s="42" t="s">
        <v>111</v>
      </c>
    </row>
    <row r="20" spans="1:6" ht="120" x14ac:dyDescent="0.25">
      <c r="A20" s="49" t="s">
        <v>46</v>
      </c>
      <c r="B20" s="49">
        <v>85104</v>
      </c>
      <c r="C20" s="45" t="s">
        <v>50</v>
      </c>
      <c r="D20" s="46" t="s">
        <v>1828</v>
      </c>
      <c r="E20" s="45"/>
      <c r="F20" s="42" t="s">
        <v>111</v>
      </c>
    </row>
    <row r="21" spans="1:6" x14ac:dyDescent="0.25">
      <c r="A21" s="49" t="s">
        <v>46</v>
      </c>
      <c r="B21" s="49">
        <v>85201</v>
      </c>
      <c r="C21" s="45" t="s">
        <v>51</v>
      </c>
      <c r="D21" s="46" t="s">
        <v>1829</v>
      </c>
      <c r="E21" s="45"/>
      <c r="F21" s="42" t="s">
        <v>111</v>
      </c>
    </row>
    <row r="22" spans="1:6" ht="96" x14ac:dyDescent="0.25">
      <c r="A22" s="49" t="s">
        <v>46</v>
      </c>
      <c r="B22" s="49">
        <v>85202</v>
      </c>
      <c r="C22" s="45" t="s">
        <v>52</v>
      </c>
      <c r="D22" s="46" t="s">
        <v>1830</v>
      </c>
      <c r="E22" s="45"/>
      <c r="F22" s="42" t="s">
        <v>111</v>
      </c>
    </row>
    <row r="23" spans="1:6" ht="72" x14ac:dyDescent="0.25">
      <c r="A23" s="49" t="s">
        <v>46</v>
      </c>
      <c r="B23" s="49">
        <v>85203</v>
      </c>
      <c r="C23" s="45" t="s">
        <v>53</v>
      </c>
      <c r="D23" s="46" t="s">
        <v>1831</v>
      </c>
      <c r="E23" s="45"/>
      <c r="F23" s="42" t="s">
        <v>111</v>
      </c>
    </row>
    <row r="24" spans="1:6" ht="120" x14ac:dyDescent="0.25">
      <c r="A24" s="49" t="s">
        <v>46</v>
      </c>
      <c r="B24" s="49">
        <v>85204</v>
      </c>
      <c r="C24" s="45" t="s">
        <v>54</v>
      </c>
      <c r="D24" s="46" t="s">
        <v>1832</v>
      </c>
      <c r="E24" s="45"/>
      <c r="F24" s="42" t="s">
        <v>111</v>
      </c>
    </row>
    <row r="25" spans="1:6" ht="24" x14ac:dyDescent="0.25">
      <c r="A25" s="49" t="s">
        <v>46</v>
      </c>
      <c r="B25" s="49">
        <v>85311</v>
      </c>
      <c r="C25" s="45" t="s">
        <v>55</v>
      </c>
      <c r="D25" s="46" t="s">
        <v>1833</v>
      </c>
      <c r="E25" s="45"/>
      <c r="F25" s="42" t="s">
        <v>111</v>
      </c>
    </row>
    <row r="26" spans="1:6" ht="96" x14ac:dyDescent="0.25">
      <c r="A26" s="49" t="s">
        <v>46</v>
      </c>
      <c r="B26" s="49">
        <v>85312</v>
      </c>
      <c r="C26" s="45" t="s">
        <v>56</v>
      </c>
      <c r="D26" s="46" t="s">
        <v>1834</v>
      </c>
      <c r="E26" s="45"/>
      <c r="F26" s="42" t="s">
        <v>111</v>
      </c>
    </row>
    <row r="27" spans="1:6" ht="84" x14ac:dyDescent="0.25">
      <c r="A27" s="49" t="s">
        <v>46</v>
      </c>
      <c r="B27" s="49">
        <v>85313</v>
      </c>
      <c r="C27" s="45" t="s">
        <v>57</v>
      </c>
      <c r="D27" s="46" t="s">
        <v>1835</v>
      </c>
      <c r="E27" s="45"/>
      <c r="F27" s="42" t="s">
        <v>111</v>
      </c>
    </row>
    <row r="28" spans="1:6" ht="120" x14ac:dyDescent="0.25">
      <c r="A28" s="49" t="s">
        <v>46</v>
      </c>
      <c r="B28" s="49">
        <v>85314</v>
      </c>
      <c r="C28" s="45" t="s">
        <v>58</v>
      </c>
      <c r="D28" s="46" t="s">
        <v>1836</v>
      </c>
      <c r="E28" s="45"/>
      <c r="F28" s="42" t="s">
        <v>111</v>
      </c>
    </row>
    <row r="29" spans="1:6" ht="24" x14ac:dyDescent="0.25">
      <c r="A29" s="49" t="s">
        <v>46</v>
      </c>
      <c r="B29" s="49">
        <v>85315</v>
      </c>
      <c r="C29" s="45" t="s">
        <v>59</v>
      </c>
      <c r="D29" s="46" t="s">
        <v>1837</v>
      </c>
      <c r="E29" s="45"/>
      <c r="F29" s="42" t="s">
        <v>111</v>
      </c>
    </row>
    <row r="30" spans="1:6" ht="36" x14ac:dyDescent="0.25">
      <c r="A30" s="49" t="s">
        <v>46</v>
      </c>
      <c r="B30" s="49">
        <v>85316</v>
      </c>
      <c r="C30" s="45" t="s">
        <v>60</v>
      </c>
      <c r="D30" s="46" t="s">
        <v>1838</v>
      </c>
      <c r="E30" s="45"/>
      <c r="F30" s="42" t="s">
        <v>111</v>
      </c>
    </row>
    <row r="31" spans="1:6" ht="96" x14ac:dyDescent="0.25">
      <c r="A31" s="49" t="s">
        <v>46</v>
      </c>
      <c r="B31" s="49">
        <v>85317</v>
      </c>
      <c r="C31" s="45" t="s">
        <v>61</v>
      </c>
      <c r="D31" s="46" t="s">
        <v>1839</v>
      </c>
      <c r="E31" s="45"/>
      <c r="F31" s="42" t="s">
        <v>111</v>
      </c>
    </row>
    <row r="32" spans="1:6" ht="120" x14ac:dyDescent="0.25">
      <c r="A32" s="49" t="s">
        <v>46</v>
      </c>
      <c r="B32" s="49">
        <v>85318</v>
      </c>
      <c r="C32" s="45" t="s">
        <v>62</v>
      </c>
      <c r="D32" s="46" t="s">
        <v>1840</v>
      </c>
      <c r="E32" s="45"/>
      <c r="F32" s="42" t="s">
        <v>111</v>
      </c>
    </row>
    <row r="33" spans="1:6" ht="24" x14ac:dyDescent="0.25">
      <c r="A33" s="49" t="s">
        <v>46</v>
      </c>
      <c r="B33" s="49">
        <v>85321</v>
      </c>
      <c r="C33" s="45" t="s">
        <v>63</v>
      </c>
      <c r="D33" s="46" t="s">
        <v>1841</v>
      </c>
      <c r="E33" s="45"/>
      <c r="F33" s="42" t="s">
        <v>111</v>
      </c>
    </row>
    <row r="34" spans="1:6" ht="24" x14ac:dyDescent="0.25">
      <c r="A34" s="49" t="s">
        <v>46</v>
      </c>
      <c r="B34" s="49">
        <v>85322</v>
      </c>
      <c r="C34" s="45" t="s">
        <v>64</v>
      </c>
      <c r="D34" s="46" t="s">
        <v>1842</v>
      </c>
      <c r="E34" s="45"/>
      <c r="F34" s="42" t="s">
        <v>111</v>
      </c>
    </row>
    <row r="35" spans="1:6" ht="48" x14ac:dyDescent="0.25">
      <c r="A35" s="49" t="s">
        <v>46</v>
      </c>
      <c r="B35" s="49">
        <v>85401</v>
      </c>
      <c r="C35" s="45" t="s">
        <v>65</v>
      </c>
      <c r="D35" s="46" t="s">
        <v>1843</v>
      </c>
      <c r="E35" s="47"/>
      <c r="F35" s="42" t="s">
        <v>111</v>
      </c>
    </row>
    <row r="36" spans="1:6" ht="96" x14ac:dyDescent="0.25">
      <c r="A36" s="49" t="s">
        <v>46</v>
      </c>
      <c r="B36" s="49">
        <v>85402</v>
      </c>
      <c r="C36" s="45" t="s">
        <v>66</v>
      </c>
      <c r="D36" s="46" t="s">
        <v>1844</v>
      </c>
      <c r="E36" s="47"/>
      <c r="F36" s="42" t="s">
        <v>111</v>
      </c>
    </row>
    <row r="37" spans="1:6" ht="72" x14ac:dyDescent="0.25">
      <c r="A37" s="49" t="s">
        <v>46</v>
      </c>
      <c r="B37" s="49">
        <v>85403</v>
      </c>
      <c r="C37" s="45" t="s">
        <v>67</v>
      </c>
      <c r="D37" s="46" t="s">
        <v>1845</v>
      </c>
      <c r="E37" s="47"/>
      <c r="F37" s="42" t="s">
        <v>111</v>
      </c>
    </row>
    <row r="38" spans="1:6" ht="48" x14ac:dyDescent="0.25">
      <c r="A38" s="49" t="s">
        <v>46</v>
      </c>
      <c r="B38" s="49">
        <v>85404</v>
      </c>
      <c r="C38" s="45" t="s">
        <v>68</v>
      </c>
      <c r="D38" s="46" t="s">
        <v>1846</v>
      </c>
      <c r="E38" s="47"/>
      <c r="F38" s="42" t="s">
        <v>111</v>
      </c>
    </row>
    <row r="39" spans="1:6" ht="36" x14ac:dyDescent="0.25">
      <c r="A39" s="49" t="s">
        <v>46</v>
      </c>
      <c r="B39" s="49">
        <v>85560</v>
      </c>
      <c r="C39" s="45" t="s">
        <v>76</v>
      </c>
      <c r="D39" s="46" t="s">
        <v>1847</v>
      </c>
      <c r="E39" s="47"/>
      <c r="F39" s="42" t="s">
        <v>111</v>
      </c>
    </row>
    <row r="40" spans="1:6" ht="72" x14ac:dyDescent="0.25">
      <c r="A40" s="49" t="s">
        <v>46</v>
      </c>
      <c r="B40" s="49">
        <v>86101</v>
      </c>
      <c r="C40" s="45" t="s">
        <v>87</v>
      </c>
      <c r="D40" s="46" t="s">
        <v>114</v>
      </c>
      <c r="E40" s="47"/>
      <c r="F40" s="42" t="s">
        <v>111</v>
      </c>
    </row>
    <row r="41" spans="1:6" ht="48" x14ac:dyDescent="0.25">
      <c r="A41" s="49" t="s">
        <v>86</v>
      </c>
      <c r="B41" s="49">
        <v>86102</v>
      </c>
      <c r="C41" s="45" t="s">
        <v>88</v>
      </c>
      <c r="D41" s="46" t="s">
        <v>1848</v>
      </c>
      <c r="E41" s="42"/>
      <c r="F41" s="42" t="s">
        <v>111</v>
      </c>
    </row>
    <row r="42" spans="1:6" ht="72" x14ac:dyDescent="0.25">
      <c r="A42" s="49" t="s">
        <v>86</v>
      </c>
      <c r="B42" s="49">
        <v>86103</v>
      </c>
      <c r="C42" s="45" t="s">
        <v>89</v>
      </c>
      <c r="D42" s="46" t="s">
        <v>1849</v>
      </c>
      <c r="E42" s="42" t="s">
        <v>2068</v>
      </c>
      <c r="F42" s="42" t="s">
        <v>111</v>
      </c>
    </row>
    <row r="43" spans="1:6" ht="84" x14ac:dyDescent="0.25">
      <c r="A43" s="49" t="s">
        <v>86</v>
      </c>
      <c r="B43" s="49">
        <v>86105</v>
      </c>
      <c r="C43" s="45" t="s">
        <v>90</v>
      </c>
      <c r="D43" s="46" t="s">
        <v>1850</v>
      </c>
      <c r="E43" s="47"/>
      <c r="F43" s="42" t="s">
        <v>111</v>
      </c>
    </row>
    <row r="44" spans="1:6" ht="36" x14ac:dyDescent="0.25">
      <c r="A44" s="49" t="s">
        <v>86</v>
      </c>
      <c r="B44" s="50">
        <v>86201</v>
      </c>
      <c r="C44" s="45" t="s">
        <v>91</v>
      </c>
      <c r="D44" s="46" t="s">
        <v>1851</v>
      </c>
      <c r="E44" s="45"/>
      <c r="F44" s="42" t="s">
        <v>111</v>
      </c>
    </row>
    <row r="45" spans="1:6" ht="132" x14ac:dyDescent="0.25">
      <c r="A45" s="49" t="s">
        <v>86</v>
      </c>
      <c r="B45" s="49">
        <v>86202</v>
      </c>
      <c r="C45" s="45" t="s">
        <v>92</v>
      </c>
      <c r="D45" s="46" t="s">
        <v>115</v>
      </c>
      <c r="E45" s="47"/>
      <c r="F45" s="42" t="s">
        <v>111</v>
      </c>
    </row>
    <row r="46" spans="1:6" ht="96" x14ac:dyDescent="0.25">
      <c r="A46" s="49" t="s">
        <v>86</v>
      </c>
      <c r="B46" s="49">
        <v>86993</v>
      </c>
      <c r="C46" s="45" t="s">
        <v>94</v>
      </c>
      <c r="D46" s="46" t="s">
        <v>1852</v>
      </c>
      <c r="E46" s="47"/>
      <c r="F46" s="42" t="s">
        <v>111</v>
      </c>
    </row>
    <row r="47" spans="1:6" x14ac:dyDescent="0.25">
      <c r="A47" s="49" t="s">
        <v>86</v>
      </c>
      <c r="B47" s="49">
        <v>88903</v>
      </c>
      <c r="C47" s="45" t="s">
        <v>95</v>
      </c>
      <c r="D47" s="46" t="s">
        <v>1853</v>
      </c>
      <c r="E47" s="47"/>
      <c r="F47" s="42" t="s">
        <v>111</v>
      </c>
    </row>
    <row r="48" spans="1:6" ht="72" x14ac:dyDescent="0.25">
      <c r="A48" s="49" t="s">
        <v>86</v>
      </c>
      <c r="B48" s="49">
        <v>88906</v>
      </c>
      <c r="C48" s="45" t="s">
        <v>96</v>
      </c>
      <c r="D48" s="46" t="s">
        <v>1854</v>
      </c>
      <c r="E48" s="47"/>
      <c r="F48" s="42" t="s">
        <v>111</v>
      </c>
    </row>
    <row r="49" spans="1:6" ht="72" x14ac:dyDescent="0.25">
      <c r="A49" s="49" t="s">
        <v>86</v>
      </c>
      <c r="B49" s="49">
        <v>88907</v>
      </c>
      <c r="C49" s="45" t="s">
        <v>97</v>
      </c>
      <c r="D49" s="46" t="s">
        <v>1855</v>
      </c>
      <c r="E49" s="47"/>
      <c r="F49" s="42" t="s">
        <v>111</v>
      </c>
    </row>
    <row r="50" spans="1:6" ht="96" x14ac:dyDescent="0.25">
      <c r="A50" s="49" t="s">
        <v>98</v>
      </c>
      <c r="B50" s="49">
        <v>91111</v>
      </c>
      <c r="C50" s="45" t="s">
        <v>106</v>
      </c>
      <c r="D50" s="46" t="s">
        <v>1856</v>
      </c>
      <c r="E50" s="47"/>
      <c r="F50" s="42" t="s">
        <v>111</v>
      </c>
    </row>
    <row r="51" spans="1:6" ht="48" x14ac:dyDescent="0.25">
      <c r="A51" s="49" t="s">
        <v>98</v>
      </c>
      <c r="B51" s="49">
        <v>91211</v>
      </c>
      <c r="C51" s="45" t="s">
        <v>107</v>
      </c>
      <c r="D51" s="46" t="s">
        <v>1857</v>
      </c>
      <c r="E51" s="47"/>
      <c r="F51" s="42" t="s">
        <v>111</v>
      </c>
    </row>
    <row r="52" spans="1:6" ht="60" x14ac:dyDescent="0.25">
      <c r="A52" s="49" t="s">
        <v>98</v>
      </c>
      <c r="B52" s="49">
        <v>91221</v>
      </c>
      <c r="C52" s="45" t="s">
        <v>108</v>
      </c>
      <c r="D52" s="46" t="s">
        <v>1858</v>
      </c>
      <c r="E52" s="45"/>
      <c r="F52" s="42" t="s">
        <v>111</v>
      </c>
    </row>
    <row r="53" spans="1:6" ht="180" x14ac:dyDescent="0.25">
      <c r="A53" s="45" t="s">
        <v>6</v>
      </c>
      <c r="B53" s="51">
        <v>36003</v>
      </c>
      <c r="C53" s="45" t="s">
        <v>9</v>
      </c>
      <c r="D53" s="46" t="s">
        <v>1933</v>
      </c>
      <c r="E53" s="45"/>
      <c r="F53" s="42" t="s">
        <v>116</v>
      </c>
    </row>
    <row r="54" spans="1:6" ht="108" x14ac:dyDescent="0.25">
      <c r="A54" s="45" t="s">
        <v>6</v>
      </c>
      <c r="B54" s="51">
        <v>37001</v>
      </c>
      <c r="C54" s="45" t="s">
        <v>10</v>
      </c>
      <c r="D54" s="46" t="s">
        <v>1934</v>
      </c>
      <c r="E54" s="45"/>
      <c r="F54" s="42" t="s">
        <v>116</v>
      </c>
    </row>
    <row r="55" spans="1:6" ht="156" x14ac:dyDescent="0.25">
      <c r="A55" s="45" t="s">
        <v>6</v>
      </c>
      <c r="B55" s="51">
        <v>38110</v>
      </c>
      <c r="C55" s="45" t="s">
        <v>11</v>
      </c>
      <c r="D55" s="46" t="s">
        <v>1935</v>
      </c>
      <c r="E55" s="45"/>
      <c r="F55" s="42" t="s">
        <v>116</v>
      </c>
    </row>
    <row r="56" spans="1:6" ht="252" x14ac:dyDescent="0.25">
      <c r="A56" s="45" t="s">
        <v>6</v>
      </c>
      <c r="B56" s="51">
        <v>38212</v>
      </c>
      <c r="C56" s="45" t="s">
        <v>12</v>
      </c>
      <c r="D56" s="46" t="s">
        <v>1936</v>
      </c>
      <c r="E56" s="45"/>
      <c r="F56" s="42" t="s">
        <v>116</v>
      </c>
    </row>
    <row r="57" spans="1:6" ht="240" x14ac:dyDescent="0.25">
      <c r="A57" s="45" t="s">
        <v>6</v>
      </c>
      <c r="B57" s="51">
        <v>38301</v>
      </c>
      <c r="C57" s="45" t="s">
        <v>14</v>
      </c>
      <c r="D57" s="46" t="s">
        <v>1937</v>
      </c>
      <c r="E57" s="45"/>
      <c r="F57" s="42" t="s">
        <v>116</v>
      </c>
    </row>
    <row r="58" spans="1:6" ht="240" x14ac:dyDescent="0.25">
      <c r="A58" s="45" t="s">
        <v>6</v>
      </c>
      <c r="B58" s="51">
        <v>38302</v>
      </c>
      <c r="C58" s="45" t="s">
        <v>15</v>
      </c>
      <c r="D58" s="46" t="s">
        <v>1938</v>
      </c>
      <c r="E58" s="45"/>
      <c r="F58" s="42" t="s">
        <v>116</v>
      </c>
    </row>
    <row r="59" spans="1:6" ht="204" x14ac:dyDescent="0.25">
      <c r="A59" s="45" t="s">
        <v>19</v>
      </c>
      <c r="B59" s="51">
        <v>55204</v>
      </c>
      <c r="C59" s="45" t="s">
        <v>1291</v>
      </c>
      <c r="D59" s="46" t="s">
        <v>1939</v>
      </c>
      <c r="E59" s="45" t="s">
        <v>2069</v>
      </c>
      <c r="F59" s="42" t="s">
        <v>116</v>
      </c>
    </row>
    <row r="60" spans="1:6" ht="228" x14ac:dyDescent="0.25">
      <c r="A60" s="45" t="s">
        <v>19</v>
      </c>
      <c r="B60" s="51">
        <v>55209</v>
      </c>
      <c r="C60" s="45" t="s">
        <v>1292</v>
      </c>
      <c r="D60" s="46" t="s">
        <v>1940</v>
      </c>
      <c r="E60" s="45" t="s">
        <v>2070</v>
      </c>
      <c r="F60" s="42" t="s">
        <v>116</v>
      </c>
    </row>
    <row r="61" spans="1:6" ht="108" x14ac:dyDescent="0.25">
      <c r="A61" s="45" t="s">
        <v>19</v>
      </c>
      <c r="B61" s="51">
        <v>55300</v>
      </c>
      <c r="C61" s="45" t="s">
        <v>1293</v>
      </c>
      <c r="D61" s="46" t="s">
        <v>1941</v>
      </c>
      <c r="E61" s="45" t="s">
        <v>2071</v>
      </c>
      <c r="F61" s="42" t="s">
        <v>116</v>
      </c>
    </row>
    <row r="62" spans="1:6" ht="240" x14ac:dyDescent="0.25">
      <c r="A62" s="45" t="s">
        <v>19</v>
      </c>
      <c r="B62" s="51">
        <v>55901</v>
      </c>
      <c r="C62" s="45" t="s">
        <v>1295</v>
      </c>
      <c r="D62" s="46" t="s">
        <v>1942</v>
      </c>
      <c r="E62" s="45" t="s">
        <v>2072</v>
      </c>
      <c r="F62" s="42" t="s">
        <v>116</v>
      </c>
    </row>
    <row r="63" spans="1:6" ht="192" x14ac:dyDescent="0.25">
      <c r="A63" s="45" t="s">
        <v>19</v>
      </c>
      <c r="B63" s="51">
        <v>55909</v>
      </c>
      <c r="C63" s="45" t="s">
        <v>1296</v>
      </c>
      <c r="D63" s="46" t="s">
        <v>1943</v>
      </c>
      <c r="E63" s="45" t="s">
        <v>2073</v>
      </c>
      <c r="F63" s="42" t="s">
        <v>116</v>
      </c>
    </row>
    <row r="64" spans="1:6" ht="409.5" x14ac:dyDescent="0.25">
      <c r="A64" s="45" t="s">
        <v>19</v>
      </c>
      <c r="B64" s="51">
        <v>56101</v>
      </c>
      <c r="C64" s="45" t="s">
        <v>1297</v>
      </c>
      <c r="D64" s="46" t="s">
        <v>1944</v>
      </c>
      <c r="E64" s="45" t="s">
        <v>2074</v>
      </c>
      <c r="F64" s="42" t="s">
        <v>116</v>
      </c>
    </row>
    <row r="65" spans="1:6" ht="168" x14ac:dyDescent="0.25">
      <c r="A65" s="45" t="s">
        <v>19</v>
      </c>
      <c r="B65" s="51">
        <v>56102</v>
      </c>
      <c r="C65" s="45" t="s">
        <v>1298</v>
      </c>
      <c r="D65" s="46" t="s">
        <v>1945</v>
      </c>
      <c r="E65" s="45" t="s">
        <v>2075</v>
      </c>
      <c r="F65" s="42" t="s">
        <v>116</v>
      </c>
    </row>
    <row r="66" spans="1:6" ht="204" x14ac:dyDescent="0.25">
      <c r="A66" s="45" t="s">
        <v>19</v>
      </c>
      <c r="B66" s="51">
        <v>56210</v>
      </c>
      <c r="C66" s="45" t="s">
        <v>1299</v>
      </c>
      <c r="D66" s="46" t="s">
        <v>1946</v>
      </c>
      <c r="E66" s="45" t="s">
        <v>2076</v>
      </c>
      <c r="F66" s="42" t="s">
        <v>116</v>
      </c>
    </row>
    <row r="67" spans="1:6" ht="156" x14ac:dyDescent="0.25">
      <c r="A67" s="45" t="s">
        <v>19</v>
      </c>
      <c r="B67" s="51">
        <v>56290</v>
      </c>
      <c r="C67" s="45" t="s">
        <v>1300</v>
      </c>
      <c r="D67" s="46" t="s">
        <v>1947</v>
      </c>
      <c r="E67" s="45" t="s">
        <v>2077</v>
      </c>
      <c r="F67" s="42" t="s">
        <v>116</v>
      </c>
    </row>
    <row r="68" spans="1:6" ht="72" x14ac:dyDescent="0.25">
      <c r="A68" s="45" t="s">
        <v>19</v>
      </c>
      <c r="B68" s="51">
        <v>56301</v>
      </c>
      <c r="C68" s="45" t="s">
        <v>1301</v>
      </c>
      <c r="D68" s="46" t="s">
        <v>1948</v>
      </c>
      <c r="E68" s="45" t="s">
        <v>2078</v>
      </c>
      <c r="F68" s="42" t="s">
        <v>116</v>
      </c>
    </row>
    <row r="69" spans="1:6" ht="48" x14ac:dyDescent="0.25">
      <c r="A69" s="45" t="s">
        <v>19</v>
      </c>
      <c r="B69" s="51">
        <v>56302</v>
      </c>
      <c r="C69" s="45" t="s">
        <v>1302</v>
      </c>
      <c r="D69" s="46" t="s">
        <v>1949</v>
      </c>
      <c r="E69" s="45" t="s">
        <v>2079</v>
      </c>
      <c r="F69" s="42" t="s">
        <v>116</v>
      </c>
    </row>
    <row r="70" spans="1:6" ht="384" x14ac:dyDescent="0.25">
      <c r="A70" s="45" t="s">
        <v>19</v>
      </c>
      <c r="B70" s="51">
        <v>56303</v>
      </c>
      <c r="C70" s="45" t="s">
        <v>1303</v>
      </c>
      <c r="D70" s="46" t="s">
        <v>1950</v>
      </c>
      <c r="E70" s="45" t="s">
        <v>2080</v>
      </c>
      <c r="F70" s="42" t="s">
        <v>116</v>
      </c>
    </row>
    <row r="71" spans="1:6" ht="144" x14ac:dyDescent="0.25">
      <c r="A71" s="45" t="s">
        <v>19</v>
      </c>
      <c r="B71" s="51">
        <v>56304</v>
      </c>
      <c r="C71" s="45" t="s">
        <v>1304</v>
      </c>
      <c r="D71" s="46" t="s">
        <v>1951</v>
      </c>
      <c r="E71" s="45" t="s">
        <v>2081</v>
      </c>
      <c r="F71" s="42" t="s">
        <v>116</v>
      </c>
    </row>
    <row r="72" spans="1:6" ht="324" x14ac:dyDescent="0.25">
      <c r="A72" s="45" t="s">
        <v>19</v>
      </c>
      <c r="B72" s="51">
        <v>56305</v>
      </c>
      <c r="C72" s="45" t="s">
        <v>1305</v>
      </c>
      <c r="D72" s="46" t="s">
        <v>1952</v>
      </c>
      <c r="E72" s="45" t="s">
        <v>2082</v>
      </c>
      <c r="F72" s="42" t="s">
        <v>116</v>
      </c>
    </row>
    <row r="73" spans="1:6" ht="144" x14ac:dyDescent="0.25">
      <c r="A73" s="45" t="s">
        <v>19</v>
      </c>
      <c r="B73" s="51">
        <v>56306</v>
      </c>
      <c r="C73" s="45" t="s">
        <v>1306</v>
      </c>
      <c r="D73" s="46" t="s">
        <v>1953</v>
      </c>
      <c r="E73" s="45" t="s">
        <v>2083</v>
      </c>
      <c r="F73" s="42" t="s">
        <v>116</v>
      </c>
    </row>
    <row r="74" spans="1:6" ht="144" x14ac:dyDescent="0.25">
      <c r="A74" s="45" t="s">
        <v>27</v>
      </c>
      <c r="B74" s="51">
        <v>59112</v>
      </c>
      <c r="C74" s="45" t="s">
        <v>2084</v>
      </c>
      <c r="D74" s="46" t="s">
        <v>1954</v>
      </c>
      <c r="E74" s="45"/>
      <c r="F74" s="42" t="s">
        <v>116</v>
      </c>
    </row>
    <row r="75" spans="1:6" ht="60" x14ac:dyDescent="0.25">
      <c r="A75" s="45" t="s">
        <v>27</v>
      </c>
      <c r="B75" s="51">
        <v>59140</v>
      </c>
      <c r="C75" s="45" t="s">
        <v>30</v>
      </c>
      <c r="D75" s="46" t="s">
        <v>1955</v>
      </c>
      <c r="E75" s="45"/>
      <c r="F75" s="42" t="s">
        <v>116</v>
      </c>
    </row>
    <row r="76" spans="1:6" ht="84" x14ac:dyDescent="0.25">
      <c r="A76" s="45" t="s">
        <v>27</v>
      </c>
      <c r="B76" s="51">
        <v>59201</v>
      </c>
      <c r="C76" s="45" t="s">
        <v>31</v>
      </c>
      <c r="D76" s="46" t="s">
        <v>117</v>
      </c>
      <c r="E76" s="45"/>
      <c r="F76" s="42" t="s">
        <v>116</v>
      </c>
    </row>
    <row r="77" spans="1:6" ht="84" x14ac:dyDescent="0.25">
      <c r="A77" s="45" t="s">
        <v>27</v>
      </c>
      <c r="B77" s="51">
        <v>60101</v>
      </c>
      <c r="C77" s="45" t="s">
        <v>32</v>
      </c>
      <c r="D77" s="46" t="s">
        <v>1956</v>
      </c>
      <c r="E77" s="45"/>
      <c r="F77" s="42" t="s">
        <v>116</v>
      </c>
    </row>
    <row r="78" spans="1:6" ht="48" x14ac:dyDescent="0.25">
      <c r="A78" s="45" t="s">
        <v>35</v>
      </c>
      <c r="B78" s="51">
        <v>61101</v>
      </c>
      <c r="C78" s="45" t="s">
        <v>36</v>
      </c>
      <c r="D78" s="46" t="s">
        <v>1957</v>
      </c>
      <c r="E78" s="45"/>
      <c r="F78" s="42" t="s">
        <v>116</v>
      </c>
    </row>
    <row r="79" spans="1:6" ht="60" x14ac:dyDescent="0.25">
      <c r="A79" s="45" t="s">
        <v>35</v>
      </c>
      <c r="B79" s="51">
        <v>61102</v>
      </c>
      <c r="C79" s="45" t="s">
        <v>37</v>
      </c>
      <c r="D79" s="46" t="s">
        <v>1958</v>
      </c>
      <c r="E79" s="45"/>
      <c r="F79" s="42" t="s">
        <v>116</v>
      </c>
    </row>
    <row r="80" spans="1:6" ht="204" x14ac:dyDescent="0.25">
      <c r="A80" s="45" t="s">
        <v>35</v>
      </c>
      <c r="B80" s="51">
        <v>61104</v>
      </c>
      <c r="C80" s="45" t="s">
        <v>38</v>
      </c>
      <c r="D80" s="46" t="s">
        <v>1959</v>
      </c>
      <c r="E80" s="45"/>
      <c r="F80" s="42" t="s">
        <v>116</v>
      </c>
    </row>
    <row r="81" spans="1:6" ht="108" x14ac:dyDescent="0.25">
      <c r="A81" s="45" t="s">
        <v>35</v>
      </c>
      <c r="B81" s="51">
        <v>61106</v>
      </c>
      <c r="C81" s="45" t="s">
        <v>39</v>
      </c>
      <c r="D81" s="46" t="s">
        <v>1960</v>
      </c>
      <c r="E81" s="45"/>
      <c r="F81" s="42" t="s">
        <v>116</v>
      </c>
    </row>
    <row r="82" spans="1:6" ht="276" x14ac:dyDescent="0.25">
      <c r="A82" s="45" t="s">
        <v>35</v>
      </c>
      <c r="B82" s="51">
        <v>61209</v>
      </c>
      <c r="C82" s="45" t="s">
        <v>2085</v>
      </c>
      <c r="D82" s="48" t="s">
        <v>1961</v>
      </c>
      <c r="E82" s="45"/>
      <c r="F82" s="42" t="s">
        <v>116</v>
      </c>
    </row>
    <row r="83" spans="1:6" ht="228" x14ac:dyDescent="0.25">
      <c r="A83" s="45" t="s">
        <v>35</v>
      </c>
      <c r="B83" s="51">
        <v>62199</v>
      </c>
      <c r="C83" s="45" t="s">
        <v>43</v>
      </c>
      <c r="D83" s="46" t="s">
        <v>1962</v>
      </c>
      <c r="E83" s="45"/>
      <c r="F83" s="42" t="s">
        <v>116</v>
      </c>
    </row>
    <row r="84" spans="1:6" ht="288" x14ac:dyDescent="0.25">
      <c r="A84" s="45" t="s">
        <v>35</v>
      </c>
      <c r="B84" s="51">
        <v>62900</v>
      </c>
      <c r="C84" s="45" t="s">
        <v>44</v>
      </c>
      <c r="D84" s="46" t="s">
        <v>1963</v>
      </c>
      <c r="E84" s="47"/>
      <c r="F84" s="42" t="s">
        <v>116</v>
      </c>
    </row>
    <row r="85" spans="1:6" ht="180" x14ac:dyDescent="0.25">
      <c r="A85" s="45" t="s">
        <v>35</v>
      </c>
      <c r="B85" s="51">
        <v>63101</v>
      </c>
      <c r="C85" s="45" t="s">
        <v>45</v>
      </c>
      <c r="D85" s="46" t="s">
        <v>1964</v>
      </c>
      <c r="E85" s="47"/>
      <c r="F85" s="42" t="s">
        <v>116</v>
      </c>
    </row>
    <row r="86" spans="1:6" ht="96" x14ac:dyDescent="0.25">
      <c r="A86" s="45" t="s">
        <v>46</v>
      </c>
      <c r="B86" s="51">
        <v>85510</v>
      </c>
      <c r="C86" s="45" t="s">
        <v>69</v>
      </c>
      <c r="D86" s="46" t="s">
        <v>1966</v>
      </c>
      <c r="E86" s="47"/>
      <c r="F86" s="42" t="s">
        <v>116</v>
      </c>
    </row>
    <row r="87" spans="1:6" ht="96" x14ac:dyDescent="0.25">
      <c r="A87" s="45" t="s">
        <v>46</v>
      </c>
      <c r="B87" s="51">
        <v>85520</v>
      </c>
      <c r="C87" s="45" t="s">
        <v>70</v>
      </c>
      <c r="D87" s="46" t="s">
        <v>1967</v>
      </c>
      <c r="E87" s="47"/>
      <c r="F87" s="42" t="s">
        <v>116</v>
      </c>
    </row>
    <row r="88" spans="1:6" ht="38.25" x14ac:dyDescent="0.25">
      <c r="A88" s="45" t="s">
        <v>46</v>
      </c>
      <c r="B88" s="51">
        <v>85530</v>
      </c>
      <c r="C88" s="45" t="s">
        <v>71</v>
      </c>
      <c r="D88" s="46" t="s">
        <v>1968</v>
      </c>
      <c r="E88" s="47"/>
      <c r="F88" s="42" t="s">
        <v>116</v>
      </c>
    </row>
    <row r="89" spans="1:6" ht="48" x14ac:dyDescent="0.25">
      <c r="A89" s="45" t="s">
        <v>46</v>
      </c>
      <c r="B89" s="51">
        <v>85542</v>
      </c>
      <c r="C89" s="45" t="s">
        <v>73</v>
      </c>
      <c r="D89" s="46" t="s">
        <v>1969</v>
      </c>
      <c r="E89" s="47"/>
      <c r="F89" s="42" t="s">
        <v>116</v>
      </c>
    </row>
    <row r="90" spans="1:6" ht="108" x14ac:dyDescent="0.25">
      <c r="A90" s="45" t="s">
        <v>46</v>
      </c>
      <c r="B90" s="51">
        <v>85592</v>
      </c>
      <c r="C90" s="45" t="s">
        <v>81</v>
      </c>
      <c r="D90" s="46" t="s">
        <v>113</v>
      </c>
      <c r="E90" s="47"/>
      <c r="F90" s="42" t="s">
        <v>116</v>
      </c>
    </row>
    <row r="91" spans="1:6" ht="60" x14ac:dyDescent="0.25">
      <c r="A91" s="45" t="s">
        <v>46</v>
      </c>
      <c r="B91" s="51">
        <v>85593</v>
      </c>
      <c r="C91" s="45" t="s">
        <v>82</v>
      </c>
      <c r="D91" s="46" t="s">
        <v>1970</v>
      </c>
      <c r="E91" s="42"/>
      <c r="F91" s="42" t="s">
        <v>116</v>
      </c>
    </row>
    <row r="92" spans="1:6" ht="38.25" x14ac:dyDescent="0.25">
      <c r="A92" s="45" t="s">
        <v>46</v>
      </c>
      <c r="B92" s="51">
        <v>85595</v>
      </c>
      <c r="C92" s="45" t="s">
        <v>83</v>
      </c>
      <c r="D92" s="46" t="s">
        <v>1971</v>
      </c>
      <c r="E92" s="42"/>
      <c r="F92" s="42" t="s">
        <v>116</v>
      </c>
    </row>
    <row r="93" spans="1:6" ht="144" x14ac:dyDescent="0.25">
      <c r="A93" s="45" t="s">
        <v>46</v>
      </c>
      <c r="B93" s="51">
        <v>85599</v>
      </c>
      <c r="C93" s="45" t="s">
        <v>85</v>
      </c>
      <c r="D93" s="46" t="s">
        <v>1972</v>
      </c>
      <c r="E93" s="45"/>
      <c r="F93" s="42" t="s">
        <v>116</v>
      </c>
    </row>
    <row r="94" spans="1:6" ht="48" x14ac:dyDescent="0.25">
      <c r="A94" s="45" t="s">
        <v>86</v>
      </c>
      <c r="B94" s="51">
        <v>86992</v>
      </c>
      <c r="C94" s="45" t="s">
        <v>1636</v>
      </c>
      <c r="D94" s="46" t="s">
        <v>1973</v>
      </c>
      <c r="E94" s="45"/>
      <c r="F94" s="42" t="s">
        <v>116</v>
      </c>
    </row>
    <row r="95" spans="1:6" ht="48" x14ac:dyDescent="0.25">
      <c r="A95" s="45" t="s">
        <v>98</v>
      </c>
      <c r="B95" s="51">
        <v>90111</v>
      </c>
      <c r="C95" s="45" t="s">
        <v>99</v>
      </c>
      <c r="D95" s="46" t="s">
        <v>1974</v>
      </c>
      <c r="E95" s="47"/>
      <c r="F95" s="42" t="s">
        <v>116</v>
      </c>
    </row>
    <row r="96" spans="1:6" ht="60" x14ac:dyDescent="0.25">
      <c r="A96" s="45" t="s">
        <v>98</v>
      </c>
      <c r="B96" s="51">
        <v>90112</v>
      </c>
      <c r="C96" s="45" t="s">
        <v>100</v>
      </c>
      <c r="D96" s="46" t="s">
        <v>1975</v>
      </c>
      <c r="E96" s="47"/>
      <c r="F96" s="42" t="s">
        <v>116</v>
      </c>
    </row>
    <row r="97" spans="1:6" ht="38.25" x14ac:dyDescent="0.25">
      <c r="A97" s="45" t="s">
        <v>98</v>
      </c>
      <c r="B97" s="51">
        <v>90120</v>
      </c>
      <c r="C97" s="45" t="s">
        <v>101</v>
      </c>
      <c r="D97" s="46" t="s">
        <v>1976</v>
      </c>
      <c r="E97" s="47"/>
      <c r="F97" s="42" t="s">
        <v>116</v>
      </c>
    </row>
    <row r="98" spans="1:6" ht="38.25" x14ac:dyDescent="0.25">
      <c r="A98" s="45" t="s">
        <v>98</v>
      </c>
      <c r="B98" s="51">
        <v>90130</v>
      </c>
      <c r="C98" s="45" t="s">
        <v>102</v>
      </c>
      <c r="D98" s="46" t="s">
        <v>2086</v>
      </c>
      <c r="E98" s="47"/>
      <c r="F98" s="42" t="s">
        <v>116</v>
      </c>
    </row>
    <row r="99" spans="1:6" ht="60" x14ac:dyDescent="0.25">
      <c r="A99" s="45" t="s">
        <v>98</v>
      </c>
      <c r="B99" s="52">
        <v>90200</v>
      </c>
      <c r="C99" s="45" t="s">
        <v>103</v>
      </c>
      <c r="D99" s="48" t="s">
        <v>2087</v>
      </c>
      <c r="E99" s="47"/>
      <c r="F99" s="42" t="s">
        <v>116</v>
      </c>
    </row>
    <row r="100" spans="1:6" ht="38.25" x14ac:dyDescent="0.25">
      <c r="A100" s="45" t="s">
        <v>98</v>
      </c>
      <c r="B100" s="51">
        <v>90391</v>
      </c>
      <c r="C100" s="45" t="s">
        <v>104</v>
      </c>
      <c r="D100" s="46" t="s">
        <v>1979</v>
      </c>
      <c r="E100" s="47"/>
      <c r="F100" s="42" t="s">
        <v>116</v>
      </c>
    </row>
    <row r="101" spans="1:6" ht="38.25" x14ac:dyDescent="0.25">
      <c r="A101" s="45" t="s">
        <v>98</v>
      </c>
      <c r="B101" s="51">
        <v>90399</v>
      </c>
      <c r="C101" s="45" t="s">
        <v>105</v>
      </c>
      <c r="D101" s="46" t="s">
        <v>1980</v>
      </c>
      <c r="E101" s="45"/>
      <c r="F101" s="42" t="s">
        <v>116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7"/>
  <sheetViews>
    <sheetView workbookViewId="0">
      <pane ySplit="1" topLeftCell="A2" activePane="bottomLeft" state="frozen"/>
      <selection pane="bottomLeft" activeCell="F120" sqref="F120"/>
    </sheetView>
  </sheetViews>
  <sheetFormatPr defaultRowHeight="15" x14ac:dyDescent="0.25"/>
  <cols>
    <col min="1" max="2" width="9.140625" style="62"/>
    <col min="3" max="4" width="28.5703125" style="62" customWidth="1"/>
    <col min="5" max="8" width="28.5703125" customWidth="1"/>
    <col min="9" max="9" width="41" style="62" customWidth="1"/>
  </cols>
  <sheetData>
    <row r="1" spans="1:9" s="55" customFormat="1" ht="15.75" thickBot="1" x14ac:dyDescent="0.3">
      <c r="A1" s="62" t="s">
        <v>1</v>
      </c>
      <c r="B1" s="62" t="s">
        <v>2</v>
      </c>
      <c r="C1" s="62" t="s">
        <v>3</v>
      </c>
      <c r="D1" s="62" t="s">
        <v>2129</v>
      </c>
      <c r="E1" s="62" t="s">
        <v>2130</v>
      </c>
      <c r="F1" s="62" t="s">
        <v>2131</v>
      </c>
      <c r="G1" s="62" t="s">
        <v>2132</v>
      </c>
      <c r="H1" s="62" t="s">
        <v>2133</v>
      </c>
      <c r="I1" s="62"/>
    </row>
    <row r="2" spans="1:9" ht="77.25" thickBot="1" x14ac:dyDescent="0.3">
      <c r="A2" s="63" t="s">
        <v>907</v>
      </c>
      <c r="B2" s="64">
        <v>35111</v>
      </c>
      <c r="C2" s="16" t="s">
        <v>2119</v>
      </c>
      <c r="D2" s="65" t="s">
        <v>2246</v>
      </c>
      <c r="E2" s="60" t="s">
        <v>2377</v>
      </c>
      <c r="F2" s="60" t="s">
        <v>2435</v>
      </c>
      <c r="G2" s="65" t="s">
        <v>2527</v>
      </c>
      <c r="H2" s="65" t="s">
        <v>2561</v>
      </c>
    </row>
    <row r="3" spans="1:9" ht="64.5" thickBot="1" x14ac:dyDescent="0.3">
      <c r="A3" s="66" t="s">
        <v>907</v>
      </c>
      <c r="B3" s="64">
        <v>35112</v>
      </c>
      <c r="C3" s="16" t="s">
        <v>2120</v>
      </c>
      <c r="D3" s="65" t="s">
        <v>2247</v>
      </c>
      <c r="E3" s="60" t="s">
        <v>2378</v>
      </c>
      <c r="F3" s="60" t="s">
        <v>2435</v>
      </c>
      <c r="G3" s="65" t="s">
        <v>2528</v>
      </c>
      <c r="H3" s="65" t="s">
        <v>2561</v>
      </c>
    </row>
    <row r="4" spans="1:9" ht="64.5" thickBot="1" x14ac:dyDescent="0.3">
      <c r="A4" s="63" t="s">
        <v>907</v>
      </c>
      <c r="B4" s="64">
        <v>35120</v>
      </c>
      <c r="C4" s="16" t="s">
        <v>909</v>
      </c>
      <c r="D4" s="65" t="s">
        <v>2248</v>
      </c>
      <c r="E4" s="60" t="s">
        <v>2379</v>
      </c>
      <c r="F4" s="60" t="s">
        <v>2435</v>
      </c>
      <c r="G4" s="65" t="s">
        <v>2529</v>
      </c>
      <c r="H4" s="65" t="s">
        <v>2530</v>
      </c>
    </row>
    <row r="5" spans="1:9" ht="64.5" thickBot="1" x14ac:dyDescent="0.3">
      <c r="A5" s="63" t="s">
        <v>907</v>
      </c>
      <c r="B5" s="64">
        <v>35131</v>
      </c>
      <c r="C5" s="67" t="s">
        <v>910</v>
      </c>
      <c r="D5" s="65" t="s">
        <v>2249</v>
      </c>
      <c r="E5" s="60" t="s">
        <v>2380</v>
      </c>
      <c r="F5" s="60" t="s">
        <v>2436</v>
      </c>
      <c r="G5" s="65" t="s">
        <v>2530</v>
      </c>
      <c r="H5" s="65" t="s">
        <v>2562</v>
      </c>
    </row>
    <row r="6" spans="1:9" ht="39" thickBot="1" x14ac:dyDescent="0.3">
      <c r="A6" s="63" t="s">
        <v>907</v>
      </c>
      <c r="B6" s="64">
        <v>35132</v>
      </c>
      <c r="C6" s="16" t="s">
        <v>911</v>
      </c>
      <c r="D6" s="65" t="s">
        <v>2250</v>
      </c>
      <c r="E6" s="60" t="s">
        <v>2381</v>
      </c>
      <c r="F6" s="60" t="s">
        <v>2437</v>
      </c>
      <c r="G6" s="65" t="s">
        <v>2531</v>
      </c>
      <c r="H6" s="65" t="s">
        <v>2563</v>
      </c>
    </row>
    <row r="7" spans="1:9" ht="60.75" thickBot="1" x14ac:dyDescent="0.3">
      <c r="A7" s="63" t="s">
        <v>907</v>
      </c>
      <c r="B7" s="64">
        <v>35133</v>
      </c>
      <c r="C7" s="57" t="s">
        <v>2121</v>
      </c>
      <c r="D7" s="65" t="s">
        <v>2251</v>
      </c>
      <c r="E7" s="60" t="s">
        <v>2036</v>
      </c>
      <c r="F7" s="60" t="s">
        <v>2438</v>
      </c>
      <c r="G7" s="65" t="s">
        <v>2530</v>
      </c>
      <c r="H7" s="65" t="s">
        <v>2564</v>
      </c>
    </row>
    <row r="8" spans="1:9" ht="51.75" thickBot="1" x14ac:dyDescent="0.3">
      <c r="A8" s="63" t="s">
        <v>907</v>
      </c>
      <c r="B8" s="64">
        <v>35140</v>
      </c>
      <c r="C8" s="67" t="s">
        <v>913</v>
      </c>
      <c r="D8" s="65" t="s">
        <v>2252</v>
      </c>
      <c r="E8" s="60" t="s">
        <v>2382</v>
      </c>
      <c r="F8" s="60" t="s">
        <v>2439</v>
      </c>
      <c r="G8" s="65" t="s">
        <v>2530</v>
      </c>
      <c r="H8" s="65" t="s">
        <v>2565</v>
      </c>
    </row>
    <row r="9" spans="1:9" ht="39" thickBot="1" x14ac:dyDescent="0.3">
      <c r="A9" s="63" t="s">
        <v>907</v>
      </c>
      <c r="B9" s="64">
        <v>35151</v>
      </c>
      <c r="C9" s="67" t="s">
        <v>914</v>
      </c>
      <c r="D9" s="65" t="s">
        <v>2253</v>
      </c>
      <c r="E9" s="60" t="s">
        <v>2383</v>
      </c>
      <c r="F9" s="60" t="s">
        <v>2440</v>
      </c>
      <c r="G9" s="65" t="s">
        <v>2532</v>
      </c>
      <c r="H9" s="65" t="s">
        <v>2566</v>
      </c>
    </row>
    <row r="10" spans="1:9" ht="45.75" thickBot="1" x14ac:dyDescent="0.3">
      <c r="A10" s="63" t="s">
        <v>907</v>
      </c>
      <c r="B10" s="64">
        <v>35152</v>
      </c>
      <c r="C10" s="16" t="s">
        <v>915</v>
      </c>
      <c r="D10" s="65" t="s">
        <v>2254</v>
      </c>
      <c r="E10" s="60" t="s">
        <v>2384</v>
      </c>
      <c r="F10" s="60" t="s">
        <v>2440</v>
      </c>
      <c r="G10" s="65" t="s">
        <v>2533</v>
      </c>
      <c r="H10" s="65" t="s">
        <v>2566</v>
      </c>
    </row>
    <row r="11" spans="1:9" ht="30.75" thickBot="1" x14ac:dyDescent="0.3">
      <c r="A11" s="63" t="s">
        <v>907</v>
      </c>
      <c r="B11" s="64">
        <v>35159</v>
      </c>
      <c r="C11" s="16" t="s">
        <v>916</v>
      </c>
      <c r="D11" s="65" t="s">
        <v>2255</v>
      </c>
      <c r="E11" s="60" t="s">
        <v>2385</v>
      </c>
      <c r="F11" s="60" t="s">
        <v>2441</v>
      </c>
      <c r="G11" s="65" t="s">
        <v>2534</v>
      </c>
      <c r="H11" s="65" t="s">
        <v>2567</v>
      </c>
    </row>
    <row r="12" spans="1:9" ht="30.75" thickBot="1" x14ac:dyDescent="0.3">
      <c r="A12" s="63" t="s">
        <v>907</v>
      </c>
      <c r="B12" s="64">
        <v>35201</v>
      </c>
      <c r="C12" s="67" t="s">
        <v>917</v>
      </c>
      <c r="D12" s="65" t="s">
        <v>2256</v>
      </c>
      <c r="E12" s="60" t="s">
        <v>2386</v>
      </c>
      <c r="F12" s="60" t="s">
        <v>2442</v>
      </c>
      <c r="G12" s="65" t="s">
        <v>2535</v>
      </c>
      <c r="H12" s="65" t="s">
        <v>2568</v>
      </c>
    </row>
    <row r="13" spans="1:9" ht="30.75" thickBot="1" x14ac:dyDescent="0.3">
      <c r="A13" s="63" t="s">
        <v>907</v>
      </c>
      <c r="B13" s="64">
        <v>35202</v>
      </c>
      <c r="C13" s="16" t="s">
        <v>918</v>
      </c>
      <c r="D13" s="65" t="s">
        <v>2257</v>
      </c>
      <c r="E13" s="60" t="s">
        <v>2387</v>
      </c>
      <c r="F13" s="60" t="s">
        <v>2443</v>
      </c>
      <c r="G13" s="65" t="s">
        <v>2536</v>
      </c>
      <c r="H13" s="65" t="s">
        <v>2569</v>
      </c>
    </row>
    <row r="14" spans="1:9" ht="39" thickBot="1" x14ac:dyDescent="0.3">
      <c r="A14" s="63" t="s">
        <v>907</v>
      </c>
      <c r="B14" s="64">
        <v>35301</v>
      </c>
      <c r="C14" s="16" t="s">
        <v>919</v>
      </c>
      <c r="D14" s="65" t="s">
        <v>2258</v>
      </c>
      <c r="E14" s="60" t="s">
        <v>2388</v>
      </c>
      <c r="F14" s="60" t="s">
        <v>2444</v>
      </c>
      <c r="G14" s="65" t="s">
        <v>2537</v>
      </c>
      <c r="H14" s="65" t="s">
        <v>2570</v>
      </c>
    </row>
    <row r="15" spans="1:9" ht="39" thickBot="1" x14ac:dyDescent="0.3">
      <c r="A15" s="63" t="s">
        <v>907</v>
      </c>
      <c r="B15" s="64">
        <v>35302</v>
      </c>
      <c r="C15" s="67" t="s">
        <v>920</v>
      </c>
      <c r="D15" s="65" t="s">
        <v>2259</v>
      </c>
      <c r="E15" s="60" t="s">
        <v>2389</v>
      </c>
      <c r="F15" s="60" t="s">
        <v>2444</v>
      </c>
      <c r="G15" s="65" t="s">
        <v>2538</v>
      </c>
      <c r="H15" s="65" t="s">
        <v>2571</v>
      </c>
    </row>
    <row r="16" spans="1:9" ht="30.75" thickBot="1" x14ac:dyDescent="0.3">
      <c r="A16" s="63" t="s">
        <v>907</v>
      </c>
      <c r="B16" s="64">
        <v>35401</v>
      </c>
      <c r="C16" s="57" t="s">
        <v>921</v>
      </c>
      <c r="D16" s="65" t="s">
        <v>2260</v>
      </c>
      <c r="E16" s="60" t="s">
        <v>2390</v>
      </c>
      <c r="F16" s="60" t="s">
        <v>2445</v>
      </c>
      <c r="G16" s="68" t="s">
        <v>2539</v>
      </c>
      <c r="H16" s="65" t="s">
        <v>2572</v>
      </c>
    </row>
    <row r="17" spans="1:8" ht="30.75" thickBot="1" x14ac:dyDescent="0.3">
      <c r="A17" s="63" t="s">
        <v>907</v>
      </c>
      <c r="B17" s="64">
        <v>35402</v>
      </c>
      <c r="C17" s="57" t="s">
        <v>922</v>
      </c>
      <c r="D17" s="65" t="s">
        <v>2261</v>
      </c>
      <c r="E17" s="60" t="s">
        <v>2391</v>
      </c>
      <c r="F17" s="60" t="s">
        <v>2445</v>
      </c>
      <c r="G17" s="65" t="s">
        <v>2536</v>
      </c>
      <c r="H17" s="65" t="s">
        <v>2573</v>
      </c>
    </row>
    <row r="18" spans="1:8" ht="64.5" thickBot="1" x14ac:dyDescent="0.3">
      <c r="A18" s="66" t="s">
        <v>6</v>
      </c>
      <c r="B18" s="64">
        <v>36001</v>
      </c>
      <c r="C18" s="16" t="s">
        <v>7</v>
      </c>
      <c r="D18" s="65" t="s">
        <v>2262</v>
      </c>
      <c r="E18" s="60" t="s">
        <v>2392</v>
      </c>
      <c r="F18" s="60" t="s">
        <v>2446</v>
      </c>
      <c r="G18" s="65" t="s">
        <v>2540</v>
      </c>
      <c r="H18" s="65" t="s">
        <v>2574</v>
      </c>
    </row>
    <row r="19" spans="1:8" ht="51.75" thickBot="1" x14ac:dyDescent="0.3">
      <c r="A19" s="66" t="s">
        <v>6</v>
      </c>
      <c r="B19" s="64">
        <v>36002</v>
      </c>
      <c r="C19" s="16" t="s">
        <v>8</v>
      </c>
      <c r="D19" s="65" t="s">
        <v>2263</v>
      </c>
      <c r="E19" s="60" t="s">
        <v>2393</v>
      </c>
      <c r="F19" s="60" t="s">
        <v>2447</v>
      </c>
      <c r="G19" s="65" t="s">
        <v>2541</v>
      </c>
      <c r="H19" s="65" t="s">
        <v>2541</v>
      </c>
    </row>
    <row r="20" spans="1:8" ht="30.75" thickBot="1" x14ac:dyDescent="0.3">
      <c r="A20" s="66" t="s">
        <v>6</v>
      </c>
      <c r="B20" s="64">
        <v>36003</v>
      </c>
      <c r="C20" s="16" t="s">
        <v>9</v>
      </c>
      <c r="D20" s="65" t="s">
        <v>2264</v>
      </c>
      <c r="E20" s="60" t="s">
        <v>2394</v>
      </c>
      <c r="F20" s="60" t="s">
        <v>2448</v>
      </c>
      <c r="G20" s="65" t="s">
        <v>2542</v>
      </c>
      <c r="H20" s="65" t="s">
        <v>2575</v>
      </c>
    </row>
    <row r="21" spans="1:8" ht="39" thickBot="1" x14ac:dyDescent="0.3">
      <c r="A21" s="66" t="s">
        <v>6</v>
      </c>
      <c r="B21" s="64">
        <v>37001</v>
      </c>
      <c r="C21" s="16" t="s">
        <v>10</v>
      </c>
      <c r="D21" s="65" t="s">
        <v>2265</v>
      </c>
      <c r="E21" s="60" t="s">
        <v>2395</v>
      </c>
      <c r="F21" s="60" t="s">
        <v>2449</v>
      </c>
      <c r="G21" s="65" t="s">
        <v>2543</v>
      </c>
      <c r="H21" s="65" t="s">
        <v>2576</v>
      </c>
    </row>
    <row r="22" spans="1:8" ht="30.75" thickBot="1" x14ac:dyDescent="0.3">
      <c r="A22" s="66" t="s">
        <v>6</v>
      </c>
      <c r="B22" s="64">
        <v>37002</v>
      </c>
      <c r="C22" s="16" t="s">
        <v>923</v>
      </c>
      <c r="D22" s="65" t="s">
        <v>2266</v>
      </c>
      <c r="E22" s="60" t="s">
        <v>2396</v>
      </c>
      <c r="F22" s="60" t="s">
        <v>2450</v>
      </c>
      <c r="G22" s="65" t="s">
        <v>2544</v>
      </c>
      <c r="H22" s="65" t="s">
        <v>2577</v>
      </c>
    </row>
    <row r="23" spans="1:8" ht="39" thickBot="1" x14ac:dyDescent="0.3">
      <c r="A23" s="66" t="s">
        <v>6</v>
      </c>
      <c r="B23" s="64">
        <v>38110</v>
      </c>
      <c r="C23" s="67" t="s">
        <v>11</v>
      </c>
      <c r="D23" s="65" t="s">
        <v>2267</v>
      </c>
      <c r="E23" s="60" t="s">
        <v>2397</v>
      </c>
      <c r="F23" s="60" t="s">
        <v>2451</v>
      </c>
      <c r="G23" s="65" t="s">
        <v>2545</v>
      </c>
      <c r="H23" s="65" t="s">
        <v>2578</v>
      </c>
    </row>
    <row r="24" spans="1:8" ht="45.75" thickBot="1" x14ac:dyDescent="0.3">
      <c r="A24" s="66" t="s">
        <v>6</v>
      </c>
      <c r="B24" s="64">
        <v>38121</v>
      </c>
      <c r="C24" s="16" t="s">
        <v>924</v>
      </c>
      <c r="D24" s="65" t="s">
        <v>2268</v>
      </c>
      <c r="E24" s="60" t="s">
        <v>2398</v>
      </c>
      <c r="F24" s="60" t="s">
        <v>2452</v>
      </c>
      <c r="G24" s="65" t="s">
        <v>2546</v>
      </c>
      <c r="H24" s="65" t="s">
        <v>2579</v>
      </c>
    </row>
    <row r="25" spans="1:8" ht="39" thickBot="1" x14ac:dyDescent="0.3">
      <c r="A25" s="66" t="s">
        <v>6</v>
      </c>
      <c r="B25" s="64">
        <v>38122</v>
      </c>
      <c r="C25" s="16" t="s">
        <v>925</v>
      </c>
      <c r="D25" s="65" t="s">
        <v>2269</v>
      </c>
      <c r="E25" s="60" t="s">
        <v>2399</v>
      </c>
      <c r="F25" s="60" t="s">
        <v>2453</v>
      </c>
      <c r="G25" s="65" t="s">
        <v>2547</v>
      </c>
      <c r="H25" s="65" t="s">
        <v>2580</v>
      </c>
    </row>
    <row r="26" spans="1:8" ht="45.75" thickBot="1" x14ac:dyDescent="0.3">
      <c r="A26" s="66" t="s">
        <v>6</v>
      </c>
      <c r="B26" s="64">
        <v>38211</v>
      </c>
      <c r="C26" s="16" t="s">
        <v>2122</v>
      </c>
      <c r="D26" s="65" t="s">
        <v>2270</v>
      </c>
      <c r="E26" s="60" t="s">
        <v>2400</v>
      </c>
      <c r="F26" s="60" t="s">
        <v>2454</v>
      </c>
      <c r="G26" s="65" t="s">
        <v>2646</v>
      </c>
      <c r="H26" s="65" t="s">
        <v>2581</v>
      </c>
    </row>
    <row r="27" spans="1:8" ht="30.75" thickBot="1" x14ac:dyDescent="0.3">
      <c r="A27" s="66" t="s">
        <v>6</v>
      </c>
      <c r="B27" s="64">
        <v>38212</v>
      </c>
      <c r="C27" s="67" t="s">
        <v>12</v>
      </c>
      <c r="D27" s="65" t="s">
        <v>2271</v>
      </c>
      <c r="E27" s="60" t="s">
        <v>2401</v>
      </c>
      <c r="F27" s="60" t="s">
        <v>2455</v>
      </c>
      <c r="G27" s="65" t="s">
        <v>2548</v>
      </c>
      <c r="H27" s="65" t="s">
        <v>2582</v>
      </c>
    </row>
    <row r="28" spans="1:8" ht="60.75" thickBot="1" x14ac:dyDescent="0.3">
      <c r="A28" s="66" t="s">
        <v>6</v>
      </c>
      <c r="B28" s="64">
        <v>38219</v>
      </c>
      <c r="C28" s="16" t="s">
        <v>2123</v>
      </c>
      <c r="D28" s="65" t="s">
        <v>2272</v>
      </c>
      <c r="E28" s="60" t="s">
        <v>2402</v>
      </c>
      <c r="F28" s="60" t="s">
        <v>2456</v>
      </c>
      <c r="G28" s="65" t="s">
        <v>2647</v>
      </c>
      <c r="H28" s="65" t="s">
        <v>2583</v>
      </c>
    </row>
    <row r="29" spans="1:8" ht="60.75" thickBot="1" x14ac:dyDescent="0.3">
      <c r="A29" s="66" t="s">
        <v>6</v>
      </c>
      <c r="B29" s="64">
        <v>38221</v>
      </c>
      <c r="C29" s="16" t="s">
        <v>2124</v>
      </c>
      <c r="D29" s="65" t="s">
        <v>2273</v>
      </c>
      <c r="E29" s="60" t="s">
        <v>2403</v>
      </c>
      <c r="F29" s="60" t="s">
        <v>2457</v>
      </c>
      <c r="G29" s="65" t="s">
        <v>2549</v>
      </c>
      <c r="H29" s="65" t="s">
        <v>2584</v>
      </c>
    </row>
    <row r="30" spans="1:8" ht="45.75" thickBot="1" x14ac:dyDescent="0.3">
      <c r="A30" s="66" t="s">
        <v>6</v>
      </c>
      <c r="B30" s="64">
        <v>38222</v>
      </c>
      <c r="C30" s="16" t="s">
        <v>928</v>
      </c>
      <c r="D30" s="65" t="s">
        <v>2274</v>
      </c>
      <c r="E30" s="60" t="s">
        <v>2404</v>
      </c>
      <c r="F30" s="60" t="s">
        <v>2458</v>
      </c>
      <c r="G30" s="65" t="s">
        <v>2547</v>
      </c>
      <c r="H30" s="65" t="s">
        <v>2585</v>
      </c>
    </row>
    <row r="31" spans="1:8" ht="39" thickBot="1" x14ac:dyDescent="0.3">
      <c r="A31" s="66" t="s">
        <v>6</v>
      </c>
      <c r="B31" s="64">
        <v>38301</v>
      </c>
      <c r="C31" s="67" t="s">
        <v>14</v>
      </c>
      <c r="D31" s="65" t="s">
        <v>2275</v>
      </c>
      <c r="E31" s="60" t="s">
        <v>2405</v>
      </c>
      <c r="F31" s="60" t="s">
        <v>2459</v>
      </c>
      <c r="G31" s="65" t="s">
        <v>2550</v>
      </c>
      <c r="H31" s="65" t="s">
        <v>2586</v>
      </c>
    </row>
    <row r="32" spans="1:8" ht="39" thickBot="1" x14ac:dyDescent="0.3">
      <c r="A32" s="66" t="s">
        <v>6</v>
      </c>
      <c r="B32" s="64">
        <v>38302</v>
      </c>
      <c r="C32" s="67" t="s">
        <v>15</v>
      </c>
      <c r="D32" s="65" t="s">
        <v>2276</v>
      </c>
      <c r="E32" s="60" t="s">
        <v>2406</v>
      </c>
      <c r="F32" s="60" t="s">
        <v>2459</v>
      </c>
      <c r="G32" s="69" t="s">
        <v>2551</v>
      </c>
      <c r="H32" s="65" t="s">
        <v>2587</v>
      </c>
    </row>
    <row r="33" spans="1:8" ht="39" thickBot="1" x14ac:dyDescent="0.3">
      <c r="A33" s="66" t="s">
        <v>6</v>
      </c>
      <c r="B33" s="64">
        <v>38309</v>
      </c>
      <c r="C33" s="67" t="s">
        <v>929</v>
      </c>
      <c r="D33" s="65" t="s">
        <v>2277</v>
      </c>
      <c r="E33" s="60" t="s">
        <v>2407</v>
      </c>
      <c r="F33" s="60" t="s">
        <v>2459</v>
      </c>
      <c r="G33" s="65" t="s">
        <v>2552</v>
      </c>
      <c r="H33" s="65" t="s">
        <v>2588</v>
      </c>
    </row>
    <row r="34" spans="1:8" ht="39" thickBot="1" x14ac:dyDescent="0.3">
      <c r="A34" s="66" t="s">
        <v>6</v>
      </c>
      <c r="B34" s="64">
        <v>39001</v>
      </c>
      <c r="C34" s="16" t="s">
        <v>930</v>
      </c>
      <c r="D34" s="65" t="s">
        <v>2278</v>
      </c>
      <c r="E34" s="60" t="s">
        <v>2408</v>
      </c>
      <c r="F34" s="60" t="s">
        <v>2460</v>
      </c>
      <c r="G34" s="65" t="s">
        <v>2553</v>
      </c>
      <c r="H34" s="65" t="s">
        <v>2589</v>
      </c>
    </row>
    <row r="35" spans="1:8" ht="30.75" thickBot="1" x14ac:dyDescent="0.3">
      <c r="A35" s="66" t="s">
        <v>6</v>
      </c>
      <c r="B35" s="64">
        <v>39002</v>
      </c>
      <c r="C35" s="16" t="s">
        <v>931</v>
      </c>
      <c r="D35" s="65" t="s">
        <v>2279</v>
      </c>
      <c r="E35" s="60" t="s">
        <v>2409</v>
      </c>
      <c r="F35" s="60" t="s">
        <v>2461</v>
      </c>
      <c r="G35" s="65" t="s">
        <v>2554</v>
      </c>
      <c r="H35" s="69" t="s">
        <v>2590</v>
      </c>
    </row>
    <row r="36" spans="1:8" ht="45.75" thickBot="1" x14ac:dyDescent="0.3">
      <c r="A36" s="66" t="s">
        <v>6</v>
      </c>
      <c r="B36" s="64">
        <v>39009</v>
      </c>
      <c r="C36" s="16" t="s">
        <v>2125</v>
      </c>
      <c r="D36" s="65" t="s">
        <v>2280</v>
      </c>
      <c r="E36" s="60" t="s">
        <v>2410</v>
      </c>
      <c r="F36" s="60" t="s">
        <v>2462</v>
      </c>
      <c r="G36" s="65" t="s">
        <v>2555</v>
      </c>
      <c r="H36" s="65" t="s">
        <v>2591</v>
      </c>
    </row>
    <row r="37" spans="1:8" ht="45.75" thickBot="1" x14ac:dyDescent="0.3">
      <c r="A37" s="66" t="s">
        <v>1728</v>
      </c>
      <c r="B37" s="64">
        <v>97000</v>
      </c>
      <c r="C37" s="16" t="s">
        <v>1729</v>
      </c>
      <c r="D37" s="65" t="s">
        <v>2281</v>
      </c>
      <c r="E37" s="60" t="s">
        <v>2411</v>
      </c>
      <c r="F37" s="60" t="s">
        <v>2463</v>
      </c>
      <c r="G37" s="65" t="s">
        <v>2556</v>
      </c>
      <c r="H37" s="65" t="s">
        <v>2592</v>
      </c>
    </row>
    <row r="38" spans="1:8" ht="60.75" thickBot="1" x14ac:dyDescent="0.3">
      <c r="A38" s="66" t="s">
        <v>1728</v>
      </c>
      <c r="B38" s="64">
        <v>98100</v>
      </c>
      <c r="C38" s="16" t="s">
        <v>2126</v>
      </c>
      <c r="D38" s="65" t="s">
        <v>2282</v>
      </c>
      <c r="E38" s="60" t="s">
        <v>2412</v>
      </c>
      <c r="F38" s="60" t="s">
        <v>2464</v>
      </c>
      <c r="G38" s="65" t="s">
        <v>2557</v>
      </c>
      <c r="H38" s="68" t="s">
        <v>2593</v>
      </c>
    </row>
    <row r="39" spans="1:8" ht="60.75" thickBot="1" x14ac:dyDescent="0.3">
      <c r="A39" s="66" t="s">
        <v>1728</v>
      </c>
      <c r="B39" s="64">
        <v>98200</v>
      </c>
      <c r="C39" s="16" t="s">
        <v>2127</v>
      </c>
      <c r="D39" s="65" t="s">
        <v>2283</v>
      </c>
      <c r="E39" s="60" t="s">
        <v>2413</v>
      </c>
      <c r="F39" s="60" t="s">
        <v>2465</v>
      </c>
      <c r="G39" s="65" t="s">
        <v>2558</v>
      </c>
      <c r="H39" s="65" t="s">
        <v>2594</v>
      </c>
    </row>
    <row r="40" spans="1:8" ht="60.75" thickBot="1" x14ac:dyDescent="0.3">
      <c r="A40" s="66" t="s">
        <v>1732</v>
      </c>
      <c r="B40" s="64">
        <v>99000</v>
      </c>
      <c r="C40" s="16" t="s">
        <v>2128</v>
      </c>
      <c r="D40" s="65" t="s">
        <v>2284</v>
      </c>
      <c r="E40" s="60" t="s">
        <v>2414</v>
      </c>
      <c r="F40" s="70" t="s">
        <v>2466</v>
      </c>
      <c r="G40" s="65" t="s">
        <v>2559</v>
      </c>
      <c r="H40" s="65" t="s">
        <v>2595</v>
      </c>
    </row>
    <row r="41" spans="1:8" ht="153.75" thickBot="1" x14ac:dyDescent="0.3">
      <c r="A41" s="60" t="s">
        <v>19</v>
      </c>
      <c r="B41" s="71">
        <v>55101</v>
      </c>
      <c r="C41" s="65" t="s">
        <v>2134</v>
      </c>
      <c r="D41" s="65" t="s">
        <v>2285</v>
      </c>
      <c r="E41" s="60" t="s">
        <v>2415</v>
      </c>
      <c r="F41" s="60" t="s">
        <v>2641</v>
      </c>
      <c r="G41" s="65" t="s">
        <v>2560</v>
      </c>
      <c r="H41" s="65" t="s">
        <v>2648</v>
      </c>
    </row>
    <row r="42" spans="1:8" ht="90" thickBot="1" x14ac:dyDescent="0.3">
      <c r="A42" s="60" t="s">
        <v>19</v>
      </c>
      <c r="B42" s="71">
        <v>55102</v>
      </c>
      <c r="C42" s="68" t="s">
        <v>2135</v>
      </c>
      <c r="D42" s="65" t="s">
        <v>2286</v>
      </c>
      <c r="E42" s="61" t="s">
        <v>2416</v>
      </c>
      <c r="F42" s="60" t="s">
        <v>2642</v>
      </c>
      <c r="G42" s="65" t="s">
        <v>2560</v>
      </c>
      <c r="H42" s="65" t="s">
        <v>2649</v>
      </c>
    </row>
    <row r="43" spans="1:8" ht="128.25" thickBot="1" x14ac:dyDescent="0.3">
      <c r="A43" s="60" t="s">
        <v>19</v>
      </c>
      <c r="B43" s="56">
        <v>55103</v>
      </c>
      <c r="C43" s="65" t="s">
        <v>2136</v>
      </c>
      <c r="D43" s="65" t="s">
        <v>2287</v>
      </c>
      <c r="E43" s="60" t="s">
        <v>2417</v>
      </c>
      <c r="F43" s="60" t="s">
        <v>2643</v>
      </c>
      <c r="G43" s="65" t="s">
        <v>2560</v>
      </c>
      <c r="H43" s="65" t="s">
        <v>2650</v>
      </c>
    </row>
    <row r="44" spans="1:8" ht="90" thickBot="1" x14ac:dyDescent="0.3">
      <c r="A44" s="60" t="s">
        <v>19</v>
      </c>
      <c r="B44" s="56">
        <v>55104</v>
      </c>
      <c r="C44" s="65" t="s">
        <v>2137</v>
      </c>
      <c r="D44" s="65" t="s">
        <v>2288</v>
      </c>
      <c r="E44" s="60" t="s">
        <v>2418</v>
      </c>
      <c r="F44" s="60" t="s">
        <v>2467</v>
      </c>
      <c r="G44" s="65" t="s">
        <v>2560</v>
      </c>
      <c r="H44" s="65" t="s">
        <v>2596</v>
      </c>
    </row>
    <row r="45" spans="1:8" ht="102.75" thickBot="1" x14ac:dyDescent="0.3">
      <c r="A45" s="60" t="s">
        <v>19</v>
      </c>
      <c r="B45" s="56">
        <v>55105</v>
      </c>
      <c r="C45" s="65" t="s">
        <v>2138</v>
      </c>
      <c r="D45" s="65" t="s">
        <v>2289</v>
      </c>
      <c r="E45" s="60" t="s">
        <v>2065</v>
      </c>
      <c r="F45" s="60" t="s">
        <v>2468</v>
      </c>
      <c r="G45" s="65" t="s">
        <v>2560</v>
      </c>
      <c r="H45" s="65" t="s">
        <v>2597</v>
      </c>
    </row>
    <row r="46" spans="1:8" ht="77.25" thickBot="1" x14ac:dyDescent="0.3">
      <c r="A46" s="60" t="s">
        <v>19</v>
      </c>
      <c r="B46" s="56">
        <v>55106</v>
      </c>
      <c r="C46" s="65" t="s">
        <v>2139</v>
      </c>
      <c r="D46" s="65" t="s">
        <v>2290</v>
      </c>
      <c r="E46" s="60" t="s">
        <v>2066</v>
      </c>
      <c r="F46" s="60" t="s">
        <v>2469</v>
      </c>
      <c r="G46" s="65" t="s">
        <v>2560</v>
      </c>
      <c r="H46" s="65" t="s">
        <v>2598</v>
      </c>
    </row>
    <row r="47" spans="1:8" ht="103.5" thickBot="1" x14ac:dyDescent="0.3">
      <c r="A47" s="72" t="s">
        <v>19</v>
      </c>
      <c r="B47" s="59">
        <v>55201</v>
      </c>
      <c r="C47" s="58" t="s">
        <v>2140</v>
      </c>
      <c r="D47" s="58" t="s">
        <v>2291</v>
      </c>
      <c r="E47" s="58" t="s">
        <v>2067</v>
      </c>
      <c r="F47" s="69" t="s">
        <v>2470</v>
      </c>
      <c r="G47" s="65" t="s">
        <v>2560</v>
      </c>
      <c r="H47" s="58" t="s">
        <v>2599</v>
      </c>
    </row>
    <row r="48" spans="1:8" ht="129" thickBot="1" x14ac:dyDescent="0.3">
      <c r="A48" s="72" t="s">
        <v>19</v>
      </c>
      <c r="B48" s="59">
        <v>55202</v>
      </c>
      <c r="C48" s="58" t="s">
        <v>2141</v>
      </c>
      <c r="D48" s="58" t="s">
        <v>2292</v>
      </c>
      <c r="E48" s="58" t="s">
        <v>2419</v>
      </c>
      <c r="F48" s="69" t="s">
        <v>2471</v>
      </c>
      <c r="G48" s="65" t="s">
        <v>2560</v>
      </c>
      <c r="H48" s="58" t="s">
        <v>2600</v>
      </c>
    </row>
    <row r="49" spans="1:8" ht="90.75" thickBot="1" x14ac:dyDescent="0.3">
      <c r="A49" s="73" t="s">
        <v>19</v>
      </c>
      <c r="B49" s="59">
        <v>55203</v>
      </c>
      <c r="C49" s="74" t="s">
        <v>2142</v>
      </c>
      <c r="D49" s="75" t="s">
        <v>2293</v>
      </c>
      <c r="E49" s="58" t="s">
        <v>2093</v>
      </c>
      <c r="F49" s="69" t="s">
        <v>2472</v>
      </c>
      <c r="G49" s="65" t="s">
        <v>2560</v>
      </c>
      <c r="H49" s="58" t="s">
        <v>2601</v>
      </c>
    </row>
    <row r="50" spans="1:8" ht="141.75" thickBot="1" x14ac:dyDescent="0.3">
      <c r="A50" s="73" t="s">
        <v>19</v>
      </c>
      <c r="B50" s="59">
        <v>55204</v>
      </c>
      <c r="C50" s="75" t="s">
        <v>2143</v>
      </c>
      <c r="D50" s="75" t="s">
        <v>2294</v>
      </c>
      <c r="E50" s="58" t="s">
        <v>2069</v>
      </c>
      <c r="F50" s="69" t="s">
        <v>2473</v>
      </c>
      <c r="G50" s="65" t="s">
        <v>2560</v>
      </c>
      <c r="H50" s="58" t="s">
        <v>2602</v>
      </c>
    </row>
    <row r="51" spans="1:8" ht="103.5" thickBot="1" x14ac:dyDescent="0.3">
      <c r="A51" s="72" t="s">
        <v>19</v>
      </c>
      <c r="B51" s="59">
        <v>55209</v>
      </c>
      <c r="C51" s="58" t="s">
        <v>2144</v>
      </c>
      <c r="D51" s="58" t="s">
        <v>2295</v>
      </c>
      <c r="E51" s="58" t="s">
        <v>2070</v>
      </c>
      <c r="F51" s="69" t="s">
        <v>2474</v>
      </c>
      <c r="G51" s="65" t="s">
        <v>2560</v>
      </c>
      <c r="H51" s="58" t="s">
        <v>2603</v>
      </c>
    </row>
    <row r="52" spans="1:8" ht="103.5" thickBot="1" x14ac:dyDescent="0.3">
      <c r="A52" s="72" t="s">
        <v>19</v>
      </c>
      <c r="B52" s="59">
        <v>55300</v>
      </c>
      <c r="C52" s="58" t="s">
        <v>2145</v>
      </c>
      <c r="D52" s="58" t="s">
        <v>2296</v>
      </c>
      <c r="E52" s="58" t="s">
        <v>2071</v>
      </c>
      <c r="F52" s="69" t="s">
        <v>2475</v>
      </c>
      <c r="G52" s="65" t="s">
        <v>2560</v>
      </c>
      <c r="H52" s="58" t="s">
        <v>2604</v>
      </c>
    </row>
    <row r="53" spans="1:8" ht="90.75" thickBot="1" x14ac:dyDescent="0.3">
      <c r="A53" s="72" t="s">
        <v>19</v>
      </c>
      <c r="B53" s="59">
        <v>55400</v>
      </c>
      <c r="C53" s="58" t="s">
        <v>2146</v>
      </c>
      <c r="D53" s="58" t="s">
        <v>2297</v>
      </c>
      <c r="E53" s="58" t="s">
        <v>2094</v>
      </c>
      <c r="F53" s="69" t="s">
        <v>2476</v>
      </c>
      <c r="G53" s="65" t="s">
        <v>2560</v>
      </c>
      <c r="H53" s="58" t="s">
        <v>2375</v>
      </c>
    </row>
    <row r="54" spans="1:8" ht="129" thickBot="1" x14ac:dyDescent="0.3">
      <c r="A54" s="72" t="s">
        <v>19</v>
      </c>
      <c r="B54" s="59">
        <v>55901</v>
      </c>
      <c r="C54" s="58" t="s">
        <v>2147</v>
      </c>
      <c r="D54" s="58" t="s">
        <v>2298</v>
      </c>
      <c r="E54" s="58" t="s">
        <v>2072</v>
      </c>
      <c r="F54" s="69" t="s">
        <v>2477</v>
      </c>
      <c r="G54" s="65" t="s">
        <v>2560</v>
      </c>
      <c r="H54" s="58" t="s">
        <v>2605</v>
      </c>
    </row>
    <row r="55" spans="1:8" ht="103.5" thickBot="1" x14ac:dyDescent="0.3">
      <c r="A55" s="72" t="s">
        <v>19</v>
      </c>
      <c r="B55" s="59">
        <v>55909</v>
      </c>
      <c r="C55" s="58" t="s">
        <v>2148</v>
      </c>
      <c r="D55" s="58" t="s">
        <v>2299</v>
      </c>
      <c r="E55" s="58" t="s">
        <v>2420</v>
      </c>
      <c r="F55" s="69" t="s">
        <v>2644</v>
      </c>
      <c r="G55" s="65" t="s">
        <v>2560</v>
      </c>
      <c r="H55" s="58" t="s">
        <v>2651</v>
      </c>
    </row>
    <row r="56" spans="1:8" ht="129" thickBot="1" x14ac:dyDescent="0.3">
      <c r="A56" s="72" t="s">
        <v>19</v>
      </c>
      <c r="B56" s="59">
        <v>56101</v>
      </c>
      <c r="C56" s="58" t="s">
        <v>2149</v>
      </c>
      <c r="D56" s="58" t="s">
        <v>2300</v>
      </c>
      <c r="E56" s="58" t="s">
        <v>2074</v>
      </c>
      <c r="F56" s="69" t="s">
        <v>2478</v>
      </c>
      <c r="G56" s="65" t="s">
        <v>2560</v>
      </c>
      <c r="H56" s="58" t="s">
        <v>2606</v>
      </c>
    </row>
    <row r="57" spans="1:8" ht="103.5" thickBot="1" x14ac:dyDescent="0.3">
      <c r="A57" s="72" t="s">
        <v>19</v>
      </c>
      <c r="B57" s="59">
        <v>56102</v>
      </c>
      <c r="C57" s="58" t="s">
        <v>2150</v>
      </c>
      <c r="D57" s="58" t="s">
        <v>2301</v>
      </c>
      <c r="E57" s="58" t="s">
        <v>2421</v>
      </c>
      <c r="F57" s="69" t="s">
        <v>2479</v>
      </c>
      <c r="G57" s="65" t="s">
        <v>2560</v>
      </c>
      <c r="H57" s="58" t="s">
        <v>2607</v>
      </c>
    </row>
    <row r="58" spans="1:8" ht="129" thickBot="1" x14ac:dyDescent="0.3">
      <c r="A58" s="72" t="s">
        <v>19</v>
      </c>
      <c r="B58" s="59">
        <v>56210</v>
      </c>
      <c r="C58" s="58" t="s">
        <v>2151</v>
      </c>
      <c r="D58" s="58" t="s">
        <v>2302</v>
      </c>
      <c r="E58" s="58" t="s">
        <v>2076</v>
      </c>
      <c r="F58" s="69" t="s">
        <v>2480</v>
      </c>
      <c r="G58" s="65" t="s">
        <v>2560</v>
      </c>
      <c r="H58" s="58" t="s">
        <v>2608</v>
      </c>
    </row>
    <row r="59" spans="1:8" ht="141.75" thickBot="1" x14ac:dyDescent="0.3">
      <c r="A59" s="72" t="s">
        <v>19</v>
      </c>
      <c r="B59" s="59">
        <v>56290</v>
      </c>
      <c r="C59" s="58" t="s">
        <v>2152</v>
      </c>
      <c r="D59" s="58" t="s">
        <v>2303</v>
      </c>
      <c r="E59" s="58" t="s">
        <v>2077</v>
      </c>
      <c r="F59" s="69" t="s">
        <v>2481</v>
      </c>
      <c r="G59" s="65" t="s">
        <v>2560</v>
      </c>
      <c r="H59" s="58" t="s">
        <v>2609</v>
      </c>
    </row>
    <row r="60" spans="1:8" ht="103.5" thickBot="1" x14ac:dyDescent="0.3">
      <c r="A60" s="72" t="s">
        <v>19</v>
      </c>
      <c r="B60" s="59">
        <v>56301</v>
      </c>
      <c r="C60" s="58" t="s">
        <v>2153</v>
      </c>
      <c r="D60" s="58" t="s">
        <v>2304</v>
      </c>
      <c r="E60" s="58" t="s">
        <v>2078</v>
      </c>
      <c r="F60" s="69" t="s">
        <v>2482</v>
      </c>
      <c r="G60" s="65" t="s">
        <v>2560</v>
      </c>
      <c r="H60" s="58" t="s">
        <v>2652</v>
      </c>
    </row>
    <row r="61" spans="1:8" ht="116.25" thickBot="1" x14ac:dyDescent="0.3">
      <c r="A61" s="72" t="s">
        <v>19</v>
      </c>
      <c r="B61" s="59">
        <v>56302</v>
      </c>
      <c r="C61" s="58" t="s">
        <v>2154</v>
      </c>
      <c r="D61" s="58" t="s">
        <v>2305</v>
      </c>
      <c r="E61" s="58" t="s">
        <v>2079</v>
      </c>
      <c r="F61" s="69" t="s">
        <v>2483</v>
      </c>
      <c r="G61" s="65" t="s">
        <v>2560</v>
      </c>
      <c r="H61" s="58" t="s">
        <v>2610</v>
      </c>
    </row>
    <row r="62" spans="1:8" ht="103.5" thickBot="1" x14ac:dyDescent="0.3">
      <c r="A62" s="72" t="s">
        <v>19</v>
      </c>
      <c r="B62" s="59">
        <v>56303</v>
      </c>
      <c r="C62" s="58" t="s">
        <v>2155</v>
      </c>
      <c r="D62" s="58" t="s">
        <v>2306</v>
      </c>
      <c r="E62" s="58" t="s">
        <v>2422</v>
      </c>
      <c r="F62" s="69" t="s">
        <v>2484</v>
      </c>
      <c r="G62" s="65" t="s">
        <v>2560</v>
      </c>
      <c r="H62" s="58" t="s">
        <v>2653</v>
      </c>
    </row>
    <row r="63" spans="1:8" ht="103.5" thickBot="1" x14ac:dyDescent="0.3">
      <c r="A63" s="72" t="s">
        <v>19</v>
      </c>
      <c r="B63" s="59">
        <v>56304</v>
      </c>
      <c r="C63" s="58" t="s">
        <v>2156</v>
      </c>
      <c r="D63" s="58" t="s">
        <v>2307</v>
      </c>
      <c r="E63" s="58" t="s">
        <v>2423</v>
      </c>
      <c r="F63" s="69" t="s">
        <v>2485</v>
      </c>
      <c r="G63" s="65" t="s">
        <v>2560</v>
      </c>
      <c r="H63" s="58" t="s">
        <v>2611</v>
      </c>
    </row>
    <row r="64" spans="1:8" ht="90.75" thickBot="1" x14ac:dyDescent="0.3">
      <c r="A64" s="72" t="s">
        <v>19</v>
      </c>
      <c r="B64" s="59">
        <v>56305</v>
      </c>
      <c r="C64" s="58" t="s">
        <v>2157</v>
      </c>
      <c r="D64" s="58" t="s">
        <v>2308</v>
      </c>
      <c r="E64" s="58" t="s">
        <v>2082</v>
      </c>
      <c r="F64" s="69" t="s">
        <v>2486</v>
      </c>
      <c r="G64" s="65" t="s">
        <v>2560</v>
      </c>
      <c r="H64" s="58" t="s">
        <v>2612</v>
      </c>
    </row>
    <row r="65" spans="1:8" ht="129" thickBot="1" x14ac:dyDescent="0.3">
      <c r="A65" s="72" t="s">
        <v>19</v>
      </c>
      <c r="B65" s="59">
        <v>56306</v>
      </c>
      <c r="C65" s="58" t="s">
        <v>2158</v>
      </c>
      <c r="D65" s="58" t="s">
        <v>2309</v>
      </c>
      <c r="E65" s="58" t="s">
        <v>2118</v>
      </c>
      <c r="F65" s="69" t="s">
        <v>2487</v>
      </c>
      <c r="G65" s="65" t="s">
        <v>2560</v>
      </c>
      <c r="H65" s="58" t="s">
        <v>2613</v>
      </c>
    </row>
    <row r="66" spans="1:8" ht="129" thickBot="1" x14ac:dyDescent="0.3">
      <c r="A66" s="72" t="s">
        <v>19</v>
      </c>
      <c r="B66" s="59">
        <v>56400</v>
      </c>
      <c r="C66" s="58" t="s">
        <v>2159</v>
      </c>
      <c r="D66" s="58" t="s">
        <v>2310</v>
      </c>
      <c r="E66" s="58" t="s">
        <v>2095</v>
      </c>
      <c r="F66" s="69" t="s">
        <v>2488</v>
      </c>
      <c r="G66" s="65" t="s">
        <v>2560</v>
      </c>
      <c r="H66" s="58" t="s">
        <v>2614</v>
      </c>
    </row>
    <row r="67" spans="1:8" ht="90.75" thickBot="1" x14ac:dyDescent="0.3">
      <c r="A67" s="58" t="s">
        <v>109</v>
      </c>
      <c r="B67" s="59">
        <v>94121</v>
      </c>
      <c r="C67" s="58" t="s">
        <v>2160</v>
      </c>
      <c r="D67" s="58" t="s">
        <v>2311</v>
      </c>
      <c r="E67" s="58" t="s">
        <v>2096</v>
      </c>
      <c r="F67" s="69" t="s">
        <v>2489</v>
      </c>
      <c r="G67" s="65" t="s">
        <v>2560</v>
      </c>
      <c r="H67" s="58" t="s">
        <v>2615</v>
      </c>
    </row>
    <row r="68" spans="1:8" ht="167.25" thickBot="1" x14ac:dyDescent="0.3">
      <c r="A68" s="58" t="s">
        <v>109</v>
      </c>
      <c r="B68" s="59">
        <v>94122</v>
      </c>
      <c r="C68" s="58" t="s">
        <v>2161</v>
      </c>
      <c r="D68" s="58" t="s">
        <v>2312</v>
      </c>
      <c r="E68" s="58" t="s">
        <v>2097</v>
      </c>
      <c r="F68" s="69" t="s">
        <v>2490</v>
      </c>
      <c r="G68" s="65" t="s">
        <v>2560</v>
      </c>
      <c r="H68" s="58" t="s">
        <v>2616</v>
      </c>
    </row>
    <row r="69" spans="1:8" ht="116.25" thickBot="1" x14ac:dyDescent="0.3">
      <c r="A69" s="58" t="s">
        <v>109</v>
      </c>
      <c r="B69" s="59">
        <v>94200</v>
      </c>
      <c r="C69" s="58" t="s">
        <v>2162</v>
      </c>
      <c r="D69" s="58" t="s">
        <v>2313</v>
      </c>
      <c r="E69" s="58" t="s">
        <v>2098</v>
      </c>
      <c r="F69" s="69" t="s">
        <v>2491</v>
      </c>
      <c r="G69" s="65" t="s">
        <v>2560</v>
      </c>
      <c r="H69" s="58" t="s">
        <v>2617</v>
      </c>
    </row>
    <row r="70" spans="1:8" ht="129" thickBot="1" x14ac:dyDescent="0.3">
      <c r="A70" s="58" t="s">
        <v>109</v>
      </c>
      <c r="B70" s="59">
        <v>94910</v>
      </c>
      <c r="C70" s="58" t="s">
        <v>2163</v>
      </c>
      <c r="D70" s="58" t="s">
        <v>2314</v>
      </c>
      <c r="E70" s="58" t="s">
        <v>2099</v>
      </c>
      <c r="F70" s="69" t="s">
        <v>2492</v>
      </c>
      <c r="G70" s="65" t="s">
        <v>2560</v>
      </c>
      <c r="H70" s="58" t="s">
        <v>2618</v>
      </c>
    </row>
    <row r="71" spans="1:8" ht="192.75" thickBot="1" x14ac:dyDescent="0.3">
      <c r="A71" s="58" t="s">
        <v>109</v>
      </c>
      <c r="B71" s="59">
        <v>94920</v>
      </c>
      <c r="C71" s="58" t="s">
        <v>2164</v>
      </c>
      <c r="D71" s="58" t="s">
        <v>2315</v>
      </c>
      <c r="E71" s="58" t="s">
        <v>2100</v>
      </c>
      <c r="F71" s="69" t="s">
        <v>2493</v>
      </c>
      <c r="G71" s="65" t="s">
        <v>2560</v>
      </c>
      <c r="H71" s="58" t="s">
        <v>2619</v>
      </c>
    </row>
    <row r="72" spans="1:8" ht="192.75" thickBot="1" x14ac:dyDescent="0.3">
      <c r="A72" s="58" t="s">
        <v>109</v>
      </c>
      <c r="B72" s="59">
        <v>94990</v>
      </c>
      <c r="C72" s="58" t="s">
        <v>2165</v>
      </c>
      <c r="D72" s="58" t="s">
        <v>2316</v>
      </c>
      <c r="E72" s="58" t="s">
        <v>2101</v>
      </c>
      <c r="F72" s="69" t="s">
        <v>2494</v>
      </c>
      <c r="G72" s="65" t="s">
        <v>2560</v>
      </c>
      <c r="H72" s="58" t="s">
        <v>2620</v>
      </c>
    </row>
    <row r="73" spans="1:8" ht="141.75" thickBot="1" x14ac:dyDescent="0.3">
      <c r="A73" s="58" t="s">
        <v>109</v>
      </c>
      <c r="B73" s="59">
        <v>95101</v>
      </c>
      <c r="C73" s="58" t="s">
        <v>2166</v>
      </c>
      <c r="D73" s="58" t="s">
        <v>2317</v>
      </c>
      <c r="E73" s="58" t="s">
        <v>2102</v>
      </c>
      <c r="F73" s="69" t="s">
        <v>2495</v>
      </c>
      <c r="G73" s="65" t="s">
        <v>2560</v>
      </c>
      <c r="H73" s="58" t="s">
        <v>2621</v>
      </c>
    </row>
    <row r="74" spans="1:8" ht="154.5" thickBot="1" x14ac:dyDescent="0.3">
      <c r="A74" s="58" t="s">
        <v>109</v>
      </c>
      <c r="B74" s="59">
        <v>95102</v>
      </c>
      <c r="C74" s="58" t="s">
        <v>2167</v>
      </c>
      <c r="D74" s="58" t="s">
        <v>2318</v>
      </c>
      <c r="E74" t="s">
        <v>2375</v>
      </c>
      <c r="F74" s="69" t="s">
        <v>2375</v>
      </c>
      <c r="G74" s="65" t="s">
        <v>2560</v>
      </c>
      <c r="H74" s="58" t="s">
        <v>2375</v>
      </c>
    </row>
    <row r="75" spans="1:8" ht="154.5" thickBot="1" x14ac:dyDescent="0.3">
      <c r="A75" s="58" t="s">
        <v>109</v>
      </c>
      <c r="B75" s="59">
        <v>95210</v>
      </c>
      <c r="C75" s="58" t="s">
        <v>2168</v>
      </c>
      <c r="D75" s="58" t="s">
        <v>2319</v>
      </c>
      <c r="E75" s="58" t="s">
        <v>2424</v>
      </c>
      <c r="F75" s="69" t="s">
        <v>2496</v>
      </c>
      <c r="G75" s="65" t="s">
        <v>2560</v>
      </c>
      <c r="H75" s="58" t="s">
        <v>2654</v>
      </c>
    </row>
    <row r="76" spans="1:8" ht="154.5" thickBot="1" x14ac:dyDescent="0.3">
      <c r="A76" s="58" t="s">
        <v>109</v>
      </c>
      <c r="B76" s="59">
        <v>95220</v>
      </c>
      <c r="C76" s="58" t="s">
        <v>2169</v>
      </c>
      <c r="D76" s="58" t="s">
        <v>2375</v>
      </c>
      <c r="E76" s="58" t="s">
        <v>2103</v>
      </c>
      <c r="F76" s="69" t="s">
        <v>2375</v>
      </c>
      <c r="G76" s="65" t="s">
        <v>2560</v>
      </c>
      <c r="H76" s="58" t="s">
        <v>2622</v>
      </c>
    </row>
    <row r="77" spans="1:8" ht="129" thickBot="1" x14ac:dyDescent="0.3">
      <c r="A77" s="58" t="s">
        <v>109</v>
      </c>
      <c r="B77" s="59">
        <v>95230</v>
      </c>
      <c r="C77" s="58" t="s">
        <v>2170</v>
      </c>
      <c r="D77" s="58" t="s">
        <v>2375</v>
      </c>
      <c r="E77" s="58" t="s">
        <v>2104</v>
      </c>
      <c r="F77" s="69" t="s">
        <v>2375</v>
      </c>
      <c r="G77" s="65" t="s">
        <v>2560</v>
      </c>
      <c r="H77" s="58" t="s">
        <v>2623</v>
      </c>
    </row>
    <row r="78" spans="1:8" ht="129" thickBot="1" x14ac:dyDescent="0.3">
      <c r="A78" s="58" t="s">
        <v>109</v>
      </c>
      <c r="B78" s="59">
        <v>95240</v>
      </c>
      <c r="C78" s="58" t="s">
        <v>2171</v>
      </c>
      <c r="D78" s="58" t="s">
        <v>2375</v>
      </c>
      <c r="E78" s="58" t="s">
        <v>2105</v>
      </c>
      <c r="F78" s="69" t="s">
        <v>2497</v>
      </c>
      <c r="G78" s="65" t="s">
        <v>2560</v>
      </c>
      <c r="H78" s="58" t="s">
        <v>2624</v>
      </c>
    </row>
    <row r="79" spans="1:8" ht="116.25" thickBot="1" x14ac:dyDescent="0.3">
      <c r="A79" s="58" t="s">
        <v>109</v>
      </c>
      <c r="B79" s="59">
        <v>95291</v>
      </c>
      <c r="C79" s="58" t="s">
        <v>2172</v>
      </c>
      <c r="D79" s="58" t="s">
        <v>2320</v>
      </c>
      <c r="E79" s="58" t="s">
        <v>2106</v>
      </c>
      <c r="F79" s="69" t="s">
        <v>2498</v>
      </c>
      <c r="G79" s="65" t="s">
        <v>2560</v>
      </c>
      <c r="H79" s="58" t="s">
        <v>2625</v>
      </c>
    </row>
    <row r="80" spans="1:8" ht="154.5" thickBot="1" x14ac:dyDescent="0.3">
      <c r="A80" s="58" t="s">
        <v>109</v>
      </c>
      <c r="B80" s="59">
        <v>95299</v>
      </c>
      <c r="C80" s="58" t="s">
        <v>2173</v>
      </c>
      <c r="D80" s="58" t="s">
        <v>2321</v>
      </c>
      <c r="E80" s="58" t="s">
        <v>2107</v>
      </c>
      <c r="F80" s="69" t="s">
        <v>2499</v>
      </c>
      <c r="G80" s="65" t="s">
        <v>2560</v>
      </c>
      <c r="H80" s="58" t="s">
        <v>2626</v>
      </c>
    </row>
    <row r="81" spans="1:8" ht="180" thickBot="1" x14ac:dyDescent="0.3">
      <c r="A81" s="58" t="s">
        <v>109</v>
      </c>
      <c r="B81" s="59">
        <v>95311</v>
      </c>
      <c r="C81" s="58" t="s">
        <v>2174</v>
      </c>
      <c r="D81" s="58" t="s">
        <v>2322</v>
      </c>
      <c r="E81" s="58" t="s">
        <v>2108</v>
      </c>
      <c r="F81" s="69" t="s">
        <v>2500</v>
      </c>
      <c r="G81" s="65" t="s">
        <v>2560</v>
      </c>
      <c r="H81" s="58" t="s">
        <v>2627</v>
      </c>
    </row>
    <row r="82" spans="1:8" ht="116.25" thickBot="1" x14ac:dyDescent="0.3">
      <c r="A82" s="58" t="s">
        <v>109</v>
      </c>
      <c r="B82" s="59">
        <v>95312</v>
      </c>
      <c r="C82" s="58" t="s">
        <v>2175</v>
      </c>
      <c r="D82" s="58" t="s">
        <v>2323</v>
      </c>
      <c r="E82" s="58" t="s">
        <v>2109</v>
      </c>
      <c r="F82" s="69" t="s">
        <v>2501</v>
      </c>
      <c r="G82" s="65" t="s">
        <v>2560</v>
      </c>
      <c r="H82" s="58" t="s">
        <v>2628</v>
      </c>
    </row>
    <row r="83" spans="1:8" ht="154.5" thickBot="1" x14ac:dyDescent="0.3">
      <c r="A83" s="58" t="s">
        <v>109</v>
      </c>
      <c r="B83" s="59">
        <v>95320</v>
      </c>
      <c r="C83" s="58" t="s">
        <v>2176</v>
      </c>
      <c r="D83" s="58" t="s">
        <v>2324</v>
      </c>
      <c r="E83" s="58" t="s">
        <v>2110</v>
      </c>
      <c r="F83" s="69" t="s">
        <v>2502</v>
      </c>
      <c r="G83" s="65" t="s">
        <v>2560</v>
      </c>
      <c r="H83" s="58" t="s">
        <v>2629</v>
      </c>
    </row>
    <row r="84" spans="1:8" ht="141.75" thickBot="1" x14ac:dyDescent="0.3">
      <c r="A84" s="58" t="s">
        <v>109</v>
      </c>
      <c r="B84" s="59">
        <v>95400</v>
      </c>
      <c r="C84" s="58" t="s">
        <v>2177</v>
      </c>
      <c r="D84" s="58" t="s">
        <v>2325</v>
      </c>
      <c r="E84" s="58" t="s">
        <v>2111</v>
      </c>
      <c r="F84" s="69" t="s">
        <v>2503</v>
      </c>
      <c r="G84" s="65" t="s">
        <v>2560</v>
      </c>
      <c r="H84" s="58" t="s">
        <v>2630</v>
      </c>
    </row>
    <row r="85" spans="1:8" ht="141.75" thickBot="1" x14ac:dyDescent="0.3">
      <c r="A85" s="58" t="s">
        <v>109</v>
      </c>
      <c r="B85" s="59">
        <v>96100</v>
      </c>
      <c r="C85" s="58" t="s">
        <v>2178</v>
      </c>
      <c r="D85" s="58" t="s">
        <v>2326</v>
      </c>
      <c r="E85" s="58" t="s">
        <v>2112</v>
      </c>
      <c r="F85" s="69" t="s">
        <v>2504</v>
      </c>
      <c r="G85" s="65" t="s">
        <v>2560</v>
      </c>
      <c r="H85" s="58" t="s">
        <v>2631</v>
      </c>
    </row>
    <row r="86" spans="1:8" ht="167.25" thickBot="1" x14ac:dyDescent="0.3">
      <c r="A86" s="58" t="s">
        <v>109</v>
      </c>
      <c r="B86" s="59">
        <v>96210</v>
      </c>
      <c r="C86" s="58" t="s">
        <v>2179</v>
      </c>
      <c r="D86" s="58" t="s">
        <v>2327</v>
      </c>
      <c r="E86" s="58" t="s">
        <v>2112</v>
      </c>
      <c r="F86" s="69" t="s">
        <v>2505</v>
      </c>
      <c r="G86" s="65" t="s">
        <v>2560</v>
      </c>
      <c r="H86" s="58" t="s">
        <v>2631</v>
      </c>
    </row>
    <row r="87" spans="1:8" ht="167.25" thickBot="1" x14ac:dyDescent="0.3">
      <c r="A87" s="58" t="s">
        <v>109</v>
      </c>
      <c r="B87" s="59">
        <v>96220</v>
      </c>
      <c r="C87" s="58" t="s">
        <v>2180</v>
      </c>
      <c r="D87" s="58" t="s">
        <v>2328</v>
      </c>
      <c r="E87" s="58" t="s">
        <v>2113</v>
      </c>
      <c r="F87" s="69" t="s">
        <v>2506</v>
      </c>
      <c r="G87" s="65" t="s">
        <v>2560</v>
      </c>
      <c r="H87" s="58" t="s">
        <v>2632</v>
      </c>
    </row>
    <row r="88" spans="1:8" ht="167.25" thickBot="1" x14ac:dyDescent="0.3">
      <c r="A88" s="58" t="s">
        <v>109</v>
      </c>
      <c r="B88" s="59">
        <v>96230</v>
      </c>
      <c r="C88" s="58" t="s">
        <v>2181</v>
      </c>
      <c r="D88" s="58" t="s">
        <v>2329</v>
      </c>
      <c r="E88" s="58" t="s">
        <v>2114</v>
      </c>
      <c r="F88" s="69" t="s">
        <v>2507</v>
      </c>
      <c r="G88" s="65" t="s">
        <v>2560</v>
      </c>
      <c r="H88" s="58" t="s">
        <v>2633</v>
      </c>
    </row>
    <row r="89" spans="1:8" ht="116.25" thickBot="1" x14ac:dyDescent="0.3">
      <c r="A89" s="58" t="s">
        <v>109</v>
      </c>
      <c r="B89" s="59">
        <v>96300</v>
      </c>
      <c r="C89" s="58" t="s">
        <v>2182</v>
      </c>
      <c r="D89" s="58" t="s">
        <v>2330</v>
      </c>
      <c r="E89" s="58" t="s">
        <v>2115</v>
      </c>
      <c r="F89" s="69" t="s">
        <v>2508</v>
      </c>
      <c r="G89" s="65" t="s">
        <v>2560</v>
      </c>
      <c r="H89" s="58" t="s">
        <v>2634</v>
      </c>
    </row>
    <row r="90" spans="1:8" ht="141.75" thickBot="1" x14ac:dyDescent="0.3">
      <c r="A90" s="58" t="s">
        <v>109</v>
      </c>
      <c r="B90" s="59">
        <v>96400</v>
      </c>
      <c r="C90" s="58" t="s">
        <v>2183</v>
      </c>
      <c r="D90" s="58" t="s">
        <v>2331</v>
      </c>
      <c r="E90" s="58" t="s">
        <v>2116</v>
      </c>
      <c r="F90" s="69" t="s">
        <v>2509</v>
      </c>
      <c r="G90" s="65" t="s">
        <v>2560</v>
      </c>
      <c r="H90" s="58" t="s">
        <v>2635</v>
      </c>
    </row>
    <row r="91" spans="1:8" ht="116.25" thickBot="1" x14ac:dyDescent="0.3">
      <c r="A91" s="58" t="s">
        <v>109</v>
      </c>
      <c r="B91" s="59">
        <v>96900</v>
      </c>
      <c r="C91" s="58" t="s">
        <v>2184</v>
      </c>
      <c r="D91" s="58" t="s">
        <v>2332</v>
      </c>
      <c r="E91" s="58" t="s">
        <v>2117</v>
      </c>
      <c r="F91" s="69" t="s">
        <v>2510</v>
      </c>
      <c r="G91" s="65" t="s">
        <v>2560</v>
      </c>
      <c r="H91" s="58" t="s">
        <v>2636</v>
      </c>
    </row>
    <row r="92" spans="1:8" ht="255.75" thickBot="1" x14ac:dyDescent="0.3">
      <c r="A92" s="60" t="s">
        <v>27</v>
      </c>
      <c r="B92" s="65">
        <v>58110</v>
      </c>
      <c r="C92" s="65" t="s">
        <v>1308</v>
      </c>
      <c r="D92" s="65" t="s">
        <v>2333</v>
      </c>
      <c r="E92" s="60" t="s">
        <v>2198</v>
      </c>
      <c r="F92" s="60" t="s">
        <v>2204</v>
      </c>
      <c r="G92" t="s">
        <v>2375</v>
      </c>
      <c r="H92" s="60" t="s">
        <v>2655</v>
      </c>
    </row>
    <row r="93" spans="1:8" ht="128.25" thickBot="1" x14ac:dyDescent="0.3">
      <c r="A93" s="60" t="s">
        <v>27</v>
      </c>
      <c r="B93" s="65">
        <v>58120</v>
      </c>
      <c r="C93" s="65" t="s">
        <v>28</v>
      </c>
      <c r="D93" s="65" t="s">
        <v>2334</v>
      </c>
      <c r="E93" s="60" t="s">
        <v>2199</v>
      </c>
      <c r="F93" s="60" t="s">
        <v>2205</v>
      </c>
      <c r="G93" t="s">
        <v>2375</v>
      </c>
      <c r="H93" s="81" t="s">
        <v>2202</v>
      </c>
    </row>
    <row r="94" spans="1:8" ht="141" thickBot="1" x14ac:dyDescent="0.3">
      <c r="A94" s="60" t="s">
        <v>27</v>
      </c>
      <c r="B94" s="65">
        <v>58130</v>
      </c>
      <c r="C94" s="65" t="s">
        <v>1309</v>
      </c>
      <c r="D94" s="65" t="s">
        <v>2335</v>
      </c>
      <c r="E94" s="60" t="s">
        <v>2425</v>
      </c>
      <c r="F94" s="60" t="s">
        <v>2206</v>
      </c>
      <c r="G94" t="s">
        <v>2375</v>
      </c>
      <c r="H94" s="81" t="s">
        <v>2637</v>
      </c>
    </row>
    <row r="95" spans="1:8" ht="90" thickBot="1" x14ac:dyDescent="0.3">
      <c r="A95" s="60" t="s">
        <v>27</v>
      </c>
      <c r="B95" s="65">
        <v>58190</v>
      </c>
      <c r="C95" s="65" t="s">
        <v>1310</v>
      </c>
      <c r="D95" s="65" t="s">
        <v>2185</v>
      </c>
      <c r="E95" s="60" t="s">
        <v>2200</v>
      </c>
      <c r="F95" s="60" t="s">
        <v>2511</v>
      </c>
      <c r="G95" t="s">
        <v>2375</v>
      </c>
      <c r="H95" s="60" t="s">
        <v>2203</v>
      </c>
    </row>
    <row r="96" spans="1:8" ht="153.75" thickBot="1" x14ac:dyDescent="0.3">
      <c r="A96" s="60" t="s">
        <v>27</v>
      </c>
      <c r="B96" s="65">
        <v>58211</v>
      </c>
      <c r="C96" s="65" t="s">
        <v>1311</v>
      </c>
      <c r="D96" s="65" t="s">
        <v>2336</v>
      </c>
      <c r="E96" s="60" t="s">
        <v>2201</v>
      </c>
      <c r="F96" s="60" t="s">
        <v>2243</v>
      </c>
      <c r="G96" t="s">
        <v>2375</v>
      </c>
      <c r="H96" s="60" t="s">
        <v>2201</v>
      </c>
    </row>
    <row r="97" spans="1:8" ht="103.5" thickBot="1" x14ac:dyDescent="0.3">
      <c r="A97" s="60" t="s">
        <v>27</v>
      </c>
      <c r="B97" s="65">
        <v>58219</v>
      </c>
      <c r="C97" s="65" t="s">
        <v>1312</v>
      </c>
      <c r="D97" s="76" t="s">
        <v>2337</v>
      </c>
      <c r="E97" s="82" t="s">
        <v>2375</v>
      </c>
      <c r="F97" s="82" t="s">
        <v>2375</v>
      </c>
      <c r="G97" t="s">
        <v>2375</v>
      </c>
      <c r="H97" s="82" t="s">
        <v>2375</v>
      </c>
    </row>
    <row r="98" spans="1:8" ht="65.25" thickBot="1" x14ac:dyDescent="0.3">
      <c r="A98" s="60" t="s">
        <v>27</v>
      </c>
      <c r="B98" s="65">
        <v>58290</v>
      </c>
      <c r="C98" s="65" t="s">
        <v>1313</v>
      </c>
      <c r="D98" s="69" t="s">
        <v>2338</v>
      </c>
      <c r="E98" s="82" t="s">
        <v>2375</v>
      </c>
      <c r="F98" s="82" t="s">
        <v>2375</v>
      </c>
      <c r="G98" t="s">
        <v>2375</v>
      </c>
      <c r="H98" s="82" t="s">
        <v>2375</v>
      </c>
    </row>
    <row r="99" spans="1:8" ht="180" thickBot="1" x14ac:dyDescent="0.3">
      <c r="A99" s="60" t="s">
        <v>27</v>
      </c>
      <c r="B99" s="65">
        <v>59111</v>
      </c>
      <c r="C99" s="65" t="s">
        <v>1314</v>
      </c>
      <c r="D99" s="77" t="s">
        <v>2339</v>
      </c>
      <c r="E99" s="82" t="s">
        <v>2216</v>
      </c>
      <c r="F99" s="82" t="s">
        <v>2244</v>
      </c>
      <c r="G99" t="s">
        <v>2375</v>
      </c>
      <c r="H99" s="82" t="s">
        <v>2226</v>
      </c>
    </row>
    <row r="100" spans="1:8" ht="269.25" thickBot="1" x14ac:dyDescent="0.3">
      <c r="A100" s="60" t="s">
        <v>27</v>
      </c>
      <c r="B100" s="65">
        <v>59112</v>
      </c>
      <c r="C100" s="65" t="s">
        <v>29</v>
      </c>
      <c r="D100" s="77" t="s">
        <v>2340</v>
      </c>
      <c r="E100" s="82" t="s">
        <v>2216</v>
      </c>
      <c r="F100" s="82" t="s">
        <v>2233</v>
      </c>
      <c r="G100" t="s">
        <v>2375</v>
      </c>
      <c r="H100" s="82" t="s">
        <v>2226</v>
      </c>
    </row>
    <row r="101" spans="1:8" ht="103.5" thickBot="1" x14ac:dyDescent="0.3">
      <c r="A101" s="60" t="s">
        <v>27</v>
      </c>
      <c r="B101" s="65">
        <v>59121</v>
      </c>
      <c r="C101" s="65" t="s">
        <v>1315</v>
      </c>
      <c r="D101" s="69" t="s">
        <v>2341</v>
      </c>
      <c r="E101" s="82" t="s">
        <v>2217</v>
      </c>
      <c r="F101" s="82" t="s">
        <v>2234</v>
      </c>
      <c r="G101" t="s">
        <v>2375</v>
      </c>
      <c r="H101" s="82" t="s">
        <v>2375</v>
      </c>
    </row>
    <row r="102" spans="1:8" ht="103.5" thickBot="1" x14ac:dyDescent="0.3">
      <c r="A102" s="60" t="s">
        <v>27</v>
      </c>
      <c r="B102" s="65">
        <v>59122</v>
      </c>
      <c r="C102" s="65" t="s">
        <v>1316</v>
      </c>
      <c r="D102" s="69" t="s">
        <v>2342</v>
      </c>
      <c r="E102" s="82" t="s">
        <v>2218</v>
      </c>
      <c r="F102" s="82" t="s">
        <v>2234</v>
      </c>
      <c r="G102" t="s">
        <v>2375</v>
      </c>
      <c r="H102" s="82" t="s">
        <v>2375</v>
      </c>
    </row>
    <row r="103" spans="1:8" ht="78" thickBot="1" x14ac:dyDescent="0.3">
      <c r="A103" s="60" t="s">
        <v>27</v>
      </c>
      <c r="B103" s="65">
        <v>59131</v>
      </c>
      <c r="C103" s="65" t="s">
        <v>1317</v>
      </c>
      <c r="D103" s="69" t="s">
        <v>2343</v>
      </c>
      <c r="E103" s="82" t="s">
        <v>2375</v>
      </c>
      <c r="F103" s="82" t="s">
        <v>2512</v>
      </c>
      <c r="G103" t="s">
        <v>2375</v>
      </c>
      <c r="H103" s="82" t="s">
        <v>2375</v>
      </c>
    </row>
    <row r="104" spans="1:8" ht="78" thickBot="1" x14ac:dyDescent="0.3">
      <c r="A104" s="60" t="s">
        <v>27</v>
      </c>
      <c r="B104" s="65">
        <v>59132</v>
      </c>
      <c r="C104" s="65" t="s">
        <v>1318</v>
      </c>
      <c r="D104" s="69" t="s">
        <v>2186</v>
      </c>
      <c r="E104" s="82" t="s">
        <v>2426</v>
      </c>
      <c r="F104" s="82" t="s">
        <v>2512</v>
      </c>
      <c r="G104" t="s">
        <v>2375</v>
      </c>
      <c r="H104" s="82" t="s">
        <v>2375</v>
      </c>
    </row>
    <row r="105" spans="1:8" ht="90.75" thickBot="1" x14ac:dyDescent="0.3">
      <c r="A105" s="60" t="s">
        <v>27</v>
      </c>
      <c r="B105" s="65">
        <v>59140</v>
      </c>
      <c r="C105" s="65" t="s">
        <v>30</v>
      </c>
      <c r="D105" s="69" t="s">
        <v>2344</v>
      </c>
      <c r="E105" s="82" t="s">
        <v>2427</v>
      </c>
      <c r="F105" s="82" t="s">
        <v>2207</v>
      </c>
      <c r="G105" t="s">
        <v>2375</v>
      </c>
      <c r="H105" s="82" t="s">
        <v>2227</v>
      </c>
    </row>
    <row r="106" spans="1:8" ht="65.25" thickBot="1" x14ac:dyDescent="0.3">
      <c r="A106" s="60" t="s">
        <v>27</v>
      </c>
      <c r="B106" s="65">
        <v>59201</v>
      </c>
      <c r="C106" s="65" t="s">
        <v>31</v>
      </c>
      <c r="D106" s="69" t="s">
        <v>2345</v>
      </c>
      <c r="E106" s="82" t="s">
        <v>2375</v>
      </c>
      <c r="F106" s="82" t="s">
        <v>2235</v>
      </c>
      <c r="G106" t="s">
        <v>2375</v>
      </c>
      <c r="H106" s="82" t="s">
        <v>2228</v>
      </c>
    </row>
    <row r="107" spans="1:8" ht="52.5" thickBot="1" x14ac:dyDescent="0.3">
      <c r="A107" s="60" t="s">
        <v>27</v>
      </c>
      <c r="B107" s="65">
        <v>59202</v>
      </c>
      <c r="C107" s="65" t="s">
        <v>1319</v>
      </c>
      <c r="D107" s="69" t="s">
        <v>2236</v>
      </c>
      <c r="E107" s="82" t="s">
        <v>2375</v>
      </c>
      <c r="F107" s="82" t="s">
        <v>2513</v>
      </c>
      <c r="G107" t="s">
        <v>2375</v>
      </c>
      <c r="H107" s="82" t="s">
        <v>2229</v>
      </c>
    </row>
    <row r="108" spans="1:8" ht="90.75" thickBot="1" x14ac:dyDescent="0.3">
      <c r="A108" s="60" t="s">
        <v>27</v>
      </c>
      <c r="B108" s="65">
        <v>60101</v>
      </c>
      <c r="C108" s="65" t="s">
        <v>32</v>
      </c>
      <c r="D108" s="69" t="s">
        <v>2187</v>
      </c>
      <c r="E108" s="82" t="s">
        <v>2428</v>
      </c>
      <c r="F108" s="82" t="s">
        <v>2375</v>
      </c>
      <c r="G108" t="s">
        <v>2375</v>
      </c>
      <c r="H108" s="82" t="s">
        <v>2375</v>
      </c>
    </row>
    <row r="109" spans="1:8" ht="52.5" thickBot="1" x14ac:dyDescent="0.3">
      <c r="A109" s="60" t="s">
        <v>27</v>
      </c>
      <c r="B109" s="65">
        <v>60102</v>
      </c>
      <c r="C109" s="65" t="s">
        <v>1320</v>
      </c>
      <c r="D109" s="69" t="s">
        <v>2346</v>
      </c>
      <c r="E109" s="82" t="s">
        <v>2429</v>
      </c>
      <c r="F109" s="82" t="s">
        <v>2375</v>
      </c>
      <c r="G109" t="s">
        <v>2375</v>
      </c>
      <c r="H109" s="82" t="s">
        <v>2375</v>
      </c>
    </row>
    <row r="110" spans="1:8" ht="65.25" thickBot="1" x14ac:dyDescent="0.3">
      <c r="A110" s="60" t="s">
        <v>27</v>
      </c>
      <c r="B110" s="65">
        <v>60103</v>
      </c>
      <c r="C110" s="65" t="s">
        <v>1321</v>
      </c>
      <c r="D110" s="69" t="s">
        <v>2188</v>
      </c>
      <c r="E110" s="82" t="s">
        <v>2219</v>
      </c>
      <c r="F110" s="82" t="s">
        <v>2208</v>
      </c>
      <c r="G110" t="s">
        <v>2375</v>
      </c>
      <c r="H110" s="82" t="s">
        <v>2230</v>
      </c>
    </row>
    <row r="111" spans="1:8" ht="52.5" thickBot="1" x14ac:dyDescent="0.3">
      <c r="A111" s="60" t="s">
        <v>27</v>
      </c>
      <c r="B111" s="65">
        <v>60201</v>
      </c>
      <c r="C111" s="65" t="s">
        <v>33</v>
      </c>
      <c r="D111" s="69" t="s">
        <v>2189</v>
      </c>
      <c r="E111" s="82" t="s">
        <v>2375</v>
      </c>
      <c r="F111" s="82" t="s">
        <v>2375</v>
      </c>
      <c r="G111" t="s">
        <v>2375</v>
      </c>
      <c r="H111" s="82" t="s">
        <v>2375</v>
      </c>
    </row>
    <row r="112" spans="1:8" ht="52.5" thickBot="1" x14ac:dyDescent="0.3">
      <c r="A112" s="60" t="s">
        <v>27</v>
      </c>
      <c r="B112" s="65">
        <v>60202</v>
      </c>
      <c r="C112" s="65" t="s">
        <v>1322</v>
      </c>
      <c r="D112" s="69" t="s">
        <v>2190</v>
      </c>
      <c r="E112" s="82" t="s">
        <v>2375</v>
      </c>
      <c r="F112" s="82" t="s">
        <v>2375</v>
      </c>
      <c r="G112" t="s">
        <v>2375</v>
      </c>
      <c r="H112" s="82" t="s">
        <v>2375</v>
      </c>
    </row>
    <row r="113" spans="1:8" ht="39" thickBot="1" x14ac:dyDescent="0.3">
      <c r="A113" s="60" t="s">
        <v>27</v>
      </c>
      <c r="B113" s="65">
        <v>60203</v>
      </c>
      <c r="C113" s="65" t="s">
        <v>1323</v>
      </c>
      <c r="D113" s="69" t="s">
        <v>2191</v>
      </c>
      <c r="E113" s="82" t="s">
        <v>2375</v>
      </c>
      <c r="F113" s="82" t="s">
        <v>2208</v>
      </c>
      <c r="G113" t="s">
        <v>2375</v>
      </c>
      <c r="H113" s="82" t="s">
        <v>2231</v>
      </c>
    </row>
    <row r="114" spans="1:8" ht="90.75" thickBot="1" x14ac:dyDescent="0.3">
      <c r="A114" s="60" t="s">
        <v>27</v>
      </c>
      <c r="B114" s="65">
        <v>60311</v>
      </c>
      <c r="C114" s="65" t="s">
        <v>34</v>
      </c>
      <c r="D114" s="69" t="s">
        <v>2237</v>
      </c>
      <c r="E114" s="82" t="s">
        <v>2430</v>
      </c>
      <c r="F114" s="82" t="s">
        <v>2514</v>
      </c>
      <c r="G114" t="s">
        <v>2375</v>
      </c>
      <c r="H114" s="82" t="s">
        <v>2375</v>
      </c>
    </row>
    <row r="115" spans="1:8" ht="116.25" thickBot="1" x14ac:dyDescent="0.3">
      <c r="A115" s="60" t="s">
        <v>27</v>
      </c>
      <c r="B115" s="65">
        <v>60312</v>
      </c>
      <c r="C115" s="65" t="s">
        <v>1324</v>
      </c>
      <c r="D115" s="69" t="s">
        <v>2376</v>
      </c>
      <c r="E115" s="82" t="s">
        <v>2375</v>
      </c>
      <c r="F115" s="82" t="s">
        <v>2515</v>
      </c>
      <c r="G115" t="s">
        <v>2375</v>
      </c>
      <c r="H115" s="82" t="s">
        <v>2375</v>
      </c>
    </row>
    <row r="116" spans="1:8" ht="116.25" thickBot="1" x14ac:dyDescent="0.3">
      <c r="A116" s="60" t="s">
        <v>27</v>
      </c>
      <c r="B116" s="65">
        <v>60390</v>
      </c>
      <c r="C116" s="65" t="s">
        <v>1325</v>
      </c>
      <c r="D116" s="69" t="s">
        <v>2347</v>
      </c>
      <c r="E116" s="82" t="s">
        <v>2431</v>
      </c>
      <c r="F116" s="82" t="s">
        <v>2645</v>
      </c>
      <c r="G116" t="s">
        <v>2375</v>
      </c>
      <c r="H116" s="82" t="s">
        <v>2638</v>
      </c>
    </row>
    <row r="117" spans="1:8" ht="154.5" thickBot="1" x14ac:dyDescent="0.3">
      <c r="A117" s="60" t="s">
        <v>35</v>
      </c>
      <c r="B117" s="67">
        <v>61101</v>
      </c>
      <c r="C117" s="67" t="s">
        <v>36</v>
      </c>
      <c r="D117" s="69" t="s">
        <v>2348</v>
      </c>
      <c r="E117" s="82" t="s">
        <v>2220</v>
      </c>
      <c r="F117" s="82" t="s">
        <v>2238</v>
      </c>
      <c r="G117" t="s">
        <v>2375</v>
      </c>
      <c r="H117" s="82" t="s">
        <v>2375</v>
      </c>
    </row>
    <row r="118" spans="1:8" ht="129" thickBot="1" x14ac:dyDescent="0.3">
      <c r="A118" s="60" t="s">
        <v>35</v>
      </c>
      <c r="B118" s="67">
        <v>61102</v>
      </c>
      <c r="C118" s="67" t="s">
        <v>37</v>
      </c>
      <c r="D118" s="69" t="s">
        <v>2349</v>
      </c>
      <c r="E118" s="82" t="s">
        <v>2375</v>
      </c>
      <c r="F118" s="82" t="s">
        <v>2516</v>
      </c>
      <c r="G118" t="s">
        <v>2375</v>
      </c>
      <c r="H118" s="82" t="s">
        <v>2639</v>
      </c>
    </row>
    <row r="119" spans="1:8" ht="78" thickBot="1" x14ac:dyDescent="0.3">
      <c r="A119" s="60" t="s">
        <v>35</v>
      </c>
      <c r="B119" s="67">
        <v>61103</v>
      </c>
      <c r="C119" s="67" t="s">
        <v>1326</v>
      </c>
      <c r="D119" s="69" t="s">
        <v>2350</v>
      </c>
      <c r="E119" s="82" t="s">
        <v>2375</v>
      </c>
      <c r="F119" s="82" t="s">
        <v>2375</v>
      </c>
      <c r="G119" t="s">
        <v>2375</v>
      </c>
      <c r="H119" s="82" t="s">
        <v>2375</v>
      </c>
    </row>
    <row r="120" spans="1:8" ht="78" thickBot="1" x14ac:dyDescent="0.3">
      <c r="A120" s="60" t="s">
        <v>35</v>
      </c>
      <c r="B120" s="67">
        <v>61104</v>
      </c>
      <c r="C120" s="67" t="s">
        <v>38</v>
      </c>
      <c r="D120" s="69" t="s">
        <v>2351</v>
      </c>
      <c r="E120" s="82" t="s">
        <v>2375</v>
      </c>
      <c r="F120" s="82" t="s">
        <v>2375</v>
      </c>
      <c r="G120" t="s">
        <v>2375</v>
      </c>
      <c r="H120" s="82" t="s">
        <v>2375</v>
      </c>
    </row>
    <row r="121" spans="1:8" ht="116.25" thickBot="1" x14ac:dyDescent="0.3">
      <c r="A121" s="60" t="s">
        <v>35</v>
      </c>
      <c r="B121" s="67">
        <v>61105</v>
      </c>
      <c r="C121" s="67" t="s">
        <v>1327</v>
      </c>
      <c r="D121" s="69" t="s">
        <v>2352</v>
      </c>
      <c r="E121" s="82" t="s">
        <v>2375</v>
      </c>
      <c r="F121" s="82" t="s">
        <v>2375</v>
      </c>
      <c r="G121" t="s">
        <v>2375</v>
      </c>
      <c r="H121" s="82" t="s">
        <v>2375</v>
      </c>
    </row>
    <row r="122" spans="1:8" ht="52.5" thickBot="1" x14ac:dyDescent="0.3">
      <c r="A122" s="60" t="s">
        <v>35</v>
      </c>
      <c r="B122" s="67">
        <v>61106</v>
      </c>
      <c r="C122" s="67" t="s">
        <v>39</v>
      </c>
      <c r="D122" s="69" t="s">
        <v>2353</v>
      </c>
      <c r="E122" s="82" t="s">
        <v>2375</v>
      </c>
      <c r="F122" s="82" t="s">
        <v>2375</v>
      </c>
      <c r="G122" t="s">
        <v>2375</v>
      </c>
      <c r="H122" s="82" t="s">
        <v>2375</v>
      </c>
    </row>
    <row r="123" spans="1:8" ht="65.25" thickBot="1" x14ac:dyDescent="0.3">
      <c r="A123" s="60" t="s">
        <v>35</v>
      </c>
      <c r="B123" s="67">
        <v>61107</v>
      </c>
      <c r="C123" s="67" t="s">
        <v>1328</v>
      </c>
      <c r="D123" s="69" t="s">
        <v>2354</v>
      </c>
      <c r="E123" s="82" t="s">
        <v>2375</v>
      </c>
      <c r="F123" s="82" t="s">
        <v>2375</v>
      </c>
      <c r="G123" t="s">
        <v>2375</v>
      </c>
      <c r="H123" s="82" t="s">
        <v>2375</v>
      </c>
    </row>
    <row r="124" spans="1:8" ht="52.5" thickBot="1" x14ac:dyDescent="0.3">
      <c r="A124" s="60" t="s">
        <v>35</v>
      </c>
      <c r="B124" s="67">
        <v>61108</v>
      </c>
      <c r="C124" s="67" t="s">
        <v>40</v>
      </c>
      <c r="D124" s="69" t="s">
        <v>2355</v>
      </c>
      <c r="E124" s="82" t="s">
        <v>2375</v>
      </c>
      <c r="F124" s="82" t="s">
        <v>2375</v>
      </c>
      <c r="G124" t="s">
        <v>2375</v>
      </c>
      <c r="H124" s="82" t="s">
        <v>2375</v>
      </c>
    </row>
    <row r="125" spans="1:8" ht="141.75" thickBot="1" x14ac:dyDescent="0.3">
      <c r="A125" s="60" t="s">
        <v>35</v>
      </c>
      <c r="B125" s="67">
        <v>61201</v>
      </c>
      <c r="C125" s="67" t="s">
        <v>1329</v>
      </c>
      <c r="D125" s="69" t="s">
        <v>2356</v>
      </c>
      <c r="E125" s="82" t="s">
        <v>2375</v>
      </c>
      <c r="F125" s="82" t="s">
        <v>2209</v>
      </c>
      <c r="G125" t="s">
        <v>2375</v>
      </c>
      <c r="H125" s="82" t="s">
        <v>2375</v>
      </c>
    </row>
    <row r="126" spans="1:8" ht="78" thickBot="1" x14ac:dyDescent="0.3">
      <c r="A126" s="60" t="s">
        <v>35</v>
      </c>
      <c r="B126" s="67">
        <v>61209</v>
      </c>
      <c r="C126" s="67" t="s">
        <v>41</v>
      </c>
      <c r="D126" s="69" t="s">
        <v>2357</v>
      </c>
      <c r="E126" s="82" t="s">
        <v>2375</v>
      </c>
      <c r="F126" s="82" t="s">
        <v>2375</v>
      </c>
      <c r="G126" t="s">
        <v>2375</v>
      </c>
      <c r="H126" s="82" t="s">
        <v>2232</v>
      </c>
    </row>
    <row r="127" spans="1:8" ht="78" thickBot="1" x14ac:dyDescent="0.3">
      <c r="A127" s="60" t="s">
        <v>35</v>
      </c>
      <c r="B127" s="67">
        <v>61901</v>
      </c>
      <c r="C127" s="67" t="s">
        <v>1330</v>
      </c>
      <c r="D127" s="69" t="s">
        <v>2358</v>
      </c>
      <c r="E127" s="82" t="s">
        <v>2375</v>
      </c>
      <c r="F127" s="82" t="s">
        <v>2375</v>
      </c>
      <c r="G127" t="s">
        <v>2375</v>
      </c>
      <c r="H127" s="82" t="s">
        <v>2375</v>
      </c>
    </row>
    <row r="128" spans="1:8" ht="129" thickBot="1" x14ac:dyDescent="0.3">
      <c r="A128" s="60" t="s">
        <v>35</v>
      </c>
      <c r="B128" s="67">
        <v>61902</v>
      </c>
      <c r="C128" s="67" t="s">
        <v>1331</v>
      </c>
      <c r="D128" s="69" t="s">
        <v>2359</v>
      </c>
      <c r="E128" s="82" t="s">
        <v>2375</v>
      </c>
      <c r="F128" s="82" t="s">
        <v>2375</v>
      </c>
      <c r="G128" t="s">
        <v>2375</v>
      </c>
      <c r="H128" s="82" t="s">
        <v>2375</v>
      </c>
    </row>
    <row r="129" spans="1:8" ht="154.5" thickBot="1" x14ac:dyDescent="0.3">
      <c r="A129" s="60" t="s">
        <v>35</v>
      </c>
      <c r="B129" s="67">
        <v>61903</v>
      </c>
      <c r="C129" s="67" t="s">
        <v>1332</v>
      </c>
      <c r="D129" s="69" t="s">
        <v>2360</v>
      </c>
      <c r="E129" s="82" t="s">
        <v>2375</v>
      </c>
      <c r="F129" s="82" t="s">
        <v>2375</v>
      </c>
      <c r="G129" t="s">
        <v>2375</v>
      </c>
      <c r="H129" s="82" t="s">
        <v>2375</v>
      </c>
    </row>
    <row r="130" spans="1:8" ht="307.5" thickBot="1" x14ac:dyDescent="0.3">
      <c r="A130" s="60" t="s">
        <v>35</v>
      </c>
      <c r="B130" s="67">
        <v>61904</v>
      </c>
      <c r="C130" s="67" t="s">
        <v>1333</v>
      </c>
      <c r="D130" s="69" t="s">
        <v>2361</v>
      </c>
      <c r="E130" s="82" t="s">
        <v>2375</v>
      </c>
      <c r="F130" s="82" t="s">
        <v>2375</v>
      </c>
      <c r="G130" t="s">
        <v>2375</v>
      </c>
      <c r="H130" s="82" t="s">
        <v>2375</v>
      </c>
    </row>
    <row r="131" spans="1:8" ht="141.75" thickBot="1" x14ac:dyDescent="0.3">
      <c r="A131" s="60" t="s">
        <v>35</v>
      </c>
      <c r="B131" s="67">
        <v>61905</v>
      </c>
      <c r="C131" s="67" t="s">
        <v>42</v>
      </c>
      <c r="D131" s="58" t="s">
        <v>2239</v>
      </c>
      <c r="E131" s="82" t="s">
        <v>2375</v>
      </c>
      <c r="F131" s="69" t="s">
        <v>2210</v>
      </c>
      <c r="G131" t="s">
        <v>2375</v>
      </c>
      <c r="H131" s="82" t="s">
        <v>2375</v>
      </c>
    </row>
    <row r="132" spans="1:8" ht="192.75" thickBot="1" x14ac:dyDescent="0.3">
      <c r="A132" s="60" t="s">
        <v>35</v>
      </c>
      <c r="B132" s="67">
        <v>61909</v>
      </c>
      <c r="C132" s="67" t="s">
        <v>1334</v>
      </c>
      <c r="D132" s="69" t="s">
        <v>2245</v>
      </c>
      <c r="E132" s="82" t="s">
        <v>2375</v>
      </c>
      <c r="F132" s="82" t="s">
        <v>2517</v>
      </c>
      <c r="G132" t="s">
        <v>2375</v>
      </c>
      <c r="H132" s="82" t="s">
        <v>2375</v>
      </c>
    </row>
    <row r="133" spans="1:8" ht="103.5" thickBot="1" x14ac:dyDescent="0.3">
      <c r="A133" s="60" t="s">
        <v>35</v>
      </c>
      <c r="B133" s="67">
        <v>62110</v>
      </c>
      <c r="C133" s="67" t="s">
        <v>2192</v>
      </c>
      <c r="D133" s="69" t="s">
        <v>2362</v>
      </c>
      <c r="E133" s="82" t="s">
        <v>2375</v>
      </c>
      <c r="F133" s="82" t="s">
        <v>2211</v>
      </c>
      <c r="G133" t="s">
        <v>2375</v>
      </c>
      <c r="H133" s="82" t="s">
        <v>2375</v>
      </c>
    </row>
    <row r="134" spans="1:8" ht="60.75" thickBot="1" x14ac:dyDescent="0.3">
      <c r="A134" s="60" t="s">
        <v>35</v>
      </c>
      <c r="B134" s="67">
        <v>62191</v>
      </c>
      <c r="C134" s="67" t="s">
        <v>2193</v>
      </c>
      <c r="D134" s="69" t="s">
        <v>2363</v>
      </c>
      <c r="E134" s="82" t="s">
        <v>2375</v>
      </c>
      <c r="F134" s="82" t="s">
        <v>2518</v>
      </c>
      <c r="G134" t="s">
        <v>2375</v>
      </c>
      <c r="H134" s="82" t="s">
        <v>2375</v>
      </c>
    </row>
    <row r="135" spans="1:8" ht="116.25" thickBot="1" x14ac:dyDescent="0.3">
      <c r="A135" s="60" t="s">
        <v>35</v>
      </c>
      <c r="B135" s="67">
        <v>62192</v>
      </c>
      <c r="C135" s="67" t="s">
        <v>2194</v>
      </c>
      <c r="D135" s="69" t="s">
        <v>2364</v>
      </c>
      <c r="E135" s="82" t="s">
        <v>2375</v>
      </c>
      <c r="F135" s="82" t="s">
        <v>2519</v>
      </c>
      <c r="G135" t="s">
        <v>2375</v>
      </c>
      <c r="H135" s="82" t="s">
        <v>2375</v>
      </c>
    </row>
    <row r="136" spans="1:8" ht="192.75" thickBot="1" x14ac:dyDescent="0.3">
      <c r="A136" s="60" t="s">
        <v>35</v>
      </c>
      <c r="B136" s="67">
        <v>62193</v>
      </c>
      <c r="C136" s="67" t="s">
        <v>2195</v>
      </c>
      <c r="D136" s="69" t="s">
        <v>2365</v>
      </c>
      <c r="E136" s="82" t="s">
        <v>2432</v>
      </c>
      <c r="F136" s="82" t="s">
        <v>2520</v>
      </c>
      <c r="G136" t="s">
        <v>2375</v>
      </c>
      <c r="H136" s="82" t="s">
        <v>2375</v>
      </c>
    </row>
    <row r="137" spans="1:8" ht="103.5" thickBot="1" x14ac:dyDescent="0.3">
      <c r="A137" s="60" t="s">
        <v>35</v>
      </c>
      <c r="B137" s="67">
        <v>62194</v>
      </c>
      <c r="C137" s="67" t="s">
        <v>1339</v>
      </c>
      <c r="D137" s="69" t="s">
        <v>2366</v>
      </c>
      <c r="E137" s="82" t="s">
        <v>2221</v>
      </c>
      <c r="F137" s="82" t="s">
        <v>2240</v>
      </c>
      <c r="G137" t="s">
        <v>2375</v>
      </c>
      <c r="H137" s="82" t="s">
        <v>2375</v>
      </c>
    </row>
    <row r="138" spans="1:8" ht="205.5" thickBot="1" x14ac:dyDescent="0.3">
      <c r="A138" s="60" t="s">
        <v>35</v>
      </c>
      <c r="B138" s="67">
        <v>62199</v>
      </c>
      <c r="C138" s="67" t="s">
        <v>43</v>
      </c>
      <c r="D138" s="69" t="s">
        <v>2367</v>
      </c>
      <c r="E138" s="82" t="s">
        <v>2375</v>
      </c>
      <c r="F138" s="82" t="s">
        <v>2521</v>
      </c>
      <c r="G138" t="s">
        <v>2375</v>
      </c>
      <c r="H138" s="82" t="s">
        <v>2375</v>
      </c>
    </row>
    <row r="139" spans="1:8" ht="116.25" thickBot="1" x14ac:dyDescent="0.3">
      <c r="A139" s="60" t="s">
        <v>35</v>
      </c>
      <c r="B139" s="67">
        <v>62201</v>
      </c>
      <c r="C139" s="67" t="s">
        <v>1340</v>
      </c>
      <c r="D139" s="69" t="s">
        <v>2241</v>
      </c>
      <c r="E139" s="82" t="s">
        <v>2433</v>
      </c>
      <c r="F139" s="82" t="s">
        <v>2522</v>
      </c>
      <c r="G139" t="s">
        <v>2375</v>
      </c>
      <c r="H139" s="82" t="s">
        <v>2375</v>
      </c>
    </row>
    <row r="140" spans="1:8" ht="180" thickBot="1" x14ac:dyDescent="0.3">
      <c r="A140" s="60" t="s">
        <v>35</v>
      </c>
      <c r="B140" s="67">
        <v>62202</v>
      </c>
      <c r="C140" s="67" t="s">
        <v>1341</v>
      </c>
      <c r="D140" s="69" t="s">
        <v>2368</v>
      </c>
      <c r="E140" s="82" t="s">
        <v>2375</v>
      </c>
      <c r="F140" s="82" t="s">
        <v>2212</v>
      </c>
      <c r="G140" t="s">
        <v>2375</v>
      </c>
      <c r="H140" s="82" t="s">
        <v>2375</v>
      </c>
    </row>
    <row r="141" spans="1:8" ht="52.5" thickBot="1" x14ac:dyDescent="0.3">
      <c r="A141" s="60" t="s">
        <v>35</v>
      </c>
      <c r="B141" s="67">
        <v>62203</v>
      </c>
      <c r="C141" s="67" t="s">
        <v>1342</v>
      </c>
      <c r="D141" s="69" t="s">
        <v>2242</v>
      </c>
      <c r="E141" s="82" t="s">
        <v>2375</v>
      </c>
      <c r="F141" s="82" t="s">
        <v>2523</v>
      </c>
      <c r="G141" t="s">
        <v>2375</v>
      </c>
      <c r="H141" s="82" t="s">
        <v>2640</v>
      </c>
    </row>
    <row r="142" spans="1:8" ht="129" thickBot="1" x14ac:dyDescent="0.3">
      <c r="A142" s="60" t="s">
        <v>35</v>
      </c>
      <c r="B142" s="67">
        <v>62204</v>
      </c>
      <c r="C142" s="67" t="s">
        <v>1343</v>
      </c>
      <c r="D142" s="69" t="s">
        <v>2369</v>
      </c>
      <c r="E142" s="82" t="s">
        <v>2375</v>
      </c>
      <c r="F142" s="82" t="s">
        <v>2524</v>
      </c>
      <c r="G142" t="s">
        <v>2375</v>
      </c>
      <c r="H142" s="82" t="s">
        <v>2375</v>
      </c>
    </row>
    <row r="143" spans="1:8" ht="154.5" thickBot="1" x14ac:dyDescent="0.3">
      <c r="A143" s="60" t="s">
        <v>35</v>
      </c>
      <c r="B143" s="67">
        <v>62209</v>
      </c>
      <c r="C143" s="67" t="s">
        <v>2196</v>
      </c>
      <c r="D143" s="69" t="s">
        <v>2370</v>
      </c>
      <c r="E143" s="82" t="s">
        <v>2434</v>
      </c>
      <c r="F143" s="82" t="s">
        <v>2525</v>
      </c>
      <c r="G143" t="s">
        <v>2375</v>
      </c>
      <c r="H143" s="82" t="s">
        <v>2375</v>
      </c>
    </row>
    <row r="144" spans="1:8" ht="90.75" thickBot="1" x14ac:dyDescent="0.3">
      <c r="A144" s="60" t="s">
        <v>35</v>
      </c>
      <c r="B144" s="67">
        <v>62900</v>
      </c>
      <c r="C144" s="67" t="s">
        <v>44</v>
      </c>
      <c r="D144" s="69" t="s">
        <v>2371</v>
      </c>
      <c r="E144" s="82" t="s">
        <v>2222</v>
      </c>
      <c r="F144" s="82" t="s">
        <v>2213</v>
      </c>
      <c r="G144" t="s">
        <v>2375</v>
      </c>
      <c r="H144" s="82" t="s">
        <v>2375</v>
      </c>
    </row>
    <row r="145" spans="1:8" ht="103.5" thickBot="1" x14ac:dyDescent="0.3">
      <c r="A145" s="60" t="s">
        <v>35</v>
      </c>
      <c r="B145" s="67">
        <v>63101</v>
      </c>
      <c r="C145" s="67" t="s">
        <v>45</v>
      </c>
      <c r="D145" s="69" t="s">
        <v>2372</v>
      </c>
      <c r="E145" s="82" t="s">
        <v>2223</v>
      </c>
      <c r="F145" s="82" t="s">
        <v>2214</v>
      </c>
      <c r="G145" t="s">
        <v>2375</v>
      </c>
      <c r="H145" s="82" t="s">
        <v>2375</v>
      </c>
    </row>
    <row r="146" spans="1:8" ht="90.75" thickBot="1" x14ac:dyDescent="0.3">
      <c r="A146" s="60" t="s">
        <v>35</v>
      </c>
      <c r="B146" s="67">
        <v>63102</v>
      </c>
      <c r="C146" s="67" t="s">
        <v>2197</v>
      </c>
      <c r="D146" s="69" t="s">
        <v>2373</v>
      </c>
      <c r="E146" s="82" t="s">
        <v>2224</v>
      </c>
      <c r="F146" s="82" t="s">
        <v>2215</v>
      </c>
      <c r="G146" t="s">
        <v>2375</v>
      </c>
      <c r="H146" s="82" t="s">
        <v>2375</v>
      </c>
    </row>
    <row r="147" spans="1:8" ht="116.25" thickBot="1" x14ac:dyDescent="0.3">
      <c r="A147" s="78" t="s">
        <v>35</v>
      </c>
      <c r="B147" s="79">
        <v>63900</v>
      </c>
      <c r="C147" s="79" t="s">
        <v>1346</v>
      </c>
      <c r="D147" s="80" t="s">
        <v>2374</v>
      </c>
      <c r="E147" s="83" t="s">
        <v>2225</v>
      </c>
      <c r="F147" s="83" t="s">
        <v>2526</v>
      </c>
      <c r="G147" t="s">
        <v>2375</v>
      </c>
      <c r="H147" s="83" t="s">
        <v>2375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master</vt:lpstr>
      <vt:lpstr>rapikan_all</vt:lpstr>
      <vt:lpstr>rapikan</vt:lpstr>
      <vt:lpstr>daricanva</vt:lpstr>
      <vt:lpstr>data_versi1</vt:lpstr>
      <vt:lpstr>kata_kunci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2026-06-30T04:20:44Z</dcterms:modified>
</cp:coreProperties>
</file>